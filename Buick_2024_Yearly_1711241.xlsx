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AF62935-9527-429D-9E92-D4657E467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  <sheet name="Summary" sheetId="2" r:id="rId2"/>
  </sheets>
  <definedNames>
    <definedName name="_xlnm._FilterDatabase" localSheetId="0" hidden="1">Report!$A$8:$H$1071</definedName>
    <definedName name="_xlnm.Criteria" localSheetId="0">Report!$J$8:$J$200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70" i="1" l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</calcChain>
</file>

<file path=xl/sharedStrings.xml><?xml version="1.0" encoding="utf-8"?>
<sst xmlns="http://schemas.openxmlformats.org/spreadsheetml/2006/main" count="5744" uniqueCount="1678">
  <si>
    <t>Buick_2024_Yearly</t>
  </si>
  <si>
    <t>Report Completed:</t>
  </si>
  <si>
    <t>11/8/2025 07:07:29 EDT</t>
  </si>
  <si>
    <t>Reported Time Period:</t>
  </si>
  <si>
    <t>1/1/2024-12/31/2024</t>
  </si>
  <si>
    <t>CREATIVE</t>
  </si>
  <si>
    <t>MASTER CREATIVE ID</t>
  </si>
  <si>
    <t>DETAIL CREATIVE ID</t>
  </si>
  <si>
    <t>PARENT CREATIVE ID</t>
  </si>
  <si>
    <t>ADVERTISER</t>
  </si>
  <si>
    <t>BRAND</t>
  </si>
  <si>
    <t>PRODUCT</t>
  </si>
  <si>
    <t>$</t>
  </si>
  <si>
    <t>586713323</t>
  </si>
  <si>
    <t>56236842</t>
  </si>
  <si>
    <t>Buick</t>
  </si>
  <si>
    <t>Buick Envista</t>
  </si>
  <si>
    <t>Buick Envista Leasing : Domestic Crossover Utility Vehicle</t>
  </si>
  <si>
    <t>586486674</t>
  </si>
  <si>
    <t>55126500</t>
  </si>
  <si>
    <t>Buick Envision</t>
  </si>
  <si>
    <t>Buick Envision Leasing : Domestic SUV</t>
  </si>
  <si>
    <t>586459108</t>
  </si>
  <si>
    <t>55059834</t>
  </si>
  <si>
    <t>586547505</t>
  </si>
  <si>
    <t>55300429</t>
  </si>
  <si>
    <t>15274752349</t>
  </si>
  <si>
    <t>Buick Encore</t>
  </si>
  <si>
    <t>Buick Encore Leasing : Domestic Crossover Utility Vehicle : Sales Event</t>
  </si>
  <si>
    <t>586472363</t>
  </si>
  <si>
    <t>55091682</t>
  </si>
  <si>
    <t>Buick Envision : Domestic SUV</t>
  </si>
  <si>
    <t>586473614</t>
  </si>
  <si>
    <t>55096295</t>
  </si>
  <si>
    <t>586490062</t>
  </si>
  <si>
    <t>55135491</t>
  </si>
  <si>
    <t>586491872</t>
  </si>
  <si>
    <t>55138133</t>
  </si>
  <si>
    <t>586490994</t>
  </si>
  <si>
    <t>55136309</t>
  </si>
  <si>
    <t>586507457</t>
  </si>
  <si>
    <t>55166690</t>
  </si>
  <si>
    <t>586515372</t>
  </si>
  <si>
    <t>55206850</t>
  </si>
  <si>
    <t>15264773269</t>
  </si>
  <si>
    <t>54737854</t>
  </si>
  <si>
    <t>15271725038</t>
  </si>
  <si>
    <t>55557258</t>
  </si>
  <si>
    <t>587000213</t>
  </si>
  <si>
    <t>57665450</t>
  </si>
  <si>
    <t>Buick Encore GX</t>
  </si>
  <si>
    <t>Buick Encore GX : Domestic Crossover Utility Vehicle</t>
  </si>
  <si>
    <t>15269223344</t>
  </si>
  <si>
    <t>55222727</t>
  </si>
  <si>
    <t>Buick Envista : Domestic Crossover Utility Vehicle</t>
  </si>
  <si>
    <t>15255634166</t>
  </si>
  <si>
    <t>53614404</t>
  </si>
  <si>
    <t>53614379</t>
  </si>
  <si>
    <t>15263553708</t>
  </si>
  <si>
    <t>54658007</t>
  </si>
  <si>
    <t>Buick Trucks</t>
  </si>
  <si>
    <t>Buick Trucks : Various Domestic Trucks</t>
  </si>
  <si>
    <t>587261185</t>
  </si>
  <si>
    <t>58657822</t>
  </si>
  <si>
    <t>55573058</t>
  </si>
  <si>
    <t>Buick Encore GX Leasing : Domestic Crossover Utility Vehicle : Sales Event</t>
  </si>
  <si>
    <t>586874433</t>
  </si>
  <si>
    <t>57134658</t>
  </si>
  <si>
    <t>55486043</t>
  </si>
  <si>
    <t>586903991</t>
  </si>
  <si>
    <t>57279554</t>
  </si>
  <si>
    <t>586914280</t>
  </si>
  <si>
    <t>57320934</t>
  </si>
  <si>
    <t>587016204</t>
  </si>
  <si>
    <t>57691553</t>
  </si>
  <si>
    <t>56690700</t>
  </si>
  <si>
    <t>Buick Encore GX Leasing : Domestic Crossover Utility Vehicle</t>
  </si>
  <si>
    <t>587063865</t>
  </si>
  <si>
    <t>57839032</t>
  </si>
  <si>
    <t>587080265</t>
  </si>
  <si>
    <t>57897999</t>
  </si>
  <si>
    <t>587089605</t>
  </si>
  <si>
    <t>57921798</t>
  </si>
  <si>
    <t>587157268</t>
  </si>
  <si>
    <t>58193426</t>
  </si>
  <si>
    <t>587174296</t>
  </si>
  <si>
    <t>58265553</t>
  </si>
  <si>
    <t>587216694</t>
  </si>
  <si>
    <t>58436872</t>
  </si>
  <si>
    <t>587222292</t>
  </si>
  <si>
    <t>58452022</t>
  </si>
  <si>
    <t>586592372</t>
  </si>
  <si>
    <t>55519806</t>
  </si>
  <si>
    <t>586601696</t>
  </si>
  <si>
    <t>586680606</t>
  </si>
  <si>
    <t>56168789</t>
  </si>
  <si>
    <t>586685178</t>
  </si>
  <si>
    <t>56084703</t>
  </si>
  <si>
    <t>586691324</t>
  </si>
  <si>
    <t>57365788</t>
  </si>
  <si>
    <t>586693762</t>
  </si>
  <si>
    <t>56157471</t>
  </si>
  <si>
    <t>586694134</t>
  </si>
  <si>
    <t>56158619</t>
  </si>
  <si>
    <t>586736629</t>
  </si>
  <si>
    <t>56386864</t>
  </si>
  <si>
    <t>586796000</t>
  </si>
  <si>
    <t>586796030</t>
  </si>
  <si>
    <t>56692388</t>
  </si>
  <si>
    <t>586753240</t>
  </si>
  <si>
    <t>56473834</t>
  </si>
  <si>
    <t>28373327</t>
  </si>
  <si>
    <t>54060934</t>
  </si>
  <si>
    <t>52261823</t>
  </si>
  <si>
    <t>587219173</t>
  </si>
  <si>
    <t>58437772</t>
  </si>
  <si>
    <t>55082298</t>
  </si>
  <si>
    <t>586468914</t>
  </si>
  <si>
    <t>CREATIVE UNKNOWN</t>
  </si>
  <si>
    <t>Buick : General Promotion - Domestic Autos &amp; Trucks</t>
  </si>
  <si>
    <t>Buick : General Promotion - Domestic Trucks</t>
  </si>
  <si>
    <t>586424907</t>
  </si>
  <si>
    <t>54971271</t>
  </si>
  <si>
    <t>Buick Encore Leasing : Domestic Crossover Utility Vehicle</t>
  </si>
  <si>
    <t>586602039</t>
  </si>
  <si>
    <t>55577746</t>
  </si>
  <si>
    <t>586624561</t>
  </si>
  <si>
    <t>55718924</t>
  </si>
  <si>
    <t>28501114</t>
  </si>
  <si>
    <t>54337414</t>
  </si>
  <si>
    <t>Buick Trucks : Various Domestic Trucks : Sales Event</t>
  </si>
  <si>
    <t>586423634</t>
  </si>
  <si>
    <t>54969227</t>
  </si>
  <si>
    <t>Buick Enclave</t>
  </si>
  <si>
    <t>Buick Enclave Leasing : Domestic Crossover Utility Vehicle</t>
  </si>
  <si>
    <t>15280542229</t>
  </si>
  <si>
    <t>59536614</t>
  </si>
  <si>
    <t>Buick.com : Online</t>
  </si>
  <si>
    <t>586611051</t>
  </si>
  <si>
    <t>55655741</t>
  </si>
  <si>
    <t>586840819</t>
  </si>
  <si>
    <t>56962169</t>
  </si>
  <si>
    <t>586629798</t>
  </si>
  <si>
    <t>55777257</t>
  </si>
  <si>
    <t>15236688655</t>
  </si>
  <si>
    <t>586422716</t>
  </si>
  <si>
    <t>54971950</t>
  </si>
  <si>
    <t>586922850</t>
  </si>
  <si>
    <t>57351374</t>
  </si>
  <si>
    <t>587000211</t>
  </si>
  <si>
    <t>57663016</t>
  </si>
  <si>
    <t>587140530</t>
  </si>
  <si>
    <t>58122784</t>
  </si>
  <si>
    <t>586868840</t>
  </si>
  <si>
    <t>57103920</t>
  </si>
  <si>
    <t>28363776</t>
  </si>
  <si>
    <t>54071940</t>
  </si>
  <si>
    <t>586922339</t>
  </si>
  <si>
    <t>57344118</t>
  </si>
  <si>
    <t>586696007</t>
  </si>
  <si>
    <t>56135931</t>
  </si>
  <si>
    <t>586341324</t>
  </si>
  <si>
    <t>54793897</t>
  </si>
  <si>
    <t>586346800</t>
  </si>
  <si>
    <t>586348598</t>
  </si>
  <si>
    <t>586347738</t>
  </si>
  <si>
    <t>54804192</t>
  </si>
  <si>
    <t>586388075</t>
  </si>
  <si>
    <t>586401428</t>
  </si>
  <si>
    <t>586404938</t>
  </si>
  <si>
    <t>586411838</t>
  </si>
  <si>
    <t>54941758</t>
  </si>
  <si>
    <t>586418459</t>
  </si>
  <si>
    <t>586425435</t>
  </si>
  <si>
    <t>586438281</t>
  </si>
  <si>
    <t>586419798</t>
  </si>
  <si>
    <t>54960751</t>
  </si>
  <si>
    <t>586423825</t>
  </si>
  <si>
    <t>54970776</t>
  </si>
  <si>
    <t>586424919</t>
  </si>
  <si>
    <t>15284866456</t>
  </si>
  <si>
    <t>Buick Certified Service</t>
  </si>
  <si>
    <t>Buick Certified Service : Parts &amp; Service</t>
  </si>
  <si>
    <t>586790344</t>
  </si>
  <si>
    <t>56666793</t>
  </si>
  <si>
    <t>587094460</t>
  </si>
  <si>
    <t>57933008</t>
  </si>
  <si>
    <t>Buick Enclave : Domestic Crossover Utility Vehicle</t>
  </si>
  <si>
    <t>587184219</t>
  </si>
  <si>
    <t>58288247</t>
  </si>
  <si>
    <t>587210352</t>
  </si>
  <si>
    <t>58389813</t>
  </si>
  <si>
    <t>587220905</t>
  </si>
  <si>
    <t>58448186</t>
  </si>
  <si>
    <t>586582517</t>
  </si>
  <si>
    <t>587094261</t>
  </si>
  <si>
    <t>57932631</t>
  </si>
  <si>
    <t>587112676</t>
  </si>
  <si>
    <t>58007750</t>
  </si>
  <si>
    <t>586774093</t>
  </si>
  <si>
    <t>56573292</t>
  </si>
  <si>
    <t>15269010764</t>
  </si>
  <si>
    <t>55160169</t>
  </si>
  <si>
    <t>586420027</t>
  </si>
  <si>
    <t>54966351</t>
  </si>
  <si>
    <t>586553924</t>
  </si>
  <si>
    <t>55337473</t>
  </si>
  <si>
    <t>587075756</t>
  </si>
  <si>
    <t>57869432</t>
  </si>
  <si>
    <t>586617732</t>
  </si>
  <si>
    <t>55667819</t>
  </si>
  <si>
    <t>586637920</t>
  </si>
  <si>
    <t>55811257</t>
  </si>
  <si>
    <t>586660370</t>
  </si>
  <si>
    <t>55956986</t>
  </si>
  <si>
    <t>586692688</t>
  </si>
  <si>
    <t>56158632</t>
  </si>
  <si>
    <t>15280631393</t>
  </si>
  <si>
    <t>586424217</t>
  </si>
  <si>
    <t>54970892</t>
  </si>
  <si>
    <t>586427704</t>
  </si>
  <si>
    <t>586427768</t>
  </si>
  <si>
    <t>586788108</t>
  </si>
  <si>
    <t>56654287</t>
  </si>
  <si>
    <t>586812555</t>
  </si>
  <si>
    <t>56874747</t>
  </si>
  <si>
    <t>586980587</t>
  </si>
  <si>
    <t>57576368</t>
  </si>
  <si>
    <t>587056490</t>
  </si>
  <si>
    <t>57809464</t>
  </si>
  <si>
    <t>587171070</t>
  </si>
  <si>
    <t>58246833</t>
  </si>
  <si>
    <t>587021112</t>
  </si>
  <si>
    <t>57721783</t>
  </si>
  <si>
    <t>587083908</t>
  </si>
  <si>
    <t>57899961</t>
  </si>
  <si>
    <t>15279317587</t>
  </si>
  <si>
    <t>57310538</t>
  </si>
  <si>
    <t>587175673</t>
  </si>
  <si>
    <t>58276688</t>
  </si>
  <si>
    <t>586449724</t>
  </si>
  <si>
    <t>55033122</t>
  </si>
  <si>
    <t>587132411</t>
  </si>
  <si>
    <t>58095665</t>
  </si>
  <si>
    <t>28606067</t>
  </si>
  <si>
    <t>54505558</t>
  </si>
  <si>
    <t>28606901</t>
  </si>
  <si>
    <t>54499517</t>
  </si>
  <si>
    <t>28686518</t>
  </si>
  <si>
    <t>54623216</t>
  </si>
  <si>
    <t>586271537</t>
  </si>
  <si>
    <t>28634430</t>
  </si>
  <si>
    <t>54554599</t>
  </si>
  <si>
    <t>586298599</t>
  </si>
  <si>
    <t>54699937</t>
  </si>
  <si>
    <t>586330187</t>
  </si>
  <si>
    <t>586331684</t>
  </si>
  <si>
    <t>54772044</t>
  </si>
  <si>
    <t>28704435</t>
  </si>
  <si>
    <t>54672391</t>
  </si>
  <si>
    <t>28623283</t>
  </si>
  <si>
    <t>54540054</t>
  </si>
  <si>
    <t>28427229</t>
  </si>
  <si>
    <t>54182600</t>
  </si>
  <si>
    <t>586345500</t>
  </si>
  <si>
    <t>54801510</t>
  </si>
  <si>
    <t>586352198</t>
  </si>
  <si>
    <t>28498066</t>
  </si>
  <si>
    <t>54303838</t>
  </si>
  <si>
    <t>15236661853</t>
  </si>
  <si>
    <t>51827528</t>
  </si>
  <si>
    <t>15269974475</t>
  </si>
  <si>
    <t>60271106</t>
  </si>
  <si>
    <t>15264536513</t>
  </si>
  <si>
    <t>15269218429</t>
  </si>
  <si>
    <t>586977306</t>
  </si>
  <si>
    <t>57557272</t>
  </si>
  <si>
    <t>586932549</t>
  </si>
  <si>
    <t>57415423</t>
  </si>
  <si>
    <t>586934815</t>
  </si>
  <si>
    <t>57401548</t>
  </si>
  <si>
    <t>586956977</t>
  </si>
  <si>
    <t>57503309</t>
  </si>
  <si>
    <t>587086503</t>
  </si>
  <si>
    <t>57923199</t>
  </si>
  <si>
    <t>587127744</t>
  </si>
  <si>
    <t>58068488</t>
  </si>
  <si>
    <t>15280456658</t>
  </si>
  <si>
    <t>57585805</t>
  </si>
  <si>
    <t>28422581</t>
  </si>
  <si>
    <t>54174007</t>
  </si>
  <si>
    <t>586348610</t>
  </si>
  <si>
    <t>54806007</t>
  </si>
  <si>
    <t>586434648</t>
  </si>
  <si>
    <t>55015120</t>
  </si>
  <si>
    <t>28489774</t>
  </si>
  <si>
    <t>54283481</t>
  </si>
  <si>
    <t>28548865</t>
  </si>
  <si>
    <t>54390409</t>
  </si>
  <si>
    <t>28557566</t>
  </si>
  <si>
    <t>54403657</t>
  </si>
  <si>
    <t>28497433</t>
  </si>
  <si>
    <t>54301639</t>
  </si>
  <si>
    <t>28560416</t>
  </si>
  <si>
    <t>54413895</t>
  </si>
  <si>
    <t>28629893</t>
  </si>
  <si>
    <t>54549490</t>
  </si>
  <si>
    <t>28490246</t>
  </si>
  <si>
    <t>54304745</t>
  </si>
  <si>
    <t>53860328</t>
  </si>
  <si>
    <t>28553568</t>
  </si>
  <si>
    <t>54400389</t>
  </si>
  <si>
    <t>53813979</t>
  </si>
  <si>
    <t>28561959</t>
  </si>
  <si>
    <t>54413867</t>
  </si>
  <si>
    <t>28551055</t>
  </si>
  <si>
    <t>54390628</t>
  </si>
  <si>
    <t>28554175</t>
  </si>
  <si>
    <t>54395587</t>
  </si>
  <si>
    <t>28553575</t>
  </si>
  <si>
    <t>54393838</t>
  </si>
  <si>
    <t>586350836</t>
  </si>
  <si>
    <t>54820829</t>
  </si>
  <si>
    <t>586403773</t>
  </si>
  <si>
    <t>54778299</t>
  </si>
  <si>
    <t>587199681</t>
  </si>
  <si>
    <t>58343164</t>
  </si>
  <si>
    <t>587238013</t>
  </si>
  <si>
    <t>58523783</t>
  </si>
  <si>
    <t>15280537209</t>
  </si>
  <si>
    <t>57590073</t>
  </si>
  <si>
    <t>15282430092</t>
  </si>
  <si>
    <t>57960599</t>
  </si>
  <si>
    <t>15282899638</t>
  </si>
  <si>
    <t>58083812</t>
  </si>
  <si>
    <t>15282909119</t>
  </si>
  <si>
    <t>586865370</t>
  </si>
  <si>
    <t>15282532108</t>
  </si>
  <si>
    <t>57997026</t>
  </si>
  <si>
    <t>15282430605</t>
  </si>
  <si>
    <t>57974293</t>
  </si>
  <si>
    <t>15282429418</t>
  </si>
  <si>
    <t>57973399</t>
  </si>
  <si>
    <t>15282437789</t>
  </si>
  <si>
    <t>57974367</t>
  </si>
  <si>
    <t>15278134940</t>
  </si>
  <si>
    <t>57035344</t>
  </si>
  <si>
    <t>587188084</t>
  </si>
  <si>
    <t>587147302</t>
  </si>
  <si>
    <t>58168149</t>
  </si>
  <si>
    <t>587147330</t>
  </si>
  <si>
    <t>58168318</t>
  </si>
  <si>
    <t>586429454</t>
  </si>
  <si>
    <t>54981980</t>
  </si>
  <si>
    <t>586855134</t>
  </si>
  <si>
    <t>57037217</t>
  </si>
  <si>
    <t>15269225717</t>
  </si>
  <si>
    <t>55223422</t>
  </si>
  <si>
    <t>586396285</t>
  </si>
  <si>
    <t>54906721</t>
  </si>
  <si>
    <t>586397255</t>
  </si>
  <si>
    <t>586394922</t>
  </si>
  <si>
    <t>54905615</t>
  </si>
  <si>
    <t>15284532722</t>
  </si>
  <si>
    <t>587058607</t>
  </si>
  <si>
    <t>57825952</t>
  </si>
  <si>
    <t>586983441</t>
  </si>
  <si>
    <t>57586848</t>
  </si>
  <si>
    <t>587063861</t>
  </si>
  <si>
    <t>57839217</t>
  </si>
  <si>
    <t>587126631</t>
  </si>
  <si>
    <t>58057892</t>
  </si>
  <si>
    <t>587159759</t>
  </si>
  <si>
    <t>58206220</t>
  </si>
  <si>
    <t>587170786</t>
  </si>
  <si>
    <t>58244886</t>
  </si>
  <si>
    <t>587173860</t>
  </si>
  <si>
    <t>58256562</t>
  </si>
  <si>
    <t>587293245</t>
  </si>
  <si>
    <t>58870678</t>
  </si>
  <si>
    <t>587314532</t>
  </si>
  <si>
    <t>58984494</t>
  </si>
  <si>
    <t>28489787</t>
  </si>
  <si>
    <t>54283711</t>
  </si>
  <si>
    <t>28489877</t>
  </si>
  <si>
    <t>54283719</t>
  </si>
  <si>
    <t>28522102</t>
  </si>
  <si>
    <t>54353601</t>
  </si>
  <si>
    <t>586849394</t>
  </si>
  <si>
    <t>57004100</t>
  </si>
  <si>
    <t>15282430115</t>
  </si>
  <si>
    <t>57974199</t>
  </si>
  <si>
    <t>15255652369</t>
  </si>
  <si>
    <t>15274648269</t>
  </si>
  <si>
    <t>56213764</t>
  </si>
  <si>
    <t>15279635305</t>
  </si>
  <si>
    <t>57363000</t>
  </si>
  <si>
    <t>586333258</t>
  </si>
  <si>
    <t>54777722</t>
  </si>
  <si>
    <t>586348763</t>
  </si>
  <si>
    <t>586396023</t>
  </si>
  <si>
    <t>586404697</t>
  </si>
  <si>
    <t>586405646</t>
  </si>
  <si>
    <t>586350894</t>
  </si>
  <si>
    <t>586356884</t>
  </si>
  <si>
    <t>586417891</t>
  </si>
  <si>
    <t>586437716</t>
  </si>
  <si>
    <t>586444428</t>
  </si>
  <si>
    <t>586447437</t>
  </si>
  <si>
    <t>586424707</t>
  </si>
  <si>
    <t>54971087</t>
  </si>
  <si>
    <t>586469622</t>
  </si>
  <si>
    <t>55105104</t>
  </si>
  <si>
    <t>586495397</t>
  </si>
  <si>
    <t>55148727</t>
  </si>
  <si>
    <t>586279698</t>
  </si>
  <si>
    <t>54688031</t>
  </si>
  <si>
    <t>586290281</t>
  </si>
  <si>
    <t>54684916</t>
  </si>
  <si>
    <t>586307761</t>
  </si>
  <si>
    <t>54719014</t>
  </si>
  <si>
    <t>586314224</t>
  </si>
  <si>
    <t>54731367</t>
  </si>
  <si>
    <t>586322678</t>
  </si>
  <si>
    <t>54761273</t>
  </si>
  <si>
    <t>586291148</t>
  </si>
  <si>
    <t>54686133</t>
  </si>
  <si>
    <t>586342002</t>
  </si>
  <si>
    <t>54796782</t>
  </si>
  <si>
    <t>586293518</t>
  </si>
  <si>
    <t>586294271</t>
  </si>
  <si>
    <t>586297591</t>
  </si>
  <si>
    <t>28515864</t>
  </si>
  <si>
    <t>54338005</t>
  </si>
  <si>
    <t>53628660</t>
  </si>
  <si>
    <t>586391212</t>
  </si>
  <si>
    <t>54903970</t>
  </si>
  <si>
    <t>28515611</t>
  </si>
  <si>
    <t>54335805</t>
  </si>
  <si>
    <t>28373480</t>
  </si>
  <si>
    <t>54061019</t>
  </si>
  <si>
    <t>586347839</t>
  </si>
  <si>
    <t>54805626</t>
  </si>
  <si>
    <t>28501392</t>
  </si>
  <si>
    <t>54310276</t>
  </si>
  <si>
    <t>15262180298</t>
  </si>
  <si>
    <t>53585156</t>
  </si>
  <si>
    <t>15263266277</t>
  </si>
  <si>
    <t>54570653</t>
  </si>
  <si>
    <t>15284996879</t>
  </si>
  <si>
    <t>15217535943</t>
  </si>
  <si>
    <t>50135987</t>
  </si>
  <si>
    <t>15223358455</t>
  </si>
  <si>
    <t>50701480</t>
  </si>
  <si>
    <t>15233228346</t>
  </si>
  <si>
    <t>51275062</t>
  </si>
  <si>
    <t>15236412310</t>
  </si>
  <si>
    <t>51766547</t>
  </si>
  <si>
    <t>15237282446</t>
  </si>
  <si>
    <t>51894780</t>
  </si>
  <si>
    <t>15237486443</t>
  </si>
  <si>
    <t>51918339</t>
  </si>
  <si>
    <t>15241457741</t>
  </si>
  <si>
    <t>52141404</t>
  </si>
  <si>
    <t>15241474268</t>
  </si>
  <si>
    <t>52080702</t>
  </si>
  <si>
    <t>15241544470</t>
  </si>
  <si>
    <t>52005586</t>
  </si>
  <si>
    <t>15242270519</t>
  </si>
  <si>
    <t>52143950</t>
  </si>
  <si>
    <t>15243000771</t>
  </si>
  <si>
    <t>52333530</t>
  </si>
  <si>
    <t>15243730796</t>
  </si>
  <si>
    <t>52419956</t>
  </si>
  <si>
    <t>15244400321</t>
  </si>
  <si>
    <t>52499643</t>
  </si>
  <si>
    <t>15245382772</t>
  </si>
  <si>
    <t>15245675693</t>
  </si>
  <si>
    <t>52634213</t>
  </si>
  <si>
    <t>15247496714</t>
  </si>
  <si>
    <t>52790593</t>
  </si>
  <si>
    <t>15247976720</t>
  </si>
  <si>
    <t>15250352063</t>
  </si>
  <si>
    <t>53080649</t>
  </si>
  <si>
    <t>15250891655</t>
  </si>
  <si>
    <t>53123515</t>
  </si>
  <si>
    <t>15250935587</t>
  </si>
  <si>
    <t>53126184</t>
  </si>
  <si>
    <t>15255324673</t>
  </si>
  <si>
    <t>53590662</t>
  </si>
  <si>
    <t>15255489341</t>
  </si>
  <si>
    <t>15255504564</t>
  </si>
  <si>
    <t>15255556212</t>
  </si>
  <si>
    <t>15255570627</t>
  </si>
  <si>
    <t>15255687773</t>
  </si>
  <si>
    <t>53605261</t>
  </si>
  <si>
    <t>15256244295</t>
  </si>
  <si>
    <t>53663985</t>
  </si>
  <si>
    <t>15256548396</t>
  </si>
  <si>
    <t>53709042</t>
  </si>
  <si>
    <t>15256702808</t>
  </si>
  <si>
    <t>53725598</t>
  </si>
  <si>
    <t>15258108908</t>
  </si>
  <si>
    <t>54295731</t>
  </si>
  <si>
    <t>15258111697</t>
  </si>
  <si>
    <t>53881183</t>
  </si>
  <si>
    <t>15258569106</t>
  </si>
  <si>
    <t>53936020</t>
  </si>
  <si>
    <t>15258616255</t>
  </si>
  <si>
    <t>53935047</t>
  </si>
  <si>
    <t>15258687908</t>
  </si>
  <si>
    <t>15258699751</t>
  </si>
  <si>
    <t>53941869</t>
  </si>
  <si>
    <t>15259420136</t>
  </si>
  <si>
    <t>15260617759</t>
  </si>
  <si>
    <t>54202944</t>
  </si>
  <si>
    <t>15261224443</t>
  </si>
  <si>
    <t>54263655</t>
  </si>
  <si>
    <t>15261579768</t>
  </si>
  <si>
    <t>54315497</t>
  </si>
  <si>
    <t>15261798314</t>
  </si>
  <si>
    <t>54361346</t>
  </si>
  <si>
    <t>Buick : Auto &amp; Truck Accessories</t>
  </si>
  <si>
    <t>15262703781</t>
  </si>
  <si>
    <t>15263003466</t>
  </si>
  <si>
    <t>15263049185</t>
  </si>
  <si>
    <t>15263069014</t>
  </si>
  <si>
    <t>54515669</t>
  </si>
  <si>
    <t>15263122220</t>
  </si>
  <si>
    <t>Buick.ca : Online</t>
  </si>
  <si>
    <t>15263453296</t>
  </si>
  <si>
    <t>15263657286</t>
  </si>
  <si>
    <t>54614787</t>
  </si>
  <si>
    <t>15263706638</t>
  </si>
  <si>
    <t>54632874</t>
  </si>
  <si>
    <t>15263854665</t>
  </si>
  <si>
    <t>54648441</t>
  </si>
  <si>
    <t>15263923758</t>
  </si>
  <si>
    <t>54660013</t>
  </si>
  <si>
    <t>15263995930</t>
  </si>
  <si>
    <t>54668498</t>
  </si>
  <si>
    <t>15264024496</t>
  </si>
  <si>
    <t>54674984</t>
  </si>
  <si>
    <t>15264082088</t>
  </si>
  <si>
    <t>54678565</t>
  </si>
  <si>
    <t>15264172602</t>
  </si>
  <si>
    <t>54002038</t>
  </si>
  <si>
    <t>15264239109</t>
  </si>
  <si>
    <t>15264253624</t>
  </si>
  <si>
    <t>54693193</t>
  </si>
  <si>
    <t>15264315910</t>
  </si>
  <si>
    <t>54699909</t>
  </si>
  <si>
    <t>Buick Pre-Owned : General Promotion - Domestic Autos &amp; Trucks</t>
  </si>
  <si>
    <t>15264336192</t>
  </si>
  <si>
    <t>54698099</t>
  </si>
  <si>
    <t>15264350142</t>
  </si>
  <si>
    <t>54698950</t>
  </si>
  <si>
    <t>15264354897</t>
  </si>
  <si>
    <t>54697424</t>
  </si>
  <si>
    <t>15264387095</t>
  </si>
  <si>
    <t>15264508314</t>
  </si>
  <si>
    <t>54710687</t>
  </si>
  <si>
    <t>15264591122</t>
  </si>
  <si>
    <t>54723599</t>
  </si>
  <si>
    <t>15264711533</t>
  </si>
  <si>
    <t>54744667</t>
  </si>
  <si>
    <t>15264713673</t>
  </si>
  <si>
    <t>54741423</t>
  </si>
  <si>
    <t>15264714529</t>
  </si>
  <si>
    <t>15264715284</t>
  </si>
  <si>
    <t>54733002</t>
  </si>
  <si>
    <t>15264727089</t>
  </si>
  <si>
    <t>54734040</t>
  </si>
  <si>
    <t>15264765685</t>
  </si>
  <si>
    <t>15264766769</t>
  </si>
  <si>
    <t>54734839</t>
  </si>
  <si>
    <t>15264767072</t>
  </si>
  <si>
    <t>54734374</t>
  </si>
  <si>
    <t>15264774117</t>
  </si>
  <si>
    <t>54741006</t>
  </si>
  <si>
    <t>15264776845</t>
  </si>
  <si>
    <t>54737637</t>
  </si>
  <si>
    <t>15264776920</t>
  </si>
  <si>
    <t>54737383</t>
  </si>
  <si>
    <t>15264776966</t>
  </si>
  <si>
    <t>54738161</t>
  </si>
  <si>
    <t>15264796810</t>
  </si>
  <si>
    <t>54738068</t>
  </si>
  <si>
    <t>15264820414</t>
  </si>
  <si>
    <t>58662156</t>
  </si>
  <si>
    <t>15264874502</t>
  </si>
  <si>
    <t>54744074</t>
  </si>
  <si>
    <t>15264953734</t>
  </si>
  <si>
    <t>15265005841</t>
  </si>
  <si>
    <t>54768386</t>
  </si>
  <si>
    <t>15265062867</t>
  </si>
  <si>
    <t>58661767</t>
  </si>
  <si>
    <t>15265077463</t>
  </si>
  <si>
    <t>15265127157</t>
  </si>
  <si>
    <t>15265130745</t>
  </si>
  <si>
    <t>58661500</t>
  </si>
  <si>
    <t>15265317855</t>
  </si>
  <si>
    <t>54802071</t>
  </si>
  <si>
    <t>15265458159</t>
  </si>
  <si>
    <t>58662122</t>
  </si>
  <si>
    <t>15265500010</t>
  </si>
  <si>
    <t>54814453</t>
  </si>
  <si>
    <t>15265571087</t>
  </si>
  <si>
    <t>54824922</t>
  </si>
  <si>
    <t>15265664008</t>
  </si>
  <si>
    <t>54830308</t>
  </si>
  <si>
    <t>15265711952</t>
  </si>
  <si>
    <t>15265780663</t>
  </si>
  <si>
    <t>54834660</t>
  </si>
  <si>
    <t>15265791860</t>
  </si>
  <si>
    <t>54837255</t>
  </si>
  <si>
    <t>15265800258</t>
  </si>
  <si>
    <t>54837731</t>
  </si>
  <si>
    <t>15265811325</t>
  </si>
  <si>
    <t>54847201</t>
  </si>
  <si>
    <t>15265818034</t>
  </si>
  <si>
    <t>54847181</t>
  </si>
  <si>
    <t>54845898</t>
  </si>
  <si>
    <t>15265824060</t>
  </si>
  <si>
    <t>15265852767</t>
  </si>
  <si>
    <t>54846511</t>
  </si>
  <si>
    <t>15265903835</t>
  </si>
  <si>
    <t>54855368</t>
  </si>
  <si>
    <t>15265984060</t>
  </si>
  <si>
    <t>54860808</t>
  </si>
  <si>
    <t>15266025493</t>
  </si>
  <si>
    <t>15266032934</t>
  </si>
  <si>
    <t>15266033389</t>
  </si>
  <si>
    <t>54864569</t>
  </si>
  <si>
    <t>15266036374</t>
  </si>
  <si>
    <t>54863078</t>
  </si>
  <si>
    <t>15266062148</t>
  </si>
  <si>
    <t>54867503</t>
  </si>
  <si>
    <t>15266084612</t>
  </si>
  <si>
    <t>54886063</t>
  </si>
  <si>
    <t>15266089075</t>
  </si>
  <si>
    <t>54882782</t>
  </si>
  <si>
    <t>15266091557</t>
  </si>
  <si>
    <t>15266106143</t>
  </si>
  <si>
    <t>54888328</t>
  </si>
  <si>
    <t>15266106357</t>
  </si>
  <si>
    <t>54888338</t>
  </si>
  <si>
    <t>15266157994</t>
  </si>
  <si>
    <t>54890112</t>
  </si>
  <si>
    <t>15266179625</t>
  </si>
  <si>
    <t>54880934</t>
  </si>
  <si>
    <t>15266191645</t>
  </si>
  <si>
    <t>54872729</t>
  </si>
  <si>
    <t>15266207152</t>
  </si>
  <si>
    <t>54879942</t>
  </si>
  <si>
    <t>15266266567</t>
  </si>
  <si>
    <t>54893298</t>
  </si>
  <si>
    <t>15266284895</t>
  </si>
  <si>
    <t>54882079</t>
  </si>
  <si>
    <t>15266375494</t>
  </si>
  <si>
    <t>54893639</t>
  </si>
  <si>
    <t>15266401492</t>
  </si>
  <si>
    <t>15266417533</t>
  </si>
  <si>
    <t>15266496083</t>
  </si>
  <si>
    <t>15266496152</t>
  </si>
  <si>
    <t>15266502702</t>
  </si>
  <si>
    <t>54904509</t>
  </si>
  <si>
    <t>15266540852</t>
  </si>
  <si>
    <t>15266546689</t>
  </si>
  <si>
    <t>58661704</t>
  </si>
  <si>
    <t>15266557884</t>
  </si>
  <si>
    <t>58661654</t>
  </si>
  <si>
    <t>15266607060</t>
  </si>
  <si>
    <t>54909399</t>
  </si>
  <si>
    <t>15266616403</t>
  </si>
  <si>
    <t>58661528</t>
  </si>
  <si>
    <t>15266744413</t>
  </si>
  <si>
    <t>15266750147</t>
  </si>
  <si>
    <t>15266824389</t>
  </si>
  <si>
    <t>54927984</t>
  </si>
  <si>
    <t>15266824412</t>
  </si>
  <si>
    <t>54927949</t>
  </si>
  <si>
    <t>15266883456</t>
  </si>
  <si>
    <t>58661632</t>
  </si>
  <si>
    <t>15266900122</t>
  </si>
  <si>
    <t>15266900146</t>
  </si>
  <si>
    <t>58662223</t>
  </si>
  <si>
    <t>15266951309</t>
  </si>
  <si>
    <t>54943962</t>
  </si>
  <si>
    <t>15267049476</t>
  </si>
  <si>
    <t>54967189</t>
  </si>
  <si>
    <t>15267144817</t>
  </si>
  <si>
    <t>54963247</t>
  </si>
  <si>
    <t>15267167871</t>
  </si>
  <si>
    <t>15267167914</t>
  </si>
  <si>
    <t>15267167928</t>
  </si>
  <si>
    <t>58661622</t>
  </si>
  <si>
    <t>15267167967</t>
  </si>
  <si>
    <t>15267170154</t>
  </si>
  <si>
    <t>54976496</t>
  </si>
  <si>
    <t>15267221993</t>
  </si>
  <si>
    <t>54968997</t>
  </si>
  <si>
    <t>15267226084</t>
  </si>
  <si>
    <t>15267275458</t>
  </si>
  <si>
    <t>54976213</t>
  </si>
  <si>
    <t>15267296357</t>
  </si>
  <si>
    <t>54980914</t>
  </si>
  <si>
    <t>15267342169</t>
  </si>
  <si>
    <t>54984847</t>
  </si>
  <si>
    <t>15267376151</t>
  </si>
  <si>
    <t>15267378219</t>
  </si>
  <si>
    <t>15267399043</t>
  </si>
  <si>
    <t>54991718</t>
  </si>
  <si>
    <t>15267401278</t>
  </si>
  <si>
    <t>54991573</t>
  </si>
  <si>
    <t>15267412743</t>
  </si>
  <si>
    <t>58661549</t>
  </si>
  <si>
    <t>15267416689</t>
  </si>
  <si>
    <t>55002901</t>
  </si>
  <si>
    <t>15267417816</t>
  </si>
  <si>
    <t>55002900</t>
  </si>
  <si>
    <t>15267447887</t>
  </si>
  <si>
    <t>15267470654</t>
  </si>
  <si>
    <t>54994452</t>
  </si>
  <si>
    <t>15267516998</t>
  </si>
  <si>
    <t>58662107</t>
  </si>
  <si>
    <t>15267521285</t>
  </si>
  <si>
    <t>15267521598</t>
  </si>
  <si>
    <t>15267532091</t>
  </si>
  <si>
    <t>55007301</t>
  </si>
  <si>
    <t>15267532111</t>
  </si>
  <si>
    <t>55007219</t>
  </si>
  <si>
    <t>15267555533</t>
  </si>
  <si>
    <t>55005768</t>
  </si>
  <si>
    <t>15267628382</t>
  </si>
  <si>
    <t>15267637370</t>
  </si>
  <si>
    <t>55020327</t>
  </si>
  <si>
    <t>15267643545</t>
  </si>
  <si>
    <t>55021767</t>
  </si>
  <si>
    <t>15267665143</t>
  </si>
  <si>
    <t>55022322</t>
  </si>
  <si>
    <t>15267679535</t>
  </si>
  <si>
    <t>15267721825</t>
  </si>
  <si>
    <t>15267721826</t>
  </si>
  <si>
    <t>55035911</t>
  </si>
  <si>
    <t>15267831743</t>
  </si>
  <si>
    <t>57309737</t>
  </si>
  <si>
    <t>57308003</t>
  </si>
  <si>
    <t>15267835362</t>
  </si>
  <si>
    <t>57309733</t>
  </si>
  <si>
    <t>15267838525</t>
  </si>
  <si>
    <t>15267902702</t>
  </si>
  <si>
    <t>15268013321</t>
  </si>
  <si>
    <t>59536544</t>
  </si>
  <si>
    <t>15268324453</t>
  </si>
  <si>
    <t>15268350210</t>
  </si>
  <si>
    <t>15268604525</t>
  </si>
  <si>
    <t>15268807252</t>
  </si>
  <si>
    <t>15268904144</t>
  </si>
  <si>
    <t>15268965331</t>
  </si>
  <si>
    <t>15269028332</t>
  </si>
  <si>
    <t>15269232148</t>
  </si>
  <si>
    <t>15269262532</t>
  </si>
  <si>
    <t>15269342506</t>
  </si>
  <si>
    <t>15269548829</t>
  </si>
  <si>
    <t>15269687979</t>
  </si>
  <si>
    <t>55229459</t>
  </si>
  <si>
    <t>15269698582</t>
  </si>
  <si>
    <t>15269738357</t>
  </si>
  <si>
    <t>15269785141</t>
  </si>
  <si>
    <t>15269955742</t>
  </si>
  <si>
    <t>15270050356</t>
  </si>
  <si>
    <t>15270104357</t>
  </si>
  <si>
    <t>55252957</t>
  </si>
  <si>
    <t>15270144267</t>
  </si>
  <si>
    <t>15270144268</t>
  </si>
  <si>
    <t>59536530</t>
  </si>
  <si>
    <t>15270277135</t>
  </si>
  <si>
    <t>15270526398</t>
  </si>
  <si>
    <t>15270608387</t>
  </si>
  <si>
    <t>15270611045</t>
  </si>
  <si>
    <t>15270625235</t>
  </si>
  <si>
    <t>15270875792</t>
  </si>
  <si>
    <t>55436690</t>
  </si>
  <si>
    <t>15270932492</t>
  </si>
  <si>
    <t>55424909</t>
  </si>
  <si>
    <t>15270949735</t>
  </si>
  <si>
    <t>59536515</t>
  </si>
  <si>
    <t>15271008628</t>
  </si>
  <si>
    <t>55436379</t>
  </si>
  <si>
    <t>15271037377</t>
  </si>
  <si>
    <t>55439382</t>
  </si>
  <si>
    <t>15271039873</t>
  </si>
  <si>
    <t>15271112112</t>
  </si>
  <si>
    <t>59536554</t>
  </si>
  <si>
    <t>15271116258</t>
  </si>
  <si>
    <t>55449852</t>
  </si>
  <si>
    <t>15271128578</t>
  </si>
  <si>
    <t>61705379</t>
  </si>
  <si>
    <t>15271134118</t>
  </si>
  <si>
    <t>59536498</t>
  </si>
  <si>
    <t>15271136564</t>
  </si>
  <si>
    <t>15271174498</t>
  </si>
  <si>
    <t>60271103</t>
  </si>
  <si>
    <t>15271177432</t>
  </si>
  <si>
    <t>60271139</t>
  </si>
  <si>
    <t>15271203454</t>
  </si>
  <si>
    <t>55464546</t>
  </si>
  <si>
    <t>15271211239</t>
  </si>
  <si>
    <t>15271211513</t>
  </si>
  <si>
    <t>55478341</t>
  </si>
  <si>
    <t>15271219393</t>
  </si>
  <si>
    <t>59536483</t>
  </si>
  <si>
    <t>15271268789</t>
  </si>
  <si>
    <t>55474427</t>
  </si>
  <si>
    <t>15271275561</t>
  </si>
  <si>
    <t>15271276017</t>
  </si>
  <si>
    <t>55476277</t>
  </si>
  <si>
    <t>15271432656</t>
  </si>
  <si>
    <t>55510223</t>
  </si>
  <si>
    <t>15271455563</t>
  </si>
  <si>
    <t>15271457123</t>
  </si>
  <si>
    <t>15271468859</t>
  </si>
  <si>
    <t>15271529281</t>
  </si>
  <si>
    <t>55531324</t>
  </si>
  <si>
    <t>15271530161</t>
  </si>
  <si>
    <t>55530087</t>
  </si>
  <si>
    <t>15271594859</t>
  </si>
  <si>
    <t>55545955</t>
  </si>
  <si>
    <t>15271611291</t>
  </si>
  <si>
    <t>55552195</t>
  </si>
  <si>
    <t>15271611698</t>
  </si>
  <si>
    <t>55546430</t>
  </si>
  <si>
    <t>15271630796</t>
  </si>
  <si>
    <t>15271631120</t>
  </si>
  <si>
    <t>59536573</t>
  </si>
  <si>
    <t>15271691284</t>
  </si>
  <si>
    <t>55560749</t>
  </si>
  <si>
    <t>15272045815</t>
  </si>
  <si>
    <t>15272097210</t>
  </si>
  <si>
    <t>15272149927</t>
  </si>
  <si>
    <t>15272310590</t>
  </si>
  <si>
    <t>15272333762</t>
  </si>
  <si>
    <t>56107277</t>
  </si>
  <si>
    <t>15272440607</t>
  </si>
  <si>
    <t>55737826</t>
  </si>
  <si>
    <t>Buick : General Promotion - Domestic Autos</t>
  </si>
  <si>
    <t>15272634945</t>
  </si>
  <si>
    <t>15272667273</t>
  </si>
  <si>
    <t>55788420</t>
  </si>
  <si>
    <t>15272738979</t>
  </si>
  <si>
    <t>15272751682</t>
  </si>
  <si>
    <t>15272831844</t>
  </si>
  <si>
    <t>15272857194</t>
  </si>
  <si>
    <t>15272876769</t>
  </si>
  <si>
    <t>15272876788</t>
  </si>
  <si>
    <t>59536657</t>
  </si>
  <si>
    <t>15272893827</t>
  </si>
  <si>
    <t>55863940</t>
  </si>
  <si>
    <t>15273242241</t>
  </si>
  <si>
    <t>15273268201</t>
  </si>
  <si>
    <t>15273334200</t>
  </si>
  <si>
    <t>15273370177</t>
  </si>
  <si>
    <t>15273371234</t>
  </si>
  <si>
    <t>15273401435</t>
  </si>
  <si>
    <t>15273420610</t>
  </si>
  <si>
    <t>15273429833</t>
  </si>
  <si>
    <t>55960040</t>
  </si>
  <si>
    <t>15273474766</t>
  </si>
  <si>
    <t>55974546</t>
  </si>
  <si>
    <t>15273491805</t>
  </si>
  <si>
    <t>15273493781</t>
  </si>
  <si>
    <t>55977519</t>
  </si>
  <si>
    <t>15273541457</t>
  </si>
  <si>
    <t>55996276</t>
  </si>
  <si>
    <t>15273542866</t>
  </si>
  <si>
    <t>55995274</t>
  </si>
  <si>
    <t>15273551305</t>
  </si>
  <si>
    <t>55996710</t>
  </si>
  <si>
    <t>15273660311</t>
  </si>
  <si>
    <t>59536653</t>
  </si>
  <si>
    <t>15273798511</t>
  </si>
  <si>
    <t>15273817830</t>
  </si>
  <si>
    <t>15273922429</t>
  </si>
  <si>
    <t>56094561</t>
  </si>
  <si>
    <t>15273922607</t>
  </si>
  <si>
    <t>56094562</t>
  </si>
  <si>
    <t>15273957177</t>
  </si>
  <si>
    <t>59536604</t>
  </si>
  <si>
    <t>15273998586</t>
  </si>
  <si>
    <t>59536508</t>
  </si>
  <si>
    <t>15274043593</t>
  </si>
  <si>
    <t>15274138561</t>
  </si>
  <si>
    <t>15274138679</t>
  </si>
  <si>
    <t>56108849</t>
  </si>
  <si>
    <t>15274210601</t>
  </si>
  <si>
    <t>59536655</t>
  </si>
  <si>
    <t>15274224987</t>
  </si>
  <si>
    <t>56121880</t>
  </si>
  <si>
    <t>15274249526</t>
  </si>
  <si>
    <t>59536660</t>
  </si>
  <si>
    <t>15274410846</t>
  </si>
  <si>
    <t>15274783943</t>
  </si>
  <si>
    <t>15274917594</t>
  </si>
  <si>
    <t>15275065210</t>
  </si>
  <si>
    <t>15275191358</t>
  </si>
  <si>
    <t>56373554</t>
  </si>
  <si>
    <t>15275260343</t>
  </si>
  <si>
    <t>56439740</t>
  </si>
  <si>
    <t>15275260461</t>
  </si>
  <si>
    <t>56440020</t>
  </si>
  <si>
    <t>15275314157</t>
  </si>
  <si>
    <t>56441051</t>
  </si>
  <si>
    <t>15275339489</t>
  </si>
  <si>
    <t>59536587</t>
  </si>
  <si>
    <t>15275343322</t>
  </si>
  <si>
    <t>15275403281</t>
  </si>
  <si>
    <t>15275447129</t>
  </si>
  <si>
    <t>56417833</t>
  </si>
  <si>
    <t>15275471418</t>
  </si>
  <si>
    <t>59536698</t>
  </si>
  <si>
    <t>15275649333</t>
  </si>
  <si>
    <t>15275715862</t>
  </si>
  <si>
    <t>15275720422</t>
  </si>
  <si>
    <t>15275754816</t>
  </si>
  <si>
    <t>15275827048</t>
  </si>
  <si>
    <t>15275845846</t>
  </si>
  <si>
    <t>56504503</t>
  </si>
  <si>
    <t>15275988493</t>
  </si>
  <si>
    <t>56552207</t>
  </si>
  <si>
    <t>15276082831</t>
  </si>
  <si>
    <t>56556496</t>
  </si>
  <si>
    <t>15276274766</t>
  </si>
  <si>
    <t>15276316130</t>
  </si>
  <si>
    <t>56589024</t>
  </si>
  <si>
    <t>15276332686</t>
  </si>
  <si>
    <t>56589056</t>
  </si>
  <si>
    <t>15276443370</t>
  </si>
  <si>
    <t>56666952</t>
  </si>
  <si>
    <t>15276477824</t>
  </si>
  <si>
    <t>59536597</t>
  </si>
  <si>
    <t>15276635916</t>
  </si>
  <si>
    <t>15276770335</t>
  </si>
  <si>
    <t>15276874734</t>
  </si>
  <si>
    <t>15276992652</t>
  </si>
  <si>
    <t>15277039343</t>
  </si>
  <si>
    <t>56765865</t>
  </si>
  <si>
    <t>15277044469</t>
  </si>
  <si>
    <t>56775020</t>
  </si>
  <si>
    <t>15277132710</t>
  </si>
  <si>
    <t>15277267298</t>
  </si>
  <si>
    <t>59536671</t>
  </si>
  <si>
    <t>15277471525</t>
  </si>
  <si>
    <t>15277471677</t>
  </si>
  <si>
    <t>15277478769</t>
  </si>
  <si>
    <t>15277587724</t>
  </si>
  <si>
    <t>15277598299</t>
  </si>
  <si>
    <t>15277598300</t>
  </si>
  <si>
    <t>15277650091</t>
  </si>
  <si>
    <t>56913719</t>
  </si>
  <si>
    <t>15277666096</t>
  </si>
  <si>
    <t>15277776858</t>
  </si>
  <si>
    <t>56938855</t>
  </si>
  <si>
    <t>15277779851</t>
  </si>
  <si>
    <t>15277950592</t>
  </si>
  <si>
    <t>56980285</t>
  </si>
  <si>
    <t>15277950764</t>
  </si>
  <si>
    <t>56977916</t>
  </si>
  <si>
    <t>15277952717</t>
  </si>
  <si>
    <t>57018719</t>
  </si>
  <si>
    <t>15278096200</t>
  </si>
  <si>
    <t>59536641</t>
  </si>
  <si>
    <t>15278231687</t>
  </si>
  <si>
    <t>15278242046</t>
  </si>
  <si>
    <t>15278242580</t>
  </si>
  <si>
    <t>15278359905</t>
  </si>
  <si>
    <t>15278361855</t>
  </si>
  <si>
    <t>59536492</t>
  </si>
  <si>
    <t>15278386465</t>
  </si>
  <si>
    <t>15278405871</t>
  </si>
  <si>
    <t>57095127</t>
  </si>
  <si>
    <t>15278406518</t>
  </si>
  <si>
    <t>57107769</t>
  </si>
  <si>
    <t>15278415400</t>
  </si>
  <si>
    <t>15278415738</t>
  </si>
  <si>
    <t>15278417227</t>
  </si>
  <si>
    <t>15278417816</t>
  </si>
  <si>
    <t>15278431799</t>
  </si>
  <si>
    <t>15278434929</t>
  </si>
  <si>
    <t>15278434930</t>
  </si>
  <si>
    <t>15278456676</t>
  </si>
  <si>
    <t>57104521</t>
  </si>
  <si>
    <t>15278460332</t>
  </si>
  <si>
    <t>57107830</t>
  </si>
  <si>
    <t>15278527863</t>
  </si>
  <si>
    <t>57122277</t>
  </si>
  <si>
    <t>15278536650</t>
  </si>
  <si>
    <t>57122169</t>
  </si>
  <si>
    <t>15278592007</t>
  </si>
  <si>
    <t>57136398</t>
  </si>
  <si>
    <t>15278601591</t>
  </si>
  <si>
    <t>15278608645</t>
  </si>
  <si>
    <t>15278609683</t>
  </si>
  <si>
    <t>15278670814</t>
  </si>
  <si>
    <t>15278674425</t>
  </si>
  <si>
    <t>15278727870</t>
  </si>
  <si>
    <t>57181446</t>
  </si>
  <si>
    <t>15278727877</t>
  </si>
  <si>
    <t>57181441</t>
  </si>
  <si>
    <t>15278727898</t>
  </si>
  <si>
    <t>57181461</t>
  </si>
  <si>
    <t>15278763429</t>
  </si>
  <si>
    <t>15278770347</t>
  </si>
  <si>
    <t>15278805329</t>
  </si>
  <si>
    <t>57192141</t>
  </si>
  <si>
    <t>15278833403</t>
  </si>
  <si>
    <t>15278943818</t>
  </si>
  <si>
    <t>57231088</t>
  </si>
  <si>
    <t>15279027720</t>
  </si>
  <si>
    <t>15279037480</t>
  </si>
  <si>
    <t>15279113896</t>
  </si>
  <si>
    <t>57260682</t>
  </si>
  <si>
    <t>15279192334</t>
  </si>
  <si>
    <t>15279216536</t>
  </si>
  <si>
    <t>15279225751</t>
  </si>
  <si>
    <t>57287112</t>
  </si>
  <si>
    <t>15279229960</t>
  </si>
  <si>
    <t>15279246637</t>
  </si>
  <si>
    <t>15279246669</t>
  </si>
  <si>
    <t>15279317250</t>
  </si>
  <si>
    <t>15279346594</t>
  </si>
  <si>
    <t>15279346595</t>
  </si>
  <si>
    <t>59536582</t>
  </si>
  <si>
    <t>15279346633</t>
  </si>
  <si>
    <t>15279351093</t>
  </si>
  <si>
    <t>59536708</t>
  </si>
  <si>
    <t>15279369659</t>
  </si>
  <si>
    <t>59536598</t>
  </si>
  <si>
    <t>15279423369</t>
  </si>
  <si>
    <t>57324566</t>
  </si>
  <si>
    <t>15279464082</t>
  </si>
  <si>
    <t>57344595</t>
  </si>
  <si>
    <t>15279464116</t>
  </si>
  <si>
    <t>57363946</t>
  </si>
  <si>
    <t>15279464143</t>
  </si>
  <si>
    <t>15279464163</t>
  </si>
  <si>
    <t>15279464173</t>
  </si>
  <si>
    <t>15279464191</t>
  </si>
  <si>
    <t>15279465799</t>
  </si>
  <si>
    <t>15279525643</t>
  </si>
  <si>
    <t>57335737</t>
  </si>
  <si>
    <t>15279538718</t>
  </si>
  <si>
    <t>15279540976</t>
  </si>
  <si>
    <t>15279642502</t>
  </si>
  <si>
    <t>57367167</t>
  </si>
  <si>
    <t>15279650954</t>
  </si>
  <si>
    <t>15279683432</t>
  </si>
  <si>
    <t>57376739</t>
  </si>
  <si>
    <t>15279811994</t>
  </si>
  <si>
    <t>59536686</t>
  </si>
  <si>
    <t>15279903550</t>
  </si>
  <si>
    <t>57467722</t>
  </si>
  <si>
    <t>57464437</t>
  </si>
  <si>
    <t>15279915619</t>
  </si>
  <si>
    <t>15279916633</t>
  </si>
  <si>
    <t>15279942145</t>
  </si>
  <si>
    <t>57438373</t>
  </si>
  <si>
    <t>15279966861</t>
  </si>
  <si>
    <t>15279998960</t>
  </si>
  <si>
    <t>60271134</t>
  </si>
  <si>
    <t>57452253</t>
  </si>
  <si>
    <t>15280006475</t>
  </si>
  <si>
    <t>15280130830</t>
  </si>
  <si>
    <t>15280161507</t>
  </si>
  <si>
    <t>15280211232</t>
  </si>
  <si>
    <t>15280240276</t>
  </si>
  <si>
    <t>59536485</t>
  </si>
  <si>
    <t>15280273142</t>
  </si>
  <si>
    <t>57513172</t>
  </si>
  <si>
    <t>15280395807</t>
  </si>
  <si>
    <t>15280442867</t>
  </si>
  <si>
    <t>57557257</t>
  </si>
  <si>
    <t>15280504642</t>
  </si>
  <si>
    <t>15280508710</t>
  </si>
  <si>
    <t>15280508952</t>
  </si>
  <si>
    <t>15280508953</t>
  </si>
  <si>
    <t>59536594</t>
  </si>
  <si>
    <t>15280525161</t>
  </si>
  <si>
    <t>15280531497</t>
  </si>
  <si>
    <t>15280586924</t>
  </si>
  <si>
    <t>57596047</t>
  </si>
  <si>
    <t>15280587032</t>
  </si>
  <si>
    <t>57604904</t>
  </si>
  <si>
    <t>15280617154</t>
  </si>
  <si>
    <t>15280629463</t>
  </si>
  <si>
    <t>57594642</t>
  </si>
  <si>
    <t>15280638364</t>
  </si>
  <si>
    <t>57602042</t>
  </si>
  <si>
    <t>15280638365</t>
  </si>
  <si>
    <t>57602043</t>
  </si>
  <si>
    <t>15280638593</t>
  </si>
  <si>
    <t>57596251</t>
  </si>
  <si>
    <t>15280676080</t>
  </si>
  <si>
    <t>57615965</t>
  </si>
  <si>
    <t>15280696364</t>
  </si>
  <si>
    <t>15280701497</t>
  </si>
  <si>
    <t>15280730976</t>
  </si>
  <si>
    <t>57647174</t>
  </si>
  <si>
    <t>15280733138</t>
  </si>
  <si>
    <t>57637905</t>
  </si>
  <si>
    <t>15280754840</t>
  </si>
  <si>
    <t>57700234</t>
  </si>
  <si>
    <t>15280759525</t>
  </si>
  <si>
    <t>15280785491</t>
  </si>
  <si>
    <t>57700230</t>
  </si>
  <si>
    <t>15280785693</t>
  </si>
  <si>
    <t>57700237</t>
  </si>
  <si>
    <t>15280821683</t>
  </si>
  <si>
    <t>15280823427</t>
  </si>
  <si>
    <t>15280823440</t>
  </si>
  <si>
    <t>15280824916</t>
  </si>
  <si>
    <t>15280828138</t>
  </si>
  <si>
    <t>59536560</t>
  </si>
  <si>
    <t>15280828152</t>
  </si>
  <si>
    <t>15280831882</t>
  </si>
  <si>
    <t>15280832422</t>
  </si>
  <si>
    <t>15280878345</t>
  </si>
  <si>
    <t>15280902626</t>
  </si>
  <si>
    <t>15280908900</t>
  </si>
  <si>
    <t>57677180</t>
  </si>
  <si>
    <t>15280961975</t>
  </si>
  <si>
    <t>57666145</t>
  </si>
  <si>
    <t>15280961976</t>
  </si>
  <si>
    <t>57666207</t>
  </si>
  <si>
    <t>15280961978</t>
  </si>
  <si>
    <t>57666867</t>
  </si>
  <si>
    <t>15280976148</t>
  </si>
  <si>
    <t>15280985823</t>
  </si>
  <si>
    <t>15281000620</t>
  </si>
  <si>
    <t>57676112</t>
  </si>
  <si>
    <t>15281009974</t>
  </si>
  <si>
    <t>57698188</t>
  </si>
  <si>
    <t>15281014370</t>
  </si>
  <si>
    <t>57678844</t>
  </si>
  <si>
    <t>15281014371</t>
  </si>
  <si>
    <t>57678422</t>
  </si>
  <si>
    <t>15281021208</t>
  </si>
  <si>
    <t>57699563</t>
  </si>
  <si>
    <t>15281029449</t>
  </si>
  <si>
    <t>15281056318</t>
  </si>
  <si>
    <t>57691745</t>
  </si>
  <si>
    <t>15281068651</t>
  </si>
  <si>
    <t>59536522</t>
  </si>
  <si>
    <t>15281072015</t>
  </si>
  <si>
    <t>59536709</t>
  </si>
  <si>
    <t>15281209552</t>
  </si>
  <si>
    <t>15281209580</t>
  </si>
  <si>
    <t>15281212983</t>
  </si>
  <si>
    <t>15281223780</t>
  </si>
  <si>
    <t>57714640</t>
  </si>
  <si>
    <t>15281225434</t>
  </si>
  <si>
    <t>57723671</t>
  </si>
  <si>
    <t>15281237006</t>
  </si>
  <si>
    <t>57715805</t>
  </si>
  <si>
    <t>15281256052</t>
  </si>
  <si>
    <t>15281256053</t>
  </si>
  <si>
    <t>15281265008</t>
  </si>
  <si>
    <t>57725338</t>
  </si>
  <si>
    <t>15281294576</t>
  </si>
  <si>
    <t>15281294577</t>
  </si>
  <si>
    <t>15281300371</t>
  </si>
  <si>
    <t>15281310596</t>
  </si>
  <si>
    <t>57741435</t>
  </si>
  <si>
    <t>15281312820</t>
  </si>
  <si>
    <t>57735865</t>
  </si>
  <si>
    <t>15281312821</t>
  </si>
  <si>
    <t>57735980</t>
  </si>
  <si>
    <t>15281321736</t>
  </si>
  <si>
    <t>57734126</t>
  </si>
  <si>
    <t>15281321738</t>
  </si>
  <si>
    <t>57734139</t>
  </si>
  <si>
    <t>15281332736</t>
  </si>
  <si>
    <t>57742999</t>
  </si>
  <si>
    <t>15281336684</t>
  </si>
  <si>
    <t>15281341779</t>
  </si>
  <si>
    <t>15281342433</t>
  </si>
  <si>
    <t>57743699</t>
  </si>
  <si>
    <t>15281354288</t>
  </si>
  <si>
    <t>57755373</t>
  </si>
  <si>
    <t>15281362170</t>
  </si>
  <si>
    <t>57753192</t>
  </si>
  <si>
    <t>15281369759</t>
  </si>
  <si>
    <t>57746095</t>
  </si>
  <si>
    <t>15281372213</t>
  </si>
  <si>
    <t>15281372438</t>
  </si>
  <si>
    <t>15281372439</t>
  </si>
  <si>
    <t>15281372440</t>
  </si>
  <si>
    <t>15281378918</t>
  </si>
  <si>
    <t>15281380262</t>
  </si>
  <si>
    <t>15281391935</t>
  </si>
  <si>
    <t>15281391983</t>
  </si>
  <si>
    <t>15281418053</t>
  </si>
  <si>
    <t>15281442775</t>
  </si>
  <si>
    <t>15281443620</t>
  </si>
  <si>
    <t>15281444401</t>
  </si>
  <si>
    <t>15281447241</t>
  </si>
  <si>
    <t>15281451819</t>
  </si>
  <si>
    <t>57766984</t>
  </si>
  <si>
    <t>15281452840</t>
  </si>
  <si>
    <t>57768108</t>
  </si>
  <si>
    <t>15281516654</t>
  </si>
  <si>
    <t>57780905</t>
  </si>
  <si>
    <t>15281522662</t>
  </si>
  <si>
    <t>59536540</t>
  </si>
  <si>
    <t>15281522676</t>
  </si>
  <si>
    <t>59536611</t>
  </si>
  <si>
    <t>15281526471</t>
  </si>
  <si>
    <t>15281551118</t>
  </si>
  <si>
    <t>15281586201</t>
  </si>
  <si>
    <t>15281593429</t>
  </si>
  <si>
    <t>15281596584</t>
  </si>
  <si>
    <t>15281603760</t>
  </si>
  <si>
    <t>15281673911</t>
  </si>
  <si>
    <t>15281681750</t>
  </si>
  <si>
    <t>15281762085</t>
  </si>
  <si>
    <t>15281769461</t>
  </si>
  <si>
    <t>15281772085</t>
  </si>
  <si>
    <t>57828599</t>
  </si>
  <si>
    <t>15281773369</t>
  </si>
  <si>
    <t>15281781414</t>
  </si>
  <si>
    <t>15281781416</t>
  </si>
  <si>
    <t>15281807190</t>
  </si>
  <si>
    <t>15281827465</t>
  </si>
  <si>
    <t>15281827467</t>
  </si>
  <si>
    <t>15281828816</t>
  </si>
  <si>
    <t>15281828867</t>
  </si>
  <si>
    <t>15281830450</t>
  </si>
  <si>
    <t>15281831542</t>
  </si>
  <si>
    <t>15281843616</t>
  </si>
  <si>
    <t>15281875865</t>
  </si>
  <si>
    <t>15281880717</t>
  </si>
  <si>
    <t>15281925158</t>
  </si>
  <si>
    <t>15281956474</t>
  </si>
  <si>
    <t>57856128</t>
  </si>
  <si>
    <t>15282013472</t>
  </si>
  <si>
    <t>57865904</t>
  </si>
  <si>
    <t>15282045193</t>
  </si>
  <si>
    <t>57885263</t>
  </si>
  <si>
    <t>15282057087</t>
  </si>
  <si>
    <t>15282063954</t>
  </si>
  <si>
    <t>57902392</t>
  </si>
  <si>
    <t>15282075627</t>
  </si>
  <si>
    <t>58795761</t>
  </si>
  <si>
    <t>15282104499</t>
  </si>
  <si>
    <t>15282134287</t>
  </si>
  <si>
    <t>57892210</t>
  </si>
  <si>
    <t>15282134288</t>
  </si>
  <si>
    <t>57893212</t>
  </si>
  <si>
    <t>15282157512</t>
  </si>
  <si>
    <t>15282163411</t>
  </si>
  <si>
    <t>15282168433</t>
  </si>
  <si>
    <t>15282172527</t>
  </si>
  <si>
    <t>57912515</t>
  </si>
  <si>
    <t>15282217860</t>
  </si>
  <si>
    <t>57920645</t>
  </si>
  <si>
    <t>15282224956</t>
  </si>
  <si>
    <t>57924417</t>
  </si>
  <si>
    <t>15282238953</t>
  </si>
  <si>
    <t>15282261599</t>
  </si>
  <si>
    <t>15282306118</t>
  </si>
  <si>
    <t>15282318262</t>
  </si>
  <si>
    <t>15282321680</t>
  </si>
  <si>
    <t>57943358</t>
  </si>
  <si>
    <t>15282337444</t>
  </si>
  <si>
    <t>15282348765</t>
  </si>
  <si>
    <t>15282356429</t>
  </si>
  <si>
    <t>57948555</t>
  </si>
  <si>
    <t>15282356430</t>
  </si>
  <si>
    <t>57948813</t>
  </si>
  <si>
    <t>15282361253</t>
  </si>
  <si>
    <t>15282401018</t>
  </si>
  <si>
    <t>57963518</t>
  </si>
  <si>
    <t>15282450262</t>
  </si>
  <si>
    <t>15282450263</t>
  </si>
  <si>
    <t>15282450725</t>
  </si>
  <si>
    <t>15282457228</t>
  </si>
  <si>
    <t>15282507867</t>
  </si>
  <si>
    <t>15282556921</t>
  </si>
  <si>
    <t>15282562895</t>
  </si>
  <si>
    <t>15282614007</t>
  </si>
  <si>
    <t>15282624769</t>
  </si>
  <si>
    <t>15282632120</t>
  </si>
  <si>
    <t>15282633549</t>
  </si>
  <si>
    <t>15282641480</t>
  </si>
  <si>
    <t>58007395</t>
  </si>
  <si>
    <t>15282679602</t>
  </si>
  <si>
    <t>58009054</t>
  </si>
  <si>
    <t>15282679671</t>
  </si>
  <si>
    <t>58009055</t>
  </si>
  <si>
    <t>15282680424</t>
  </si>
  <si>
    <t>58010859</t>
  </si>
  <si>
    <t>15282699303</t>
  </si>
  <si>
    <t>15282701266</t>
  </si>
  <si>
    <t>15282754983</t>
  </si>
  <si>
    <t>15282763236</t>
  </si>
  <si>
    <t>15282769127</t>
  </si>
  <si>
    <t>15282770124</t>
  </si>
  <si>
    <t>15282788246</t>
  </si>
  <si>
    <t>58030100</t>
  </si>
  <si>
    <t>15282808127</t>
  </si>
  <si>
    <t>15282851960</t>
  </si>
  <si>
    <t>58045739</t>
  </si>
  <si>
    <t>15282893637</t>
  </si>
  <si>
    <t>15282893965</t>
  </si>
  <si>
    <t>58058062</t>
  </si>
  <si>
    <t>15282894990</t>
  </si>
  <si>
    <t>58058678</t>
  </si>
  <si>
    <t>15282899273</t>
  </si>
  <si>
    <t>15282911966</t>
  </si>
  <si>
    <t>58073129</t>
  </si>
  <si>
    <t>15282923010</t>
  </si>
  <si>
    <t>15282947689</t>
  </si>
  <si>
    <t>58058688</t>
  </si>
  <si>
    <t>15282947883</t>
  </si>
  <si>
    <t>58059368</t>
  </si>
  <si>
    <t>15282949998</t>
  </si>
  <si>
    <t>58060154</t>
  </si>
  <si>
    <t>15282950002</t>
  </si>
  <si>
    <t>58060703</t>
  </si>
  <si>
    <t>15282958422</t>
  </si>
  <si>
    <t>15282958425</t>
  </si>
  <si>
    <t>15282968145</t>
  </si>
  <si>
    <t>15282968222</t>
  </si>
  <si>
    <t>15282970287</t>
  </si>
  <si>
    <t>15282971230</t>
  </si>
  <si>
    <t>15282974049</t>
  </si>
  <si>
    <t>15282976463</t>
  </si>
  <si>
    <t>15282976464</t>
  </si>
  <si>
    <t>15282987769</t>
  </si>
  <si>
    <t>15282990622</t>
  </si>
  <si>
    <t>15282990624</t>
  </si>
  <si>
    <t>15282992058</t>
  </si>
  <si>
    <t>15283003902</t>
  </si>
  <si>
    <t>58068789</t>
  </si>
  <si>
    <t>15283004318</t>
  </si>
  <si>
    <t>58069641</t>
  </si>
  <si>
    <t>15283004914</t>
  </si>
  <si>
    <t>58068335</t>
  </si>
  <si>
    <t>15283033589</t>
  </si>
  <si>
    <t>15283049699</t>
  </si>
  <si>
    <t>15283056737</t>
  </si>
  <si>
    <t>15283068660</t>
  </si>
  <si>
    <t>15283089601</t>
  </si>
  <si>
    <t>58083071</t>
  </si>
  <si>
    <t>15283107283</t>
  </si>
  <si>
    <t>15283180441</t>
  </si>
  <si>
    <t>15283236424</t>
  </si>
  <si>
    <t>15283250971</t>
  </si>
  <si>
    <t>59536484</t>
  </si>
  <si>
    <t>15283256983</t>
  </si>
  <si>
    <t>15283283020</t>
  </si>
  <si>
    <t>58123024</t>
  </si>
  <si>
    <t>15283324028</t>
  </si>
  <si>
    <t>58127787</t>
  </si>
  <si>
    <t>15283334649</t>
  </si>
  <si>
    <t>59536583</t>
  </si>
  <si>
    <t>15283354642</t>
  </si>
  <si>
    <t>15283423985</t>
  </si>
  <si>
    <t>15283461939</t>
  </si>
  <si>
    <t>58169876</t>
  </si>
  <si>
    <t>15283470123</t>
  </si>
  <si>
    <t>58185078</t>
  </si>
  <si>
    <t>15283506991</t>
  </si>
  <si>
    <t>15283546340</t>
  </si>
  <si>
    <t>15283559229</t>
  </si>
  <si>
    <t>58193355</t>
  </si>
  <si>
    <t>15283574983</t>
  </si>
  <si>
    <t>15283593135</t>
  </si>
  <si>
    <t>15283659442</t>
  </si>
  <si>
    <t>58215632</t>
  </si>
  <si>
    <t>15283659467</t>
  </si>
  <si>
    <t>58215631</t>
  </si>
  <si>
    <t>15283724811</t>
  </si>
  <si>
    <t>58229508</t>
  </si>
  <si>
    <t>15283728838</t>
  </si>
  <si>
    <t>15283729765</t>
  </si>
  <si>
    <t>15283729767</t>
  </si>
  <si>
    <t>15283729768</t>
  </si>
  <si>
    <t>15283730400</t>
  </si>
  <si>
    <t>15283732793</t>
  </si>
  <si>
    <t>15283778056</t>
  </si>
  <si>
    <t>58245634</t>
  </si>
  <si>
    <t>15283829486</t>
  </si>
  <si>
    <t>58255508</t>
  </si>
  <si>
    <t>15283847466</t>
  </si>
  <si>
    <t>15283850497</t>
  </si>
  <si>
    <t>58256181</t>
  </si>
  <si>
    <t>15283850498</t>
  </si>
  <si>
    <t>58256259</t>
  </si>
  <si>
    <t>15284017954</t>
  </si>
  <si>
    <t>15284027174</t>
  </si>
  <si>
    <t>15284037725</t>
  </si>
  <si>
    <t>58309104</t>
  </si>
  <si>
    <t>15284037928</t>
  </si>
  <si>
    <t>58308741</t>
  </si>
  <si>
    <t>15284037979</t>
  </si>
  <si>
    <t>58298371</t>
  </si>
  <si>
    <t>15284148713</t>
  </si>
  <si>
    <t>58324933</t>
  </si>
  <si>
    <t>15284207746</t>
  </si>
  <si>
    <t>15284212732</t>
  </si>
  <si>
    <t>58381998</t>
  </si>
  <si>
    <t>15284358392</t>
  </si>
  <si>
    <t>15284378391</t>
  </si>
  <si>
    <t>15284448263</t>
  </si>
  <si>
    <t>15284449985</t>
  </si>
  <si>
    <t>58409127</t>
  </si>
  <si>
    <t>15284454502</t>
  </si>
  <si>
    <t>58402792</t>
  </si>
  <si>
    <t>15284475089</t>
  </si>
  <si>
    <t>15284475116</t>
  </si>
  <si>
    <t>58412113</t>
  </si>
  <si>
    <t>15284477580</t>
  </si>
  <si>
    <t>15284561790</t>
  </si>
  <si>
    <t>58437100</t>
  </si>
  <si>
    <t>15284572020</t>
  </si>
  <si>
    <t>58439540</t>
  </si>
  <si>
    <t>15284594500</t>
  </si>
  <si>
    <t>58454665</t>
  </si>
  <si>
    <t>15284603228</t>
  </si>
  <si>
    <t>58526684</t>
  </si>
  <si>
    <t>15284676576</t>
  </si>
  <si>
    <t>58468807</t>
  </si>
  <si>
    <t>15284707819</t>
  </si>
  <si>
    <t>58481590</t>
  </si>
  <si>
    <t>15284718497</t>
  </si>
  <si>
    <t>58484841</t>
  </si>
  <si>
    <t>15284754606</t>
  </si>
  <si>
    <t>58493007</t>
  </si>
  <si>
    <t>15284788401</t>
  </si>
  <si>
    <t>58509145</t>
  </si>
  <si>
    <t>15284891067</t>
  </si>
  <si>
    <t>58531096</t>
  </si>
  <si>
    <t>15284912399</t>
  </si>
  <si>
    <t>15284920283</t>
  </si>
  <si>
    <t>58541455</t>
  </si>
  <si>
    <t>15284953121</t>
  </si>
  <si>
    <t>15284955523</t>
  </si>
  <si>
    <t>15285022391</t>
  </si>
  <si>
    <t>15285047503</t>
  </si>
  <si>
    <t>58601177</t>
  </si>
  <si>
    <t>15285057870</t>
  </si>
  <si>
    <t>15285093104</t>
  </si>
  <si>
    <t>58599937</t>
  </si>
  <si>
    <t>15285170549</t>
  </si>
  <si>
    <t>58625345</t>
  </si>
  <si>
    <t>15285182008</t>
  </si>
  <si>
    <t>58627662</t>
  </si>
  <si>
    <t>15285185834</t>
  </si>
  <si>
    <t>58648937</t>
  </si>
  <si>
    <t>15285185860</t>
  </si>
  <si>
    <t>58649059</t>
  </si>
  <si>
    <t>15285190260</t>
  </si>
  <si>
    <t>58650268</t>
  </si>
  <si>
    <t>15285319990</t>
  </si>
  <si>
    <t>58702467</t>
  </si>
  <si>
    <t>15285644445</t>
  </si>
  <si>
    <t>58820591</t>
  </si>
  <si>
    <t>15285667038</t>
  </si>
  <si>
    <t>15285672417</t>
  </si>
  <si>
    <t>58843447</t>
  </si>
  <si>
    <t>15285773242</t>
  </si>
  <si>
    <t>58894543</t>
  </si>
  <si>
    <t>15285773311</t>
  </si>
  <si>
    <t>58865494</t>
  </si>
  <si>
    <t>15285796337</t>
  </si>
  <si>
    <t>58879479</t>
  </si>
  <si>
    <t>15285801823</t>
  </si>
  <si>
    <t>58878609</t>
  </si>
  <si>
    <t>15285837207</t>
  </si>
  <si>
    <t>58894788</t>
  </si>
  <si>
    <t>15285837211</t>
  </si>
  <si>
    <t>58895758</t>
  </si>
  <si>
    <t>15285850568</t>
  </si>
  <si>
    <t>58898003</t>
  </si>
  <si>
    <t>15285895873</t>
  </si>
  <si>
    <t>58921617</t>
  </si>
  <si>
    <t>15285906396</t>
  </si>
  <si>
    <t>58925717</t>
  </si>
  <si>
    <t>15285989314</t>
  </si>
  <si>
    <t>58950363</t>
  </si>
  <si>
    <t>15285997298</t>
  </si>
  <si>
    <t>58954229</t>
  </si>
  <si>
    <t>3419805272</t>
  </si>
  <si>
    <t>45557298</t>
  </si>
  <si>
    <t>Buick General Promotion - Domestic Autos &amp; Trucks &amp; GMC General Promotion - Domestic Trucks : Combo</t>
  </si>
  <si>
    <t>586454369</t>
  </si>
  <si>
    <t>55049331</t>
  </si>
  <si>
    <t>586511531</t>
  </si>
  <si>
    <t>55147863</t>
  </si>
  <si>
    <t>55130012</t>
  </si>
  <si>
    <t>586514309</t>
  </si>
  <si>
    <t>586519160</t>
  </si>
  <si>
    <t>586526116</t>
  </si>
  <si>
    <t>15266339397</t>
  </si>
  <si>
    <t>54892611</t>
  </si>
  <si>
    <t>586334768</t>
  </si>
  <si>
    <t>586341564</t>
  </si>
  <si>
    <t>586353472</t>
  </si>
  <si>
    <t>586356658</t>
  </si>
  <si>
    <t>586382283</t>
  </si>
  <si>
    <t>586398048</t>
  </si>
  <si>
    <t>586401484</t>
  </si>
  <si>
    <t>586402230</t>
  </si>
  <si>
    <t>586411727</t>
  </si>
  <si>
    <t>586417043</t>
  </si>
  <si>
    <t>586417111</t>
  </si>
  <si>
    <t>586422430</t>
  </si>
  <si>
    <t>586421460</t>
  </si>
  <si>
    <t>54965038</t>
  </si>
  <si>
    <t>586437301</t>
  </si>
  <si>
    <t>586449160</t>
  </si>
  <si>
    <t>586416540</t>
  </si>
  <si>
    <t>54966016</t>
  </si>
  <si>
    <t>586425745</t>
  </si>
  <si>
    <t>54973889</t>
  </si>
  <si>
    <t>15267015989</t>
  </si>
  <si>
    <t>54953800</t>
  </si>
  <si>
    <t>15269223310</t>
  </si>
  <si>
    <t>55222687</t>
  </si>
  <si>
    <t>15269223337</t>
  </si>
  <si>
    <t>55222735</t>
  </si>
  <si>
    <t>586458753</t>
  </si>
  <si>
    <t>55059131</t>
  </si>
  <si>
    <t>15267535073</t>
  </si>
  <si>
    <t>15266028408</t>
  </si>
  <si>
    <t>54861689</t>
  </si>
  <si>
    <t>586344994</t>
  </si>
  <si>
    <t>54814288</t>
  </si>
  <si>
    <t>586454499</t>
  </si>
  <si>
    <t>55051452</t>
  </si>
  <si>
    <t>586855540</t>
  </si>
  <si>
    <t>57060386</t>
  </si>
  <si>
    <t>586871711</t>
  </si>
  <si>
    <t>57124024</t>
  </si>
  <si>
    <t>Buick Encore : Domestic Crossover Utility Vehicle</t>
  </si>
  <si>
    <t>15271436949</t>
  </si>
  <si>
    <t>59536621</t>
  </si>
  <si>
    <t>586425749</t>
  </si>
  <si>
    <t>54973890</t>
  </si>
  <si>
    <t>15237056033</t>
  </si>
  <si>
    <t>586488207</t>
  </si>
  <si>
    <t>586493587</t>
  </si>
  <si>
    <t>586495854</t>
  </si>
  <si>
    <t>55149132</t>
  </si>
  <si>
    <t>586501752</t>
  </si>
  <si>
    <t>55161253</t>
  </si>
  <si>
    <t>586505744</t>
  </si>
  <si>
    <t>55164917</t>
  </si>
  <si>
    <t>586530241</t>
  </si>
  <si>
    <t>57001791</t>
  </si>
  <si>
    <t>586579658</t>
  </si>
  <si>
    <t>55459509</t>
  </si>
  <si>
    <t>587004979</t>
  </si>
  <si>
    <t>57678970</t>
  </si>
  <si>
    <t>587158626</t>
  </si>
  <si>
    <t>58195709</t>
  </si>
  <si>
    <t>586614657</t>
  </si>
  <si>
    <t>55647683</t>
  </si>
  <si>
    <t>586627160</t>
  </si>
  <si>
    <t>55780150</t>
  </si>
  <si>
    <t>586531998</t>
  </si>
  <si>
    <t>55388748</t>
  </si>
  <si>
    <t>586575691</t>
  </si>
  <si>
    <t>55453474</t>
  </si>
  <si>
    <t>586624252</t>
  </si>
  <si>
    <t>55718858</t>
  </si>
  <si>
    <t>586647531</t>
  </si>
  <si>
    <t>55896158</t>
  </si>
  <si>
    <t>15269225556</t>
  </si>
  <si>
    <t>55223199</t>
  </si>
  <si>
    <t>15255589545</t>
  </si>
  <si>
    <t>15273939542</t>
  </si>
  <si>
    <t>56097176</t>
  </si>
  <si>
    <t>15284833387</t>
  </si>
  <si>
    <t>58507370</t>
  </si>
  <si>
    <t>586467803</t>
  </si>
  <si>
    <t>55077969</t>
  </si>
  <si>
    <t>15271059788</t>
  </si>
  <si>
    <t>203634831</t>
  </si>
  <si>
    <t>57781282</t>
  </si>
  <si>
    <t>586458469</t>
  </si>
  <si>
    <t>55059281</t>
  </si>
  <si>
    <t>15278359898</t>
  </si>
  <si>
    <t>GRAND TOTAL</t>
  </si>
  <si>
    <t/>
  </si>
  <si>
    <t xml:space="preserve">Report Title:  </t>
  </si>
  <si>
    <t xml:space="preserve">Report Access:  </t>
  </si>
  <si>
    <t xml:space="preserve">PRIVATE                                 </t>
  </si>
  <si>
    <t xml:space="preserve">Report Owner:  </t>
  </si>
  <si>
    <t>Yulia Dubizhansky</t>
  </si>
  <si>
    <t>11/8/2025 07:07:56 EDT</t>
  </si>
  <si>
    <t>Expiration:</t>
  </si>
  <si>
    <t>12/23/2025</t>
  </si>
  <si>
    <t xml:space="preserve">Report ID:  </t>
  </si>
  <si>
    <t>1711241</t>
  </si>
  <si>
    <t xml:space="preserve">1/1/2024-12/31/2024 </t>
  </si>
  <si>
    <t>Original Populating Profile:</t>
  </si>
  <si>
    <t>My New Profile</t>
  </si>
  <si>
    <t>Availability</t>
  </si>
  <si>
    <t>Preliminary Ads:</t>
  </si>
  <si>
    <t>Final All:</t>
  </si>
  <si>
    <t>Magazines</t>
  </si>
  <si>
    <t>11/03/2025</t>
  </si>
  <si>
    <t>10/31/2025</t>
  </si>
  <si>
    <t>Sunday Magazines</t>
  </si>
  <si>
    <t>Network TV</t>
  </si>
  <si>
    <t>11/07/2025</t>
  </si>
  <si>
    <t>09/30/2025</t>
  </si>
  <si>
    <t>Syndication</t>
  </si>
  <si>
    <t>11/06/2025</t>
  </si>
  <si>
    <t>Cable TV</t>
  </si>
  <si>
    <t>Spot TV</t>
  </si>
  <si>
    <t>Internet - Display</t>
  </si>
  <si>
    <t>Newspapers</t>
  </si>
  <si>
    <t>Online Video</t>
  </si>
  <si>
    <t>Mobile Web</t>
  </si>
  <si>
    <t>Mobile Web Video</t>
  </si>
  <si>
    <t>Layout</t>
  </si>
  <si>
    <t xml:space="preserve">  Column/Type</t>
  </si>
  <si>
    <t xml:space="preserve">    Pivot Export</t>
  </si>
  <si>
    <t xml:space="preserve">  Sorts</t>
  </si>
  <si>
    <t xml:space="preserve">    Creative</t>
  </si>
  <si>
    <t>Links Expire 12/23/2025</t>
  </si>
  <si>
    <t xml:space="preserve">    Master Creative ID</t>
  </si>
  <si>
    <t xml:space="preserve">    Detail Creative ID</t>
  </si>
  <si>
    <t xml:space="preserve">    Parent Creative ID</t>
  </si>
  <si>
    <t xml:space="preserve">    Advertiser</t>
  </si>
  <si>
    <t xml:space="preserve">    Brand</t>
  </si>
  <si>
    <t xml:space="preserve">    Product</t>
  </si>
  <si>
    <t xml:space="preserve">  Measures/Calcs</t>
  </si>
  <si>
    <t xml:space="preserve">    Dollars</t>
  </si>
  <si>
    <t>Weights Applied - None</t>
  </si>
  <si>
    <t>Media/Markets</t>
  </si>
  <si>
    <t xml:space="preserve">  Media</t>
  </si>
  <si>
    <t xml:space="preserve">    Network TV</t>
  </si>
  <si>
    <t xml:space="preserve">    Syndication</t>
  </si>
  <si>
    <t xml:space="preserve">    Cable TV</t>
  </si>
  <si>
    <t xml:space="preserve">    Spot TV</t>
  </si>
  <si>
    <t xml:space="preserve">    Internet - Display</t>
  </si>
  <si>
    <t xml:space="preserve">    Online Video</t>
  </si>
  <si>
    <t xml:space="preserve">    Mobile Web</t>
  </si>
  <si>
    <t xml:space="preserve">    Mobile Web Video</t>
  </si>
  <si>
    <t xml:space="preserve">    Magazines</t>
  </si>
  <si>
    <t xml:space="preserve">    Sunday Magazines</t>
  </si>
  <si>
    <t xml:space="preserve">    Newspapers</t>
  </si>
  <si>
    <t xml:space="preserve">    House Ads: Excluded </t>
  </si>
  <si>
    <t xml:space="preserve">  Markets</t>
  </si>
  <si>
    <t xml:space="preserve">    All</t>
  </si>
  <si>
    <t xml:space="preserve">    Digital Market Type: Property</t>
  </si>
  <si>
    <t xml:space="preserve">  Dayparts</t>
  </si>
  <si>
    <t xml:space="preserve">    Daypart Set: Default Dayparts</t>
  </si>
  <si>
    <t xml:space="preserve">  Languages</t>
  </si>
  <si>
    <t>Brands/Categories</t>
  </si>
  <si>
    <t xml:space="preserve">  Brands</t>
  </si>
  <si>
    <t xml:space="preserve">    Buick</t>
  </si>
  <si>
    <t>Advertiser</t>
  </si>
  <si>
    <t xml:space="preserve">  Categories</t>
  </si>
  <si>
    <t>Categories</t>
  </si>
  <si>
    <t xml:space="preserve">  Sponsorship Products: Excluded</t>
  </si>
  <si>
    <t>Time Periods</t>
  </si>
  <si>
    <t xml:space="preserve">    Type: Calendar</t>
  </si>
  <si>
    <t xml:space="preserve">    Year 2024</t>
  </si>
  <si>
    <t xml:space="preserve">    Includes Preliminary Data</t>
  </si>
  <si>
    <t>(c) 2025 Competitive Media Reporting, LLC d/b/a Vivvix</t>
  </si>
  <si>
    <t>Digital estimation models include SimilarWeb metrics.</t>
  </si>
  <si>
    <t>Mobile Web dollars and impressions start April 1, 2015</t>
  </si>
  <si>
    <t>Mobile Web Video spend and impressions start October 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</si>
</sst>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3" x14ac:knownFonts="1">
    <font>
      <sz val="11"/>
      <color theme="1"/>
      <name val="Arial"/>
      <family val="2"/>
      <scheme val="minor"/>
    </font>
    <font>
      <b/>
      <sz val="11"/>
      <color indexed="8"/>
      <name val="Calibri"/>
      <family val="2"/>
    </font>
    <font>
      <u/>
      <sz val="11"/>
      <color indexed="1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1" applyAlignment="1" applyProtection="1"/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0</xdr:col>
      <xdr:colOff>1775000</xdr:colOff>
      <xdr:row>2</xdr:row>
      <xdr:rowOff>180975</xdr:rowOff>
    </xdr:to>
    <xdr:pic>
      <xdr:nvPicPr>
        <xdr:cNvPr id="1025" name="Picture 1" descr="KANTAR_logo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0"/>
          <a:ext cx="1657350" cy="5619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0</xdr:col>
      <xdr:colOff>1775000</xdr:colOff>
      <xdr:row>2</xdr:row>
      <xdr:rowOff>180975</xdr:rowOff>
    </xdr:to>
    <xdr:pic>
      <xdr:nvPicPr>
        <xdr:cNvPr id="1025" name="Picture 1" descr="KANTAR_logo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0"/>
          <a:ext cx="1657350" cy="561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71"/>
  <sheetViews>
    <sheetView tabSelected="1" topLeftCell="A7" workbookViewId="0">
      <selection activeCell="B14" sqref="B14"/>
    </sheetView>
  </sheetViews>
  <sheetFormatPr defaultRowHeight="13.8" x14ac:dyDescent="0.25"/>
  <cols>
    <col min="1" max="1" width="75" customWidth="1"/>
    <col min="2" max="2" width="45" customWidth="1"/>
    <col min="3" max="3" width="18" customWidth="1"/>
    <col min="4" max="6" width="45" customWidth="1"/>
    <col min="7" max="7" width="75" customWidth="1"/>
    <col min="8" max="8" width="14" customWidth="1"/>
  </cols>
  <sheetData>
    <row r="1" spans="1:10" ht="14.4" x14ac:dyDescent="0.3">
      <c r="C1" s="2" t="s">
        <v>0</v>
      </c>
    </row>
    <row r="5" spans="1:10" ht="14.4" x14ac:dyDescent="0.3">
      <c r="A5" s="2" t="s">
        <v>1</v>
      </c>
      <c r="B5" t="s">
        <v>2</v>
      </c>
    </row>
    <row r="6" spans="1:10" ht="14.4" x14ac:dyDescent="0.3">
      <c r="A6" s="2" t="s">
        <v>3</v>
      </c>
      <c r="B6" t="s">
        <v>4</v>
      </c>
    </row>
    <row r="8" spans="1:10" ht="14.4" x14ac:dyDescent="0.3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J8" s="2" t="s">
        <v>6</v>
      </c>
    </row>
    <row r="9" spans="1:10" x14ac:dyDescent="0.25">
      <c r="A9" s="5" t="str">
        <f>HYPERLINK("https://app.vivvix.com/360/KMI/IntelliDrive/ApplUI/Pages/CreativePages/CustomReportCreativeDetail.aspx?App=23&amp;ReportView=4&amp;Qid=1711242&amp;Row=1&amp;Col=1","$239 Per Month For 24 Months")</f>
        <v>$239 Per Month For 24 Months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s="1">
        <v>63262</v>
      </c>
      <c r="J9">
        <v>15255489341</v>
      </c>
    </row>
    <row r="10" spans="1:10" x14ac:dyDescent="0.25">
      <c r="A10" s="5" t="str">
        <f>HYPERLINK("https://app.vivvix.com/360/KMI/IntelliDrive/ApplUI/Pages/CreativePages/CustomReportCreativeDetail.aspx?App=23&amp;ReportView=4&amp;Qid=1711242&amp;Row=2&amp;Col=1","$279 PER MONTH FOR 24 MONTHS")</f>
        <v>$279 PER MONTH FOR 24 MONTHS</v>
      </c>
      <c r="B10" t="s">
        <v>18</v>
      </c>
      <c r="C10" t="s">
        <v>19</v>
      </c>
      <c r="D10" t="s">
        <v>19</v>
      </c>
      <c r="E10" t="s">
        <v>15</v>
      </c>
      <c r="F10" t="s">
        <v>20</v>
      </c>
      <c r="G10" t="s">
        <v>21</v>
      </c>
      <c r="H10" s="1">
        <v>6718</v>
      </c>
      <c r="J10">
        <v>15285837211</v>
      </c>
    </row>
    <row r="11" spans="1:10" x14ac:dyDescent="0.25">
      <c r="A11" s="5" t="str">
        <f>HYPERLINK("https://app.vivvix.com/360/KMI/IntelliDrive/ApplUI/Pages/CreativePages/CustomReportCreativeDetail.aspx?App=23&amp;ReportView=4&amp;Qid=1711242&amp;Row=3&amp;Col=1","$299 PER MONTH FOR 24 MONTHS")</f>
        <v>$299 PER MONTH FOR 24 MONTHS</v>
      </c>
      <c r="B11" t="s">
        <v>22</v>
      </c>
      <c r="C11" t="s">
        <v>23</v>
      </c>
      <c r="D11" t="s">
        <v>23</v>
      </c>
      <c r="E11" t="s">
        <v>15</v>
      </c>
      <c r="F11" t="s">
        <v>20</v>
      </c>
      <c r="G11" t="s">
        <v>21</v>
      </c>
      <c r="H11" s="1">
        <v>302</v>
      </c>
      <c r="J11">
        <v>586341564</v>
      </c>
    </row>
    <row r="12" spans="1:10" x14ac:dyDescent="0.25">
      <c r="A12" s="5" t="str">
        <f>HYPERLINK("https://app.vivvix.com/360/KMI/IntelliDrive/ApplUI/Pages/CreativePages/CustomReportCreativeDetail.aspx?App=23&amp;ReportView=4&amp;Qid=1711242&amp;Row=4&amp;Col=1","$3,999 due at signing after all offers")</f>
        <v>$3,999 due at signing after all offers</v>
      </c>
      <c r="B12" t="s">
        <v>24</v>
      </c>
      <c r="C12" t="s">
        <v>25</v>
      </c>
      <c r="D12" t="s">
        <v>25</v>
      </c>
      <c r="E12" t="s">
        <v>15</v>
      </c>
      <c r="F12" t="s">
        <v>20</v>
      </c>
      <c r="G12" t="s">
        <v>21</v>
      </c>
      <c r="H12" s="1">
        <v>315</v>
      </c>
      <c r="J12">
        <v>15282641480</v>
      </c>
    </row>
    <row r="13" spans="1:10" hidden="1" x14ac:dyDescent="0.25">
      <c r="A13" s="5" t="str">
        <f>HYPERLINK("https://app.vivvix.com/360/KMI/IntelliDrive/ApplUI/Pages/CreativePages/CustomReportCreativeDetail.aspx?App=23&amp;ReportView=4&amp;Qid=1711242&amp;Row=5&amp;Col=1","$o first month's payment security deposit")</f>
        <v>$o first month's payment security deposit</v>
      </c>
      <c r="B13" t="s">
        <v>26</v>
      </c>
      <c r="E13" t="s">
        <v>15</v>
      </c>
      <c r="F13" t="s">
        <v>27</v>
      </c>
      <c r="G13" t="s">
        <v>28</v>
      </c>
      <c r="H13" s="1">
        <v>120651.56299999999</v>
      </c>
      <c r="J13">
        <v>28489774</v>
      </c>
    </row>
    <row r="14" spans="1:10" x14ac:dyDescent="0.25">
      <c r="A14" s="5" t="str">
        <f>HYPERLINK("https://app.vivvix.com/360/KMI/IntelliDrive/ApplUI/Pages/CreativePages/CustomReportCreativeDetail.aspx?App=23&amp;ReportView=4&amp;Qid=1711242&amp;Row=6&amp;Col=1","0.9% APR Plus $2750 Purchase Allowance")</f>
        <v>0.9% APR Plus $2750 Purchase Allowance</v>
      </c>
      <c r="B14" t="s">
        <v>29</v>
      </c>
      <c r="C14" t="s">
        <v>30</v>
      </c>
      <c r="D14" t="s">
        <v>30</v>
      </c>
      <c r="E14" t="s">
        <v>15</v>
      </c>
      <c r="F14" t="s">
        <v>20</v>
      </c>
      <c r="G14" t="s">
        <v>31</v>
      </c>
      <c r="H14" s="1">
        <v>107120</v>
      </c>
      <c r="J14">
        <v>28489787</v>
      </c>
    </row>
    <row r="15" spans="1:10" x14ac:dyDescent="0.25">
      <c r="A15" s="5" t="str">
        <f>HYPERLINK("https://app.vivvix.com/360/KMI/IntelliDrive/ApplUI/Pages/CreativePages/CustomReportCreativeDetail.aspx?App=23&amp;ReportView=4&amp;Qid=1711242&amp;Row=7&amp;Col=1","0.9% APR Plus $2750 Purchase Allowance")</f>
        <v>0.9% APR Plus $2750 Purchase Allowance</v>
      </c>
      <c r="B15" t="s">
        <v>32</v>
      </c>
      <c r="C15" t="s">
        <v>33</v>
      </c>
      <c r="D15" t="s">
        <v>30</v>
      </c>
      <c r="E15" t="s">
        <v>15</v>
      </c>
      <c r="F15" t="s">
        <v>20</v>
      </c>
      <c r="G15" t="s">
        <v>31</v>
      </c>
      <c r="H15" s="1">
        <v>22264</v>
      </c>
      <c r="J15">
        <v>28489877</v>
      </c>
    </row>
    <row r="16" spans="1:10" x14ac:dyDescent="0.25">
      <c r="A16" s="5" t="str">
        <f>HYPERLINK("https://app.vivvix.com/360/KMI/IntelliDrive/ApplUI/Pages/CreativePages/CustomReportCreativeDetail.aspx?App=23&amp;ReportView=4&amp;Qid=1711242&amp;Row=8&amp;Col=1","0.9% APR Plus $2750 Purchase Allowance")</f>
        <v>0.9% APR Plus $2750 Purchase Allowance</v>
      </c>
      <c r="B16" t="s">
        <v>34</v>
      </c>
      <c r="C16" t="s">
        <v>35</v>
      </c>
      <c r="D16" t="s">
        <v>30</v>
      </c>
      <c r="E16" t="s">
        <v>15</v>
      </c>
      <c r="F16" t="s">
        <v>20</v>
      </c>
      <c r="G16" t="s">
        <v>31</v>
      </c>
      <c r="H16" s="1">
        <v>69890</v>
      </c>
      <c r="J16">
        <v>28490246</v>
      </c>
    </row>
    <row r="17" spans="1:10" x14ac:dyDescent="0.25">
      <c r="A17" s="5" t="str">
        <f>HYPERLINK("https://app.vivvix.com/360/KMI/IntelliDrive/ApplUI/Pages/CreativePages/CustomReportCreativeDetail.aspx?App=23&amp;ReportView=4&amp;Qid=1711242&amp;Row=9&amp;Col=1","0.9% APR Plus $2750 Purchase Allowance")</f>
        <v>0.9% APR Plus $2750 Purchase Allowance</v>
      </c>
      <c r="B17" t="s">
        <v>36</v>
      </c>
      <c r="C17" t="s">
        <v>37</v>
      </c>
      <c r="D17" t="s">
        <v>30</v>
      </c>
      <c r="E17" t="s">
        <v>15</v>
      </c>
      <c r="F17" t="s">
        <v>20</v>
      </c>
      <c r="G17" t="s">
        <v>31</v>
      </c>
      <c r="H17" s="1">
        <v>24838</v>
      </c>
      <c r="J17">
        <v>28497433</v>
      </c>
    </row>
    <row r="18" spans="1:10" x14ac:dyDescent="0.25">
      <c r="A18" s="5" t="str">
        <f>HYPERLINK("https://app.vivvix.com/360/KMI/IntelliDrive/ApplUI/Pages/CreativePages/CustomReportCreativeDetail.aspx?App=23&amp;ReportView=4&amp;Qid=1711242&amp;Row=10&amp;Col=1","0.9% aPR Plus $3,500 purchase allowance")</f>
        <v>0.9% aPR Plus $3,500 purchase allowance</v>
      </c>
      <c r="B18" t="s">
        <v>38</v>
      </c>
      <c r="C18" t="s">
        <v>39</v>
      </c>
      <c r="D18" t="s">
        <v>39</v>
      </c>
      <c r="E18" t="s">
        <v>15</v>
      </c>
      <c r="F18" t="s">
        <v>20</v>
      </c>
      <c r="G18" t="s">
        <v>31</v>
      </c>
      <c r="H18" s="1">
        <v>145290</v>
      </c>
      <c r="J18">
        <v>28498066</v>
      </c>
    </row>
    <row r="19" spans="1:10" x14ac:dyDescent="0.25">
      <c r="A19" s="5" t="str">
        <f>HYPERLINK("https://app.vivvix.com/360/KMI/IntelliDrive/ApplUI/Pages/CreativePages/CustomReportCreativeDetail.aspx?App=23&amp;ReportView=4&amp;Qid=1711242&amp;Row=11&amp;Col=1","0.9% aPR Plus $3,500 purchase allowance")</f>
        <v>0.9% aPR Plus $3,500 purchase allowance</v>
      </c>
      <c r="B19" t="s">
        <v>40</v>
      </c>
      <c r="C19" t="s">
        <v>41</v>
      </c>
      <c r="D19" t="s">
        <v>39</v>
      </c>
      <c r="E19" t="s">
        <v>15</v>
      </c>
      <c r="F19" t="s">
        <v>20</v>
      </c>
      <c r="G19" t="s">
        <v>31</v>
      </c>
      <c r="H19" s="1">
        <v>1349</v>
      </c>
      <c r="J19">
        <v>28501114</v>
      </c>
    </row>
    <row r="20" spans="1:10" x14ac:dyDescent="0.25">
      <c r="A20" s="5" t="str">
        <f>HYPERLINK("https://app.vivvix.com/360/KMI/IntelliDrive/ApplUI/Pages/CreativePages/CustomReportCreativeDetail.aspx?App=23&amp;ReportView=4&amp;Qid=1711242&amp;Row=12&amp;Col=1","0.9% aPR Plus $3,500 purchase allowance")</f>
        <v>0.9% aPR Plus $3,500 purchase allowance</v>
      </c>
      <c r="B20" t="s">
        <v>42</v>
      </c>
      <c r="C20" t="s">
        <v>43</v>
      </c>
      <c r="D20" t="s">
        <v>39</v>
      </c>
      <c r="E20" t="s">
        <v>15</v>
      </c>
      <c r="F20" t="s">
        <v>20</v>
      </c>
      <c r="G20" t="s">
        <v>31</v>
      </c>
      <c r="H20" s="1">
        <v>10137</v>
      </c>
      <c r="J20">
        <v>28501392</v>
      </c>
    </row>
    <row r="21" spans="1:10" hidden="1" x14ac:dyDescent="0.25">
      <c r="A21" s="5" t="str">
        <f>HYPERLINK("https://app.vivvix.com/360/KMI/IntelliDrive/ApplUI/Pages/CreativePages/CustomReportCreativeDetail.aspx?App=23&amp;ReportView=4&amp;Qid=1711242&amp;Row=13&amp;Col=1","0.9% aPR PLUS $3500 PURCHASE ALLOWANCE")</f>
        <v>0.9% aPR PLUS $3500 PURCHASE ALLOWANCE</v>
      </c>
      <c r="B21" t="s">
        <v>44</v>
      </c>
      <c r="C21" t="s">
        <v>45</v>
      </c>
      <c r="D21" t="s">
        <v>45</v>
      </c>
      <c r="E21" t="s">
        <v>15</v>
      </c>
      <c r="F21" t="s">
        <v>20</v>
      </c>
      <c r="G21" t="s">
        <v>31</v>
      </c>
      <c r="H21" s="1">
        <v>4987.49</v>
      </c>
      <c r="J21">
        <v>28515611</v>
      </c>
    </row>
    <row r="22" spans="1:10" hidden="1" x14ac:dyDescent="0.25">
      <c r="A22" s="5" t="str">
        <f>HYPERLINK("https://app.vivvix.com/360/KMI/IntelliDrive/ApplUI/Pages/CreativePages/CustomReportCreativeDetail.aspx?App=23&amp;ReportView=4&amp;Qid=1711242&amp;Row=14&amp;Col=1","0.9% aPR PLUS $3500 PURCHASE ALLOWANCE")</f>
        <v>0.9% aPR PLUS $3500 PURCHASE ALLOWANCE</v>
      </c>
      <c r="B22" t="s">
        <v>44</v>
      </c>
      <c r="E22" t="s">
        <v>15</v>
      </c>
      <c r="F22" t="s">
        <v>20</v>
      </c>
      <c r="G22" t="s">
        <v>31</v>
      </c>
      <c r="H22" s="1">
        <v>52294.485000000001</v>
      </c>
      <c r="J22">
        <v>28515864</v>
      </c>
    </row>
    <row r="23" spans="1:10" hidden="1" x14ac:dyDescent="0.25">
      <c r="A23" s="5" t="str">
        <f>HYPERLINK("https://app.vivvix.com/360/KMI/IntelliDrive/ApplUI/Pages/CreativePages/CustomReportCreativeDetail.aspx?App=23&amp;ReportView=4&amp;Qid=1711242&amp;Row=15&amp;Col=1","44th Anniversary")</f>
        <v>44th Anniversary</v>
      </c>
      <c r="B23" t="s">
        <v>46</v>
      </c>
      <c r="C23" t="s">
        <v>47</v>
      </c>
      <c r="D23" t="s">
        <v>47</v>
      </c>
      <c r="E23" t="s">
        <v>15</v>
      </c>
      <c r="F23" t="s">
        <v>20</v>
      </c>
      <c r="G23" t="s">
        <v>21</v>
      </c>
      <c r="H23" s="1">
        <v>656.65599999999995</v>
      </c>
      <c r="J23">
        <v>28522102</v>
      </c>
    </row>
    <row r="24" spans="1:10" x14ac:dyDescent="0.25">
      <c r="A24" s="5" t="str">
        <f>HYPERLINK("https://app.vivvix.com/360/KMI/IntelliDrive/ApplUI/Pages/CreativePages/CustomReportCreativeDetail.aspx?App=23&amp;ReportView=4&amp;Qid=1711242&amp;Row=16&amp;Col=1","An Exceptional Drive")</f>
        <v>An Exceptional Drive</v>
      </c>
      <c r="B24" t="s">
        <v>48</v>
      </c>
      <c r="C24" t="s">
        <v>49</v>
      </c>
      <c r="D24" t="s">
        <v>49</v>
      </c>
      <c r="E24" t="s">
        <v>15</v>
      </c>
      <c r="F24" t="s">
        <v>50</v>
      </c>
      <c r="G24" t="s">
        <v>51</v>
      </c>
      <c r="H24" s="1">
        <v>2500</v>
      </c>
      <c r="J24">
        <v>28548865</v>
      </c>
    </row>
    <row r="25" spans="1:10" hidden="1" x14ac:dyDescent="0.25">
      <c r="A25" s="5" t="str">
        <f>HYPERLINK("https://app.vivvix.com/360/KMI/IntelliDrive/ApplUI/Pages/CreativePages/CustomReportCreativeDetail.aspx?App=23&amp;ReportView=4&amp;Qid=1711242&amp;Row=17&amp;Col=1","Available Remote Start")</f>
        <v>Available Remote Start</v>
      </c>
      <c r="B25" t="s">
        <v>52</v>
      </c>
      <c r="C25" t="s">
        <v>53</v>
      </c>
      <c r="D25" t="s">
        <v>53</v>
      </c>
      <c r="E25" t="s">
        <v>15</v>
      </c>
      <c r="F25" t="s">
        <v>16</v>
      </c>
      <c r="G25" t="s">
        <v>54</v>
      </c>
      <c r="H25" s="1">
        <v>47190.495999999999</v>
      </c>
      <c r="J25">
        <v>28551055</v>
      </c>
    </row>
    <row r="26" spans="1:10" hidden="1" x14ac:dyDescent="0.25">
      <c r="A26" s="5" t="str">
        <f>HYPERLINK("https://app.vivvix.com/360/KMI/IntelliDrive/ApplUI/Pages/CreativePages/CustomReportCreativeDetail.aspx?App=23&amp;ReportView=4&amp;Qid=1711242&amp;Row=18&amp;Col=1","Available Remote Start")</f>
        <v>Available Remote Start</v>
      </c>
      <c r="B26" t="s">
        <v>52</v>
      </c>
      <c r="E26" t="s">
        <v>15</v>
      </c>
      <c r="F26" t="s">
        <v>16</v>
      </c>
      <c r="G26" t="s">
        <v>54</v>
      </c>
      <c r="H26" s="1">
        <v>347016.24599999998</v>
      </c>
      <c r="J26">
        <v>28553568</v>
      </c>
    </row>
    <row r="27" spans="1:10" hidden="1" x14ac:dyDescent="0.25">
      <c r="A27" s="5" t="str">
        <f>HYPERLINK("https://app.vivvix.com/360/KMI/IntelliDrive/ApplUI/Pages/CreativePages/CustomReportCreativeDetail.aspx?App=23&amp;ReportView=4&amp;Qid=1711242&amp;Row=19&amp;Col=1","beautiful car is featured here")</f>
        <v>beautiful car is featured here</v>
      </c>
      <c r="B27" t="s">
        <v>55</v>
      </c>
      <c r="C27" t="s">
        <v>56</v>
      </c>
      <c r="D27" t="s">
        <v>57</v>
      </c>
      <c r="E27" t="s">
        <v>15</v>
      </c>
      <c r="F27" t="s">
        <v>50</v>
      </c>
      <c r="G27" t="s">
        <v>51</v>
      </c>
      <c r="H27" s="1">
        <v>6925.9620000000004</v>
      </c>
      <c r="J27">
        <v>28553575</v>
      </c>
    </row>
    <row r="28" spans="1:10" hidden="1" x14ac:dyDescent="0.25">
      <c r="A28" s="5" t="str">
        <f>HYPERLINK("https://app.vivvix.com/360/KMI/IntelliDrive/ApplUI/Pages/CreativePages/CustomReportCreativeDetail.aspx?App=23&amp;ReportView=4&amp;Qid=1711242&amp;Row=20&amp;Col=1","beautiful models are shown.")</f>
        <v>beautiful models are shown.</v>
      </c>
      <c r="B28" t="s">
        <v>58</v>
      </c>
      <c r="C28" t="s">
        <v>59</v>
      </c>
      <c r="D28" t="s">
        <v>59</v>
      </c>
      <c r="E28" t="s">
        <v>15</v>
      </c>
      <c r="F28" t="s">
        <v>60</v>
      </c>
      <c r="G28" t="s">
        <v>61</v>
      </c>
      <c r="H28" s="1">
        <v>20405.111000000001</v>
      </c>
      <c r="J28">
        <v>28554175</v>
      </c>
    </row>
    <row r="29" spans="1:10" x14ac:dyDescent="0.25">
      <c r="A29" s="5" t="str">
        <f>HYPERLINK("https://app.vivvix.com/360/KMI/IntelliDrive/ApplUI/Pages/CreativePages/CustomReportCreativeDetail.aspx?App=23&amp;ReportView=4&amp;Qid=1711242&amp;Row=21&amp;Col=1","Best Luxury Brand")</f>
        <v>Best Luxury Brand</v>
      </c>
      <c r="B29" t="s">
        <v>62</v>
      </c>
      <c r="C29" t="s">
        <v>63</v>
      </c>
      <c r="D29" t="s">
        <v>64</v>
      </c>
      <c r="E29" t="s">
        <v>15</v>
      </c>
      <c r="F29" t="s">
        <v>50</v>
      </c>
      <c r="G29" t="s">
        <v>65</v>
      </c>
      <c r="H29" s="1">
        <v>29950</v>
      </c>
      <c r="J29">
        <v>28557566</v>
      </c>
    </row>
    <row r="30" spans="1:10" x14ac:dyDescent="0.25">
      <c r="A30" s="5" t="str">
        <f>HYPERLINK("https://app.vivvix.com/360/KMI/IntelliDrive/ApplUI/Pages/CreativePages/CustomReportCreativeDetail.aspx?App=23&amp;ReportView=4&amp;Qid=1711242&amp;Row=22&amp;Col=1","Best Value Luxury Brand")</f>
        <v>Best Value Luxury Brand</v>
      </c>
      <c r="B30" t="s">
        <v>66</v>
      </c>
      <c r="C30" t="s">
        <v>67</v>
      </c>
      <c r="D30" t="s">
        <v>68</v>
      </c>
      <c r="E30" t="s">
        <v>15</v>
      </c>
      <c r="F30" t="s">
        <v>50</v>
      </c>
      <c r="G30" t="s">
        <v>51</v>
      </c>
      <c r="H30" s="1">
        <v>388153</v>
      </c>
      <c r="J30">
        <v>28560416</v>
      </c>
    </row>
    <row r="31" spans="1:10" x14ac:dyDescent="0.25">
      <c r="A31" s="5" t="str">
        <f>HYPERLINK("https://app.vivvix.com/360/KMI/IntelliDrive/ApplUI/Pages/CreativePages/CustomReportCreativeDetail.aspx?App=23&amp;ReportView=4&amp;Qid=1711242&amp;Row=23&amp;Col=1","Best Value Luxury Brand")</f>
        <v>Best Value Luxury Brand</v>
      </c>
      <c r="B31" t="s">
        <v>69</v>
      </c>
      <c r="C31" t="s">
        <v>70</v>
      </c>
      <c r="D31" t="s">
        <v>70</v>
      </c>
      <c r="E31" t="s">
        <v>15</v>
      </c>
      <c r="F31" t="s">
        <v>50</v>
      </c>
      <c r="G31" t="s">
        <v>51</v>
      </c>
      <c r="H31" s="1">
        <v>1234</v>
      </c>
      <c r="J31">
        <v>28561959</v>
      </c>
    </row>
    <row r="32" spans="1:10" x14ac:dyDescent="0.25">
      <c r="A32" s="5" t="str">
        <f>HYPERLINK("https://app.vivvix.com/360/KMI/IntelliDrive/ApplUI/Pages/CreativePages/CustomReportCreativeDetail.aspx?App=23&amp;ReportView=4&amp;Qid=1711242&amp;Row=24&amp;Col=1","Best Value Luxury Brand")</f>
        <v>Best Value Luxury Brand</v>
      </c>
      <c r="B32" t="s">
        <v>71</v>
      </c>
      <c r="C32" t="s">
        <v>72</v>
      </c>
      <c r="D32" t="s">
        <v>64</v>
      </c>
      <c r="E32" t="s">
        <v>15</v>
      </c>
      <c r="F32" t="s">
        <v>50</v>
      </c>
      <c r="G32" t="s">
        <v>65</v>
      </c>
      <c r="H32" s="1">
        <v>5708</v>
      </c>
      <c r="J32">
        <v>28606067</v>
      </c>
    </row>
    <row r="33" spans="1:10" x14ac:dyDescent="0.25">
      <c r="A33" s="5" t="str">
        <f>HYPERLINK("https://app.vivvix.com/360/KMI/IntelliDrive/ApplUI/Pages/CreativePages/CustomReportCreativeDetail.aspx?App=23&amp;ReportView=4&amp;Qid=1711242&amp;Row=25&amp;Col=1","Best Value Luxury Brand")</f>
        <v>Best Value Luxury Brand</v>
      </c>
      <c r="B33" t="s">
        <v>73</v>
      </c>
      <c r="C33" t="s">
        <v>74</v>
      </c>
      <c r="D33" t="s">
        <v>75</v>
      </c>
      <c r="E33" t="s">
        <v>15</v>
      </c>
      <c r="F33" t="s">
        <v>50</v>
      </c>
      <c r="G33" t="s">
        <v>76</v>
      </c>
      <c r="H33" s="1">
        <v>11766</v>
      </c>
      <c r="J33">
        <v>28606901</v>
      </c>
    </row>
    <row r="34" spans="1:10" x14ac:dyDescent="0.25">
      <c r="A34" s="5" t="str">
        <f>HYPERLINK("https://app.vivvix.com/360/KMI/IntelliDrive/ApplUI/Pages/CreativePages/CustomReportCreativeDetail.aspx?App=23&amp;ReportView=4&amp;Qid=1711242&amp;Row=26&amp;Col=1","Best Value Luxury Brand")</f>
        <v>Best Value Luxury Brand</v>
      </c>
      <c r="B34" t="s">
        <v>77</v>
      </c>
      <c r="C34" t="s">
        <v>78</v>
      </c>
      <c r="D34" t="s">
        <v>68</v>
      </c>
      <c r="E34" t="s">
        <v>15</v>
      </c>
      <c r="F34" t="s">
        <v>50</v>
      </c>
      <c r="G34" t="s">
        <v>51</v>
      </c>
      <c r="H34" s="1">
        <v>25719</v>
      </c>
      <c r="J34">
        <v>28623283</v>
      </c>
    </row>
    <row r="35" spans="1:10" x14ac:dyDescent="0.25">
      <c r="A35" s="5" t="str">
        <f>HYPERLINK("https://app.vivvix.com/360/KMI/IntelliDrive/ApplUI/Pages/CreativePages/CustomReportCreativeDetail.aspx?App=23&amp;ReportView=4&amp;Qid=1711242&amp;Row=27&amp;Col=1","Best Value Luxury Brand")</f>
        <v>Best Value Luxury Brand</v>
      </c>
      <c r="B35" t="s">
        <v>79</v>
      </c>
      <c r="C35" t="s">
        <v>80</v>
      </c>
      <c r="D35" t="s">
        <v>64</v>
      </c>
      <c r="E35" t="s">
        <v>15</v>
      </c>
      <c r="F35" t="s">
        <v>50</v>
      </c>
      <c r="G35" t="s">
        <v>65</v>
      </c>
      <c r="H35" s="1">
        <v>32006</v>
      </c>
      <c r="J35">
        <v>28629893</v>
      </c>
    </row>
    <row r="36" spans="1:10" x14ac:dyDescent="0.25">
      <c r="A36" s="5" t="str">
        <f>HYPERLINK("https://app.vivvix.com/360/KMI/IntelliDrive/ApplUI/Pages/CreativePages/CustomReportCreativeDetail.aspx?App=23&amp;ReportView=4&amp;Qid=1711242&amp;Row=28&amp;Col=1","Best Value Luxury Brand")</f>
        <v>Best Value Luxury Brand</v>
      </c>
      <c r="B36" t="s">
        <v>81</v>
      </c>
      <c r="C36" t="s">
        <v>82</v>
      </c>
      <c r="D36" t="s">
        <v>75</v>
      </c>
      <c r="E36" t="s">
        <v>15</v>
      </c>
      <c r="F36" t="s">
        <v>50</v>
      </c>
      <c r="G36" t="s">
        <v>76</v>
      </c>
      <c r="H36" s="1">
        <v>51295</v>
      </c>
      <c r="J36">
        <v>28634430</v>
      </c>
    </row>
    <row r="37" spans="1:10" x14ac:dyDescent="0.25">
      <c r="A37" s="5" t="str">
        <f>HYPERLINK("https://app.vivvix.com/360/KMI/IntelliDrive/ApplUI/Pages/CreativePages/CustomReportCreativeDetail.aspx?App=23&amp;ReportView=4&amp;Qid=1711242&amp;Row=29&amp;Col=1","Best Value Luxury Brand")</f>
        <v>Best Value Luxury Brand</v>
      </c>
      <c r="B37" t="s">
        <v>83</v>
      </c>
      <c r="C37" t="s">
        <v>84</v>
      </c>
      <c r="D37" t="s">
        <v>68</v>
      </c>
      <c r="E37" t="s">
        <v>15</v>
      </c>
      <c r="F37" t="s">
        <v>50</v>
      </c>
      <c r="G37" t="s">
        <v>51</v>
      </c>
      <c r="H37" s="1">
        <v>82074</v>
      </c>
      <c r="J37">
        <v>28686518</v>
      </c>
    </row>
    <row r="38" spans="1:10" x14ac:dyDescent="0.25">
      <c r="A38" s="5" t="str">
        <f>HYPERLINK("https://app.vivvix.com/360/KMI/IntelliDrive/ApplUI/Pages/CreativePages/CustomReportCreativeDetail.aspx?App=23&amp;ReportView=4&amp;Qid=1711242&amp;Row=30&amp;Col=1","Best Value Luxury Brand")</f>
        <v>Best Value Luxury Brand</v>
      </c>
      <c r="B38" t="s">
        <v>85</v>
      </c>
      <c r="C38" t="s">
        <v>86</v>
      </c>
      <c r="D38" t="s">
        <v>75</v>
      </c>
      <c r="E38" t="s">
        <v>15</v>
      </c>
      <c r="F38" t="s">
        <v>50</v>
      </c>
      <c r="G38" t="s">
        <v>76</v>
      </c>
      <c r="H38" s="1">
        <v>62932</v>
      </c>
      <c r="J38">
        <v>28704435</v>
      </c>
    </row>
    <row r="39" spans="1:10" x14ac:dyDescent="0.25">
      <c r="A39" s="5" t="str">
        <f>HYPERLINK("https://app.vivvix.com/360/KMI/IntelliDrive/ApplUI/Pages/CreativePages/CustomReportCreativeDetail.aspx?App=23&amp;ReportView=4&amp;Qid=1711242&amp;Row=31&amp;Col=1","Best Value Luxury Brand")</f>
        <v>Best Value Luxury Brand</v>
      </c>
      <c r="B39" t="s">
        <v>87</v>
      </c>
      <c r="C39" t="s">
        <v>88</v>
      </c>
      <c r="D39" t="s">
        <v>75</v>
      </c>
      <c r="E39" t="s">
        <v>15</v>
      </c>
      <c r="F39" t="s">
        <v>50</v>
      </c>
      <c r="G39" t="s">
        <v>76</v>
      </c>
      <c r="H39" s="1">
        <v>738</v>
      </c>
      <c r="J39">
        <v>586271537</v>
      </c>
    </row>
    <row r="40" spans="1:10" x14ac:dyDescent="0.25">
      <c r="A40" s="5" t="str">
        <f>HYPERLINK("https://app.vivvix.com/360/KMI/IntelliDrive/ApplUI/Pages/CreativePages/CustomReportCreativeDetail.aspx?App=23&amp;ReportView=4&amp;Qid=1711242&amp;Row=32&amp;Col=1","Best Value Luxury Brand")</f>
        <v>Best Value Luxury Brand</v>
      </c>
      <c r="B40" t="s">
        <v>89</v>
      </c>
      <c r="C40" t="s">
        <v>90</v>
      </c>
      <c r="D40" t="s">
        <v>75</v>
      </c>
      <c r="E40" t="s">
        <v>15</v>
      </c>
      <c r="F40" t="s">
        <v>50</v>
      </c>
      <c r="G40" t="s">
        <v>76</v>
      </c>
      <c r="H40" s="1">
        <v>568</v>
      </c>
      <c r="J40">
        <v>586279698</v>
      </c>
    </row>
    <row r="41" spans="1:10" x14ac:dyDescent="0.25">
      <c r="A41" s="5" t="str">
        <f>HYPERLINK("https://app.vivvix.com/360/KMI/IntelliDrive/ApplUI/Pages/CreativePages/CustomReportCreativeDetail.aspx?App=23&amp;ReportView=4&amp;Qid=1711242&amp;Row=33&amp;Col=1","best value luxury brand")</f>
        <v>best value luxury brand</v>
      </c>
      <c r="B41" t="s">
        <v>91</v>
      </c>
      <c r="C41" t="s">
        <v>92</v>
      </c>
      <c r="D41" t="s">
        <v>64</v>
      </c>
      <c r="E41" t="s">
        <v>15</v>
      </c>
      <c r="F41" t="s">
        <v>50</v>
      </c>
      <c r="G41" t="s">
        <v>65</v>
      </c>
      <c r="H41" s="1">
        <v>1855470</v>
      </c>
      <c r="J41">
        <v>586290281</v>
      </c>
    </row>
    <row r="42" spans="1:10" x14ac:dyDescent="0.25">
      <c r="A42" s="5" t="str">
        <f>HYPERLINK("https://app.vivvix.com/360/KMI/IntelliDrive/ApplUI/Pages/CreativePages/CustomReportCreativeDetail.aspx?App=23&amp;ReportView=4&amp;Qid=1711242&amp;Row=34&amp;Col=1","best value luxury brand")</f>
        <v>best value luxury brand</v>
      </c>
      <c r="B42" t="s">
        <v>93</v>
      </c>
      <c r="C42" t="s">
        <v>64</v>
      </c>
      <c r="D42" t="s">
        <v>64</v>
      </c>
      <c r="E42" t="s">
        <v>15</v>
      </c>
      <c r="F42" t="s">
        <v>50</v>
      </c>
      <c r="G42" t="s">
        <v>65</v>
      </c>
      <c r="H42" s="1">
        <v>1484039</v>
      </c>
      <c r="J42">
        <v>586291148</v>
      </c>
    </row>
    <row r="43" spans="1:10" x14ac:dyDescent="0.25">
      <c r="A43" s="5" t="str">
        <f>HYPERLINK("https://app.vivvix.com/360/KMI/IntelliDrive/ApplUI/Pages/CreativePages/CustomReportCreativeDetail.aspx?App=23&amp;ReportView=4&amp;Qid=1711242&amp;Row=35&amp;Col=1","best value luxury brand")</f>
        <v>best value luxury brand</v>
      </c>
      <c r="B43" t="s">
        <v>94</v>
      </c>
      <c r="C43" t="s">
        <v>95</v>
      </c>
      <c r="D43" t="s">
        <v>64</v>
      </c>
      <c r="E43" t="s">
        <v>15</v>
      </c>
      <c r="F43" t="s">
        <v>50</v>
      </c>
      <c r="G43" t="s">
        <v>65</v>
      </c>
      <c r="H43" s="1">
        <v>44155</v>
      </c>
      <c r="J43">
        <v>586293518</v>
      </c>
    </row>
    <row r="44" spans="1:10" x14ac:dyDescent="0.25">
      <c r="A44" s="5" t="str">
        <f>HYPERLINK("https://app.vivvix.com/360/KMI/IntelliDrive/ApplUI/Pages/CreativePages/CustomReportCreativeDetail.aspx?App=23&amp;ReportView=4&amp;Qid=1711242&amp;Row=36&amp;Col=1","best value luxury brand")</f>
        <v>best value luxury brand</v>
      </c>
      <c r="B44" t="s">
        <v>96</v>
      </c>
      <c r="C44" t="s">
        <v>97</v>
      </c>
      <c r="D44" t="s">
        <v>64</v>
      </c>
      <c r="E44" t="s">
        <v>15</v>
      </c>
      <c r="F44" t="s">
        <v>50</v>
      </c>
      <c r="G44" t="s">
        <v>65</v>
      </c>
      <c r="H44" s="1">
        <v>131911</v>
      </c>
      <c r="J44">
        <v>586294271</v>
      </c>
    </row>
    <row r="45" spans="1:10" x14ac:dyDescent="0.25">
      <c r="A45" s="5" t="str">
        <f>HYPERLINK("https://app.vivvix.com/360/KMI/IntelliDrive/ApplUI/Pages/CreativePages/CustomReportCreativeDetail.aspx?App=23&amp;ReportView=4&amp;Qid=1711242&amp;Row=37&amp;Col=1","best value luxury brand")</f>
        <v>best value luxury brand</v>
      </c>
      <c r="B45" t="s">
        <v>98</v>
      </c>
      <c r="C45" t="s">
        <v>99</v>
      </c>
      <c r="D45" t="s">
        <v>64</v>
      </c>
      <c r="E45" t="s">
        <v>15</v>
      </c>
      <c r="F45" t="s">
        <v>50</v>
      </c>
      <c r="G45" t="s">
        <v>65</v>
      </c>
      <c r="H45" s="1">
        <v>47630</v>
      </c>
      <c r="J45">
        <v>586297591</v>
      </c>
    </row>
    <row r="46" spans="1:10" x14ac:dyDescent="0.25">
      <c r="A46" s="5" t="str">
        <f>HYPERLINK("https://app.vivvix.com/360/KMI/IntelliDrive/ApplUI/Pages/CreativePages/CustomReportCreativeDetail.aspx?App=23&amp;ReportView=4&amp;Qid=1711242&amp;Row=38&amp;Col=1","best value luxury brand")</f>
        <v>best value luxury brand</v>
      </c>
      <c r="B46" t="s">
        <v>100</v>
      </c>
      <c r="C46" t="s">
        <v>101</v>
      </c>
      <c r="D46" t="s">
        <v>68</v>
      </c>
      <c r="E46" t="s">
        <v>15</v>
      </c>
      <c r="F46" t="s">
        <v>50</v>
      </c>
      <c r="G46" t="s">
        <v>51</v>
      </c>
      <c r="H46" s="1">
        <v>84008</v>
      </c>
      <c r="J46">
        <v>586298599</v>
      </c>
    </row>
    <row r="47" spans="1:10" x14ac:dyDescent="0.25">
      <c r="A47" s="5" t="str">
        <f>HYPERLINK("https://app.vivvix.com/360/KMI/IntelliDrive/ApplUI/Pages/CreativePages/CustomReportCreativeDetail.aspx?App=23&amp;ReportView=4&amp;Qid=1711242&amp;Row=39&amp;Col=1","best value luxury brand")</f>
        <v>best value luxury brand</v>
      </c>
      <c r="B47" t="s">
        <v>102</v>
      </c>
      <c r="C47" t="s">
        <v>103</v>
      </c>
      <c r="D47" t="s">
        <v>64</v>
      </c>
      <c r="E47" t="s">
        <v>15</v>
      </c>
      <c r="F47" t="s">
        <v>50</v>
      </c>
      <c r="G47" t="s">
        <v>65</v>
      </c>
      <c r="H47" s="1">
        <v>171549</v>
      </c>
      <c r="J47">
        <v>586307761</v>
      </c>
    </row>
    <row r="48" spans="1:10" x14ac:dyDescent="0.25">
      <c r="A48" s="5" t="str">
        <f>HYPERLINK("https://app.vivvix.com/360/KMI/IntelliDrive/ApplUI/Pages/CreativePages/CustomReportCreativeDetail.aspx?App=23&amp;ReportView=4&amp;Qid=1711242&amp;Row=40&amp;Col=1","best value luxury brand")</f>
        <v>best value luxury brand</v>
      </c>
      <c r="B48" t="s">
        <v>104</v>
      </c>
      <c r="C48" t="s">
        <v>105</v>
      </c>
      <c r="D48" t="s">
        <v>75</v>
      </c>
      <c r="E48" t="s">
        <v>15</v>
      </c>
      <c r="F48" t="s">
        <v>50</v>
      </c>
      <c r="G48" t="s">
        <v>76</v>
      </c>
      <c r="H48" s="1">
        <v>494023</v>
      </c>
      <c r="J48">
        <v>586314224</v>
      </c>
    </row>
    <row r="49" spans="1:10" x14ac:dyDescent="0.25">
      <c r="A49" s="5" t="str">
        <f>HYPERLINK("https://app.vivvix.com/360/KMI/IntelliDrive/ApplUI/Pages/CreativePages/CustomReportCreativeDetail.aspx?App=23&amp;ReportView=4&amp;Qid=1711242&amp;Row=41&amp;Col=1","Best Value Luxury Brand")</f>
        <v>Best Value Luxury Brand</v>
      </c>
      <c r="B49" t="s">
        <v>106</v>
      </c>
      <c r="C49" t="s">
        <v>75</v>
      </c>
      <c r="D49" t="s">
        <v>75</v>
      </c>
      <c r="E49" t="s">
        <v>15</v>
      </c>
      <c r="F49" t="s">
        <v>50</v>
      </c>
      <c r="G49" t="s">
        <v>76</v>
      </c>
      <c r="H49" s="1">
        <v>613329</v>
      </c>
      <c r="J49">
        <v>586322678</v>
      </c>
    </row>
    <row r="50" spans="1:10" x14ac:dyDescent="0.25">
      <c r="A50" s="5" t="str">
        <f>HYPERLINK("https://app.vivvix.com/360/KMI/IntelliDrive/ApplUI/Pages/CreativePages/CustomReportCreativeDetail.aspx?App=23&amp;ReportView=4&amp;Qid=1711242&amp;Row=42&amp;Col=1","Best Value Luxury Brand")</f>
        <v>Best Value Luxury Brand</v>
      </c>
      <c r="B50" t="s">
        <v>107</v>
      </c>
      <c r="C50" t="s">
        <v>108</v>
      </c>
      <c r="D50" t="s">
        <v>75</v>
      </c>
      <c r="E50" t="s">
        <v>15</v>
      </c>
      <c r="F50" t="s">
        <v>50</v>
      </c>
      <c r="G50" t="s">
        <v>76</v>
      </c>
      <c r="H50" s="1">
        <v>151202</v>
      </c>
      <c r="J50">
        <v>586330187</v>
      </c>
    </row>
    <row r="51" spans="1:10" x14ac:dyDescent="0.25">
      <c r="A51" s="5" t="str">
        <f>HYPERLINK("https://app.vivvix.com/360/KMI/IntelliDrive/ApplUI/Pages/CreativePages/CustomReportCreativeDetail.aspx?App=23&amp;ReportView=4&amp;Qid=1711242&amp;Row=43&amp;Col=1","Best Value Luxury Brand, Great Offers")</f>
        <v>Best Value Luxury Brand, Great Offers</v>
      </c>
      <c r="B51" t="s">
        <v>109</v>
      </c>
      <c r="C51" t="s">
        <v>110</v>
      </c>
      <c r="D51" t="s">
        <v>64</v>
      </c>
      <c r="E51" t="s">
        <v>15</v>
      </c>
      <c r="F51" t="s">
        <v>50</v>
      </c>
      <c r="G51" t="s">
        <v>65</v>
      </c>
      <c r="H51" s="1">
        <v>3074</v>
      </c>
      <c r="J51">
        <v>586331684</v>
      </c>
    </row>
    <row r="52" spans="1:10" x14ac:dyDescent="0.25">
      <c r="A52" s="5" t="str">
        <f>HYPERLINK("https://app.vivvix.com/360/KMI/IntelliDrive/ApplUI/Pages/CreativePages/CustomReportCreativeDetail.aspx?App=23&amp;ReportView=4&amp;Qid=1711242&amp;Row=44&amp;Col=1","Built Around All/$279, $4,069")</f>
        <v>Built Around All/$279, $4,069</v>
      </c>
      <c r="B52" t="s">
        <v>111</v>
      </c>
      <c r="C52" t="s">
        <v>112</v>
      </c>
      <c r="D52" t="s">
        <v>113</v>
      </c>
      <c r="E52" t="s">
        <v>15</v>
      </c>
      <c r="F52" t="s">
        <v>20</v>
      </c>
      <c r="G52" t="s">
        <v>21</v>
      </c>
      <c r="H52" s="1">
        <v>10610</v>
      </c>
      <c r="J52">
        <v>586333258</v>
      </c>
    </row>
    <row r="53" spans="1:10" x14ac:dyDescent="0.25">
      <c r="A53" s="5" t="str">
        <f>HYPERLINK("https://app.vivvix.com/360/KMI/IntelliDrive/ApplUI/Pages/CreativePages/CustomReportCreativeDetail.aspx?App=23&amp;ReportView=4&amp;Qid=1711242&amp;Row=45&amp;Col=1","Car Is Being Driven On The Road")</f>
        <v>Car Is Being Driven On The Road</v>
      </c>
      <c r="B53" t="s">
        <v>114</v>
      </c>
      <c r="C53" t="s">
        <v>115</v>
      </c>
      <c r="D53" t="s">
        <v>116</v>
      </c>
      <c r="E53" t="s">
        <v>15</v>
      </c>
      <c r="F53" t="s">
        <v>16</v>
      </c>
      <c r="G53" t="s">
        <v>54</v>
      </c>
      <c r="H53" s="1">
        <v>137004</v>
      </c>
      <c r="J53">
        <v>586341324</v>
      </c>
    </row>
    <row r="54" spans="1:10" x14ac:dyDescent="0.25">
      <c r="A54" s="5" t="str">
        <f>HYPERLINK("https://app.vivvix.com/360/KMI/IntelliDrive/ApplUI/Pages/CreativePages/CustomReportCreativeDetail.aspx?App=23&amp;ReportView=4&amp;Qid=1711242&amp;Row=46&amp;Col=1","Car Is Being Driven On The Road")</f>
        <v>Car Is Being Driven On The Road</v>
      </c>
      <c r="B54" t="s">
        <v>117</v>
      </c>
      <c r="C54" t="s">
        <v>116</v>
      </c>
      <c r="D54" t="s">
        <v>116</v>
      </c>
      <c r="E54" t="s">
        <v>15</v>
      </c>
      <c r="F54" t="s">
        <v>16</v>
      </c>
      <c r="G54" t="s">
        <v>54</v>
      </c>
      <c r="H54" s="1">
        <v>746813</v>
      </c>
      <c r="J54">
        <v>586342002</v>
      </c>
    </row>
    <row r="55" spans="1:10" x14ac:dyDescent="0.25">
      <c r="A55" s="5" t="str">
        <f>HYPERLINK("https://app.vivvix.com/360/KMI/IntelliDrive/ApplUI/Pages/CreativePages/CustomReportCreativeDetail.aspx?App=23&amp;ReportView=4&amp;Qid=1711242&amp;Row=47&amp;Col=1","Car Is Being Driven On The Road")</f>
        <v>Car Is Being Driven On The Road</v>
      </c>
      <c r="B55" t="s">
        <v>117</v>
      </c>
      <c r="C55" t="s">
        <v>116</v>
      </c>
      <c r="D55" t="s">
        <v>116</v>
      </c>
      <c r="E55" t="s">
        <v>15</v>
      </c>
      <c r="F55" t="s">
        <v>16</v>
      </c>
      <c r="G55" t="s">
        <v>54</v>
      </c>
      <c r="H55" s="1">
        <v>325886</v>
      </c>
      <c r="J55">
        <v>586345500</v>
      </c>
    </row>
    <row r="56" spans="1:10" x14ac:dyDescent="0.25">
      <c r="A56" s="5" t="str">
        <f>HYPERLINK("https://app.vivvix.com/360/KMI/IntelliDrive/ApplUI/Pages/CreativePages/CustomReportCreativeDetail.aspx?App=23&amp;ReportView=4&amp;Qid=1711242&amp;Row=48&amp;Col=1","Car Is Being Driven On The Road")</f>
        <v>Car Is Being Driven On The Road</v>
      </c>
      <c r="B56" t="s">
        <v>117</v>
      </c>
      <c r="C56" t="s">
        <v>116</v>
      </c>
      <c r="D56" t="s">
        <v>116</v>
      </c>
      <c r="E56" t="s">
        <v>15</v>
      </c>
      <c r="F56" t="s">
        <v>16</v>
      </c>
      <c r="G56" t="s">
        <v>54</v>
      </c>
      <c r="H56" s="1">
        <v>13134</v>
      </c>
      <c r="J56">
        <v>586346800</v>
      </c>
    </row>
    <row r="57" spans="1:10" hidden="1" x14ac:dyDescent="0.25">
      <c r="A57" t="s">
        <v>118</v>
      </c>
      <c r="E57" t="s">
        <v>15</v>
      </c>
      <c r="F57" t="s">
        <v>15</v>
      </c>
      <c r="G57" t="s">
        <v>119</v>
      </c>
      <c r="H57" s="1">
        <v>112846</v>
      </c>
      <c r="J57">
        <v>586347738</v>
      </c>
    </row>
    <row r="58" spans="1:10" hidden="1" x14ac:dyDescent="0.25">
      <c r="A58" t="s">
        <v>118</v>
      </c>
      <c r="E58" t="s">
        <v>15</v>
      </c>
      <c r="F58" t="s">
        <v>15</v>
      </c>
      <c r="G58" t="s">
        <v>120</v>
      </c>
      <c r="H58" s="1">
        <v>396019</v>
      </c>
      <c r="J58">
        <v>586347839</v>
      </c>
    </row>
    <row r="59" spans="1:10" hidden="1" x14ac:dyDescent="0.25">
      <c r="A59" t="s">
        <v>118</v>
      </c>
      <c r="E59" t="s">
        <v>15</v>
      </c>
      <c r="F59" t="s">
        <v>50</v>
      </c>
      <c r="G59" t="s">
        <v>51</v>
      </c>
      <c r="H59" s="1">
        <v>6918</v>
      </c>
      <c r="J59">
        <v>586348598</v>
      </c>
    </row>
    <row r="60" spans="1:10" hidden="1" x14ac:dyDescent="0.25">
      <c r="A60" t="s">
        <v>118</v>
      </c>
      <c r="E60" t="s">
        <v>15</v>
      </c>
      <c r="F60" t="s">
        <v>16</v>
      </c>
      <c r="G60" t="s">
        <v>17</v>
      </c>
      <c r="H60" s="1">
        <v>81</v>
      </c>
      <c r="J60">
        <v>586348610</v>
      </c>
    </row>
    <row r="61" spans="1:10" x14ac:dyDescent="0.25">
      <c r="A61" s="5" t="str">
        <f>HYPERLINK("https://app.vivvix.com/360/KMI/IntelliDrive/ApplUI/Pages/CreativePages/CustomReportCreativeDetail.aspx?App=23&amp;ReportView=4&amp;Qid=1711242&amp;Row=53&amp;Col=1","Design for You")</f>
        <v>Design for You</v>
      </c>
      <c r="B61" t="s">
        <v>121</v>
      </c>
      <c r="C61" t="s">
        <v>122</v>
      </c>
      <c r="D61" t="s">
        <v>122</v>
      </c>
      <c r="E61" t="s">
        <v>15</v>
      </c>
      <c r="F61" t="s">
        <v>27</v>
      </c>
      <c r="G61" t="s">
        <v>123</v>
      </c>
      <c r="H61" s="1">
        <v>52788</v>
      </c>
      <c r="J61">
        <v>586348763</v>
      </c>
    </row>
    <row r="62" spans="1:10" x14ac:dyDescent="0.25">
      <c r="A62" s="5" t="str">
        <f>HYPERLINK("https://app.vivvix.com/360/KMI/IntelliDrive/ApplUI/Pages/CreativePages/CustomReportCreativeDetail.aspx?App=23&amp;ReportView=4&amp;Qid=1711242&amp;Row=54&amp;Col=1","Designed To Redefine Your Expectations")</f>
        <v>Designed To Redefine Your Expectations</v>
      </c>
      <c r="B62" t="s">
        <v>124</v>
      </c>
      <c r="C62" t="s">
        <v>125</v>
      </c>
      <c r="D62" t="s">
        <v>125</v>
      </c>
      <c r="E62" t="s">
        <v>15</v>
      </c>
      <c r="F62" t="s">
        <v>20</v>
      </c>
      <c r="G62" t="s">
        <v>31</v>
      </c>
      <c r="H62" s="1">
        <v>185461</v>
      </c>
      <c r="J62">
        <v>586350836</v>
      </c>
    </row>
    <row r="63" spans="1:10" x14ac:dyDescent="0.25">
      <c r="A63" s="5" t="str">
        <f>HYPERLINK("https://app.vivvix.com/360/KMI/IntelliDrive/ApplUI/Pages/CreativePages/CustomReportCreativeDetail.aspx?App=23&amp;ReportView=4&amp;Qid=1711242&amp;Row=55&amp;Col=1","Designed To Redefine Your Expectations")</f>
        <v>Designed To Redefine Your Expectations</v>
      </c>
      <c r="B63" t="s">
        <v>126</v>
      </c>
      <c r="C63" t="s">
        <v>127</v>
      </c>
      <c r="D63" t="s">
        <v>125</v>
      </c>
      <c r="E63" t="s">
        <v>15</v>
      </c>
      <c r="F63" t="s">
        <v>20</v>
      </c>
      <c r="G63" t="s">
        <v>31</v>
      </c>
      <c r="H63" s="1">
        <v>36304</v>
      </c>
      <c r="J63">
        <v>586350894</v>
      </c>
    </row>
    <row r="64" spans="1:10" x14ac:dyDescent="0.25">
      <c r="A64" s="5" t="str">
        <f>HYPERLINK("https://app.vivvix.com/360/KMI/IntelliDrive/ApplUI/Pages/CreativePages/CustomReportCreativeDetail.aspx?App=23&amp;ReportView=4&amp;Qid=1711242&amp;Row=56&amp;Col=1","Discover Holiday Joy And Deals")</f>
        <v>Discover Holiday Joy And Deals</v>
      </c>
      <c r="B64" t="s">
        <v>128</v>
      </c>
      <c r="C64" t="s">
        <v>129</v>
      </c>
      <c r="D64" t="s">
        <v>129</v>
      </c>
      <c r="E64" t="s">
        <v>15</v>
      </c>
      <c r="F64" t="s">
        <v>60</v>
      </c>
      <c r="G64" t="s">
        <v>130</v>
      </c>
      <c r="H64" s="1">
        <v>84</v>
      </c>
      <c r="J64">
        <v>586352198</v>
      </c>
    </row>
    <row r="65" spans="1:10" x14ac:dyDescent="0.25">
      <c r="A65" s="5" t="str">
        <f>HYPERLINK("https://app.vivvix.com/360/KMI/IntelliDrive/ApplUI/Pages/CreativePages/CustomReportCreativeDetail.aspx?App=23&amp;ReportView=4&amp;Qid=1711242&amp;Row=57&amp;Col=1","Drive in Exceptional Way")</f>
        <v>Drive in Exceptional Way</v>
      </c>
      <c r="B65" t="s">
        <v>131</v>
      </c>
      <c r="C65" t="s">
        <v>132</v>
      </c>
      <c r="D65" t="s">
        <v>132</v>
      </c>
      <c r="E65" t="s">
        <v>15</v>
      </c>
      <c r="F65" t="s">
        <v>133</v>
      </c>
      <c r="G65" t="s">
        <v>134</v>
      </c>
      <c r="H65" s="1">
        <v>24508</v>
      </c>
      <c r="J65">
        <v>586356884</v>
      </c>
    </row>
    <row r="66" spans="1:10" hidden="1" x14ac:dyDescent="0.25">
      <c r="A66" s="5" t="str">
        <f>HYPERLINK("https://app.vivvix.com/360/KMI/IntelliDrive/ApplUI/Pages/CreativePages/CustomReportCreativeDetail.aspx?App=23&amp;ReportView=4&amp;Qid=1711242&amp;Row=58&amp;Col=1","Drive Now")</f>
        <v>Drive Now</v>
      </c>
      <c r="B66" t="s">
        <v>135</v>
      </c>
      <c r="C66" t="s">
        <v>136</v>
      </c>
      <c r="D66" t="s">
        <v>136</v>
      </c>
      <c r="E66" t="s">
        <v>15</v>
      </c>
      <c r="F66" t="s">
        <v>15</v>
      </c>
      <c r="G66" t="s">
        <v>137</v>
      </c>
      <c r="H66" s="1">
        <v>10.494</v>
      </c>
      <c r="J66">
        <v>586388075</v>
      </c>
    </row>
    <row r="67" spans="1:10" x14ac:dyDescent="0.25">
      <c r="A67" s="5" t="str">
        <f>HYPERLINK("https://app.vivvix.com/360/KMI/IntelliDrive/ApplUI/Pages/CreativePages/CustomReportCreativeDetail.aspx?App=23&amp;ReportView=4&amp;Qid=1711242&amp;Row=59&amp;Col=1","Drive The Exceptional")</f>
        <v>Drive The Exceptional</v>
      </c>
      <c r="B67" t="s">
        <v>138</v>
      </c>
      <c r="C67" t="s">
        <v>139</v>
      </c>
      <c r="D67" t="s">
        <v>139</v>
      </c>
      <c r="E67" t="s">
        <v>15</v>
      </c>
      <c r="F67" t="s">
        <v>50</v>
      </c>
      <c r="G67" t="s">
        <v>51</v>
      </c>
      <c r="H67" s="1">
        <v>128438</v>
      </c>
      <c r="J67">
        <v>586391212</v>
      </c>
    </row>
    <row r="68" spans="1:10" x14ac:dyDescent="0.25">
      <c r="A68" s="5" t="str">
        <f>HYPERLINK("https://app.vivvix.com/360/KMI/IntelliDrive/ApplUI/Pages/CreativePages/CustomReportCreativeDetail.aspx?App=23&amp;ReportView=4&amp;Qid=1711242&amp;Row=60&amp;Col=1","Drive The Exceptional")</f>
        <v>Drive The Exceptional</v>
      </c>
      <c r="B68" t="s">
        <v>140</v>
      </c>
      <c r="C68" t="s">
        <v>141</v>
      </c>
      <c r="D68" t="s">
        <v>141</v>
      </c>
      <c r="E68" t="s">
        <v>15</v>
      </c>
      <c r="F68" t="s">
        <v>50</v>
      </c>
      <c r="G68" t="s">
        <v>51</v>
      </c>
      <c r="H68" s="1">
        <v>16992</v>
      </c>
      <c r="J68">
        <v>586394922</v>
      </c>
    </row>
    <row r="69" spans="1:10" x14ac:dyDescent="0.25">
      <c r="A69" s="5" t="str">
        <f>HYPERLINK("https://app.vivvix.com/360/KMI/IntelliDrive/ApplUI/Pages/CreativePages/CustomReportCreativeDetail.aspx?App=23&amp;ReportView=4&amp;Qid=1711242&amp;Row=61&amp;Col=1","Drive with Unmatched Elegance")</f>
        <v>Drive with Unmatched Elegance</v>
      </c>
      <c r="B69" t="s">
        <v>142</v>
      </c>
      <c r="C69" t="s">
        <v>143</v>
      </c>
      <c r="D69" t="s">
        <v>143</v>
      </c>
      <c r="E69" t="s">
        <v>15</v>
      </c>
      <c r="F69" t="s">
        <v>50</v>
      </c>
      <c r="G69" t="s">
        <v>76</v>
      </c>
      <c r="H69" s="1">
        <v>287324</v>
      </c>
      <c r="J69">
        <v>586396023</v>
      </c>
    </row>
    <row r="70" spans="1:10" hidden="1" x14ac:dyDescent="0.25">
      <c r="A70" s="5" t="str">
        <f>HYPERLINK("https://app.vivvix.com/360/KMI/IntelliDrive/ApplUI/Pages/CreativePages/CustomReportCreativeDetail.aspx?App=23&amp;ReportView=4&amp;Qid=1711242&amp;Row=62&amp;Col=1","easy to acccess hard to beat")</f>
        <v>easy to acccess hard to beat</v>
      </c>
      <c r="B70" t="s">
        <v>144</v>
      </c>
      <c r="E70" t="s">
        <v>15</v>
      </c>
      <c r="F70" t="s">
        <v>20</v>
      </c>
      <c r="G70" t="s">
        <v>31</v>
      </c>
      <c r="H70" s="1">
        <v>69504.114000000001</v>
      </c>
      <c r="J70">
        <v>586396285</v>
      </c>
    </row>
    <row r="71" spans="1:10" hidden="1" x14ac:dyDescent="0.25">
      <c r="A71" s="5" t="str">
        <f>HYPERLINK("https://app.vivvix.com/360/KMI/IntelliDrive/ApplUI/Pages/CreativePages/CustomReportCreativeDetail.aspx?App=23&amp;ReportView=4&amp;Qid=1711242&amp;Row=63&amp;Col=1","easy to acccess hard to beat")</f>
        <v>easy to acccess hard to beat</v>
      </c>
      <c r="B71" t="s">
        <v>144</v>
      </c>
      <c r="E71" t="s">
        <v>15</v>
      </c>
      <c r="F71" t="s">
        <v>20</v>
      </c>
      <c r="G71" t="s">
        <v>31</v>
      </c>
      <c r="H71" s="1">
        <v>2671.23</v>
      </c>
      <c r="J71">
        <v>586397255</v>
      </c>
    </row>
    <row r="72" spans="1:10" x14ac:dyDescent="0.25">
      <c r="A72" s="5" t="str">
        <f>HYPERLINK("https://app.vivvix.com/360/KMI/IntelliDrive/ApplUI/Pages/CreativePages/CustomReportCreativeDetail.aspx?App=23&amp;ReportView=4&amp;Qid=1711242&amp;Row=64&amp;Col=1","Enjoy the Drive")</f>
        <v>Enjoy the Drive</v>
      </c>
      <c r="B72" t="s">
        <v>145</v>
      </c>
      <c r="C72" t="s">
        <v>146</v>
      </c>
      <c r="D72" t="s">
        <v>146</v>
      </c>
      <c r="E72" t="s">
        <v>15</v>
      </c>
      <c r="F72" t="s">
        <v>50</v>
      </c>
      <c r="G72" t="s">
        <v>51</v>
      </c>
      <c r="H72" s="1">
        <v>46590</v>
      </c>
      <c r="J72">
        <v>586401428</v>
      </c>
    </row>
    <row r="73" spans="1:10" x14ac:dyDescent="0.25">
      <c r="A73" s="5" t="str">
        <f>HYPERLINK("https://app.vivvix.com/360/KMI/IntelliDrive/ApplUI/Pages/CreativePages/CustomReportCreativeDetail.aspx?App=23&amp;ReportView=4&amp;Qid=1711242&amp;Row=65&amp;Col=1","Enjoy The Excellence Of Driving")</f>
        <v>Enjoy The Excellence Of Driving</v>
      </c>
      <c r="B73" t="s">
        <v>147</v>
      </c>
      <c r="C73" t="s">
        <v>148</v>
      </c>
      <c r="D73" t="s">
        <v>68</v>
      </c>
      <c r="E73" t="s">
        <v>15</v>
      </c>
      <c r="F73" t="s">
        <v>50</v>
      </c>
      <c r="G73" t="s">
        <v>51</v>
      </c>
      <c r="H73" s="1">
        <v>4646</v>
      </c>
      <c r="J73">
        <v>586403773</v>
      </c>
    </row>
    <row r="74" spans="1:10" x14ac:dyDescent="0.25">
      <c r="A74" s="5" t="str">
        <f>HYPERLINK("https://app.vivvix.com/360/KMI/IntelliDrive/ApplUI/Pages/CreativePages/CustomReportCreativeDetail.aspx?App=23&amp;ReportView=4&amp;Qid=1711242&amp;Row=66&amp;Col=1","Enjoy The Excellence of Driving")</f>
        <v>Enjoy The Excellence of Driving</v>
      </c>
      <c r="B74" t="s">
        <v>149</v>
      </c>
      <c r="C74" t="s">
        <v>150</v>
      </c>
      <c r="D74" t="s">
        <v>68</v>
      </c>
      <c r="E74" t="s">
        <v>15</v>
      </c>
      <c r="F74" t="s">
        <v>50</v>
      </c>
      <c r="G74" t="s">
        <v>51</v>
      </c>
      <c r="H74" s="1">
        <v>29677</v>
      </c>
      <c r="J74">
        <v>586404697</v>
      </c>
    </row>
    <row r="75" spans="1:10" x14ac:dyDescent="0.25">
      <c r="A75" s="5" t="str">
        <f>HYPERLINK("https://app.vivvix.com/360/KMI/IntelliDrive/ApplUI/Pages/CreativePages/CustomReportCreativeDetail.aspx?App=23&amp;ReportView=4&amp;Qid=1711242&amp;Row=67&amp;Col=1","Enjoy The Excellence of Driving")</f>
        <v>Enjoy The Excellence of Driving</v>
      </c>
      <c r="B75" t="s">
        <v>151</v>
      </c>
      <c r="C75" t="s">
        <v>152</v>
      </c>
      <c r="D75" t="s">
        <v>68</v>
      </c>
      <c r="E75" t="s">
        <v>15</v>
      </c>
      <c r="F75" t="s">
        <v>50</v>
      </c>
      <c r="G75" t="s">
        <v>51</v>
      </c>
      <c r="H75" s="1">
        <v>129752</v>
      </c>
      <c r="J75">
        <v>586404938</v>
      </c>
    </row>
    <row r="76" spans="1:10" x14ac:dyDescent="0.25">
      <c r="A76" s="5" t="str">
        <f>HYPERLINK("https://app.vivvix.com/360/KMI/IntelliDrive/ApplUI/Pages/CreativePages/CustomReportCreativeDetail.aspx?App=23&amp;ReportView=4&amp;Qid=1711242&amp;Row=68&amp;Col=1","Enjoy The Excellence of Driving")</f>
        <v>Enjoy The Excellence of Driving</v>
      </c>
      <c r="B76" t="s">
        <v>153</v>
      </c>
      <c r="C76" t="s">
        <v>154</v>
      </c>
      <c r="D76" t="s">
        <v>68</v>
      </c>
      <c r="E76" t="s">
        <v>15</v>
      </c>
      <c r="F76" t="s">
        <v>50</v>
      </c>
      <c r="G76" t="s">
        <v>51</v>
      </c>
      <c r="H76" s="1">
        <v>124401</v>
      </c>
      <c r="J76">
        <v>586405646</v>
      </c>
    </row>
    <row r="77" spans="1:10" x14ac:dyDescent="0.25">
      <c r="A77" s="5" t="str">
        <f>HYPERLINK("https://app.vivvix.com/360/KMI/IntelliDrive/ApplUI/Pages/CreativePages/CustomReportCreativeDetail.aspx?App=23&amp;ReportView=4&amp;Qid=1711242&amp;Row=69&amp;Col=1","Enjoy the Perfect Wheel Driving ")</f>
        <v xml:space="preserve">Enjoy the Perfect Wheel Driving </v>
      </c>
      <c r="B77" t="s">
        <v>155</v>
      </c>
      <c r="C77" t="s">
        <v>156</v>
      </c>
      <c r="D77" t="s">
        <v>156</v>
      </c>
      <c r="E77" t="s">
        <v>15</v>
      </c>
      <c r="F77" t="s">
        <v>50</v>
      </c>
      <c r="G77" t="s">
        <v>76</v>
      </c>
      <c r="H77" s="1">
        <v>9423</v>
      </c>
      <c r="J77">
        <v>586411838</v>
      </c>
    </row>
    <row r="78" spans="1:10" x14ac:dyDescent="0.25">
      <c r="A78" s="5" t="str">
        <f>HYPERLINK("https://app.vivvix.com/360/KMI/IntelliDrive/ApplUI/Pages/CreativePages/CustomReportCreativeDetail.aspx?App=23&amp;ReportView=4&amp;Qid=1711242&amp;Row=70&amp;Col=1","Enjoy The Ride")</f>
        <v>Enjoy The Ride</v>
      </c>
      <c r="B78" t="s">
        <v>157</v>
      </c>
      <c r="C78" t="s">
        <v>158</v>
      </c>
      <c r="D78" t="s">
        <v>158</v>
      </c>
      <c r="E78" t="s">
        <v>15</v>
      </c>
      <c r="F78" t="s">
        <v>50</v>
      </c>
      <c r="G78" t="s">
        <v>51</v>
      </c>
      <c r="H78" s="1">
        <v>2638</v>
      </c>
      <c r="J78">
        <v>586417891</v>
      </c>
    </row>
    <row r="79" spans="1:10" x14ac:dyDescent="0.25">
      <c r="A79" s="5" t="str">
        <f>HYPERLINK("https://app.vivvix.com/360/KMI/IntelliDrive/ApplUI/Pages/CreativePages/CustomReportCreativeDetail.aspx?App=23&amp;ReportView=4&amp;Qid=1711242&amp;Row=71&amp;Col=1","Enjoy The Ride")</f>
        <v>Enjoy The Ride</v>
      </c>
      <c r="B79" t="s">
        <v>159</v>
      </c>
      <c r="C79" t="s">
        <v>160</v>
      </c>
      <c r="D79" t="s">
        <v>160</v>
      </c>
      <c r="E79" t="s">
        <v>15</v>
      </c>
      <c r="F79" t="s">
        <v>50</v>
      </c>
      <c r="G79" t="s">
        <v>65</v>
      </c>
      <c r="H79" s="1">
        <v>120475</v>
      </c>
      <c r="J79">
        <v>586418459</v>
      </c>
    </row>
    <row r="80" spans="1:10" x14ac:dyDescent="0.25">
      <c r="A80" s="5" t="str">
        <f>HYPERLINK("https://app.vivvix.com/360/KMI/IntelliDrive/ApplUI/Pages/CreativePages/CustomReportCreativeDetail.aspx?App=23&amp;ReportView=4&amp;Qid=1711242&amp;Row=72&amp;Col=1","Enjoy Your Fun Drive")</f>
        <v>Enjoy Your Fun Drive</v>
      </c>
      <c r="B80" t="s">
        <v>161</v>
      </c>
      <c r="C80" t="s">
        <v>162</v>
      </c>
      <c r="D80" t="s">
        <v>162</v>
      </c>
      <c r="E80" t="s">
        <v>15</v>
      </c>
      <c r="F80" t="s">
        <v>20</v>
      </c>
      <c r="G80" t="s">
        <v>31</v>
      </c>
      <c r="H80" s="1">
        <v>479527</v>
      </c>
      <c r="J80">
        <v>586419798</v>
      </c>
    </row>
    <row r="81" spans="1:10" x14ac:dyDescent="0.25">
      <c r="A81" s="5" t="str">
        <f>HYPERLINK("https://app.vivvix.com/360/KMI/IntelliDrive/ApplUI/Pages/CreativePages/CustomReportCreativeDetail.aspx?App=23&amp;ReportView=4&amp;Qid=1711242&amp;Row=73&amp;Col=1","Enjoy Your Fun Drive")</f>
        <v>Enjoy Your Fun Drive</v>
      </c>
      <c r="B81" t="s">
        <v>163</v>
      </c>
      <c r="C81" t="s">
        <v>162</v>
      </c>
      <c r="D81" t="s">
        <v>162</v>
      </c>
      <c r="E81" t="s">
        <v>15</v>
      </c>
      <c r="F81" t="s">
        <v>20</v>
      </c>
      <c r="G81" t="s">
        <v>31</v>
      </c>
      <c r="H81" s="1">
        <v>143044</v>
      </c>
      <c r="J81">
        <v>586420027</v>
      </c>
    </row>
    <row r="82" spans="1:10" x14ac:dyDescent="0.25">
      <c r="A82" s="5" t="str">
        <f>HYPERLINK("https://app.vivvix.com/360/KMI/IntelliDrive/ApplUI/Pages/CreativePages/CustomReportCreativeDetail.aspx?App=23&amp;ReportView=4&amp;Qid=1711242&amp;Row=74&amp;Col=1","Enjoy Your Fun Drive")</f>
        <v>Enjoy Your Fun Drive</v>
      </c>
      <c r="B82" t="s">
        <v>163</v>
      </c>
      <c r="C82" t="s">
        <v>162</v>
      </c>
      <c r="D82" t="s">
        <v>162</v>
      </c>
      <c r="E82" t="s">
        <v>15</v>
      </c>
      <c r="F82" t="s">
        <v>20</v>
      </c>
      <c r="G82" t="s">
        <v>31</v>
      </c>
      <c r="H82" s="1">
        <v>266498</v>
      </c>
      <c r="J82">
        <v>586422716</v>
      </c>
    </row>
    <row r="83" spans="1:10" x14ac:dyDescent="0.25">
      <c r="A83" s="5" t="str">
        <f>HYPERLINK("https://app.vivvix.com/360/KMI/IntelliDrive/ApplUI/Pages/CreativePages/CustomReportCreativeDetail.aspx?App=23&amp;ReportView=4&amp;Qid=1711242&amp;Row=75&amp;Col=1","Enjoy Your Fun Drive")</f>
        <v>Enjoy Your Fun Drive</v>
      </c>
      <c r="B83" t="s">
        <v>164</v>
      </c>
      <c r="C83" t="s">
        <v>162</v>
      </c>
      <c r="D83" t="s">
        <v>162</v>
      </c>
      <c r="E83" t="s">
        <v>15</v>
      </c>
      <c r="F83" t="s">
        <v>20</v>
      </c>
      <c r="G83" t="s">
        <v>31</v>
      </c>
      <c r="H83" s="1">
        <v>181365</v>
      </c>
      <c r="J83">
        <v>586423634</v>
      </c>
    </row>
    <row r="84" spans="1:10" x14ac:dyDescent="0.25">
      <c r="A84" s="5" t="str">
        <f>HYPERLINK("https://app.vivvix.com/360/KMI/IntelliDrive/ApplUI/Pages/CreativePages/CustomReportCreativeDetail.aspx?App=23&amp;ReportView=4&amp;Qid=1711242&amp;Row=76&amp;Col=1","Enjoy Your Fun Drive/-36 Month")</f>
        <v>Enjoy Your Fun Drive/-36 Month</v>
      </c>
      <c r="B84" t="s">
        <v>165</v>
      </c>
      <c r="C84" t="s">
        <v>166</v>
      </c>
      <c r="D84" t="s">
        <v>162</v>
      </c>
      <c r="E84" t="s">
        <v>15</v>
      </c>
      <c r="F84" t="s">
        <v>20</v>
      </c>
      <c r="G84" t="s">
        <v>31</v>
      </c>
      <c r="H84" s="1">
        <v>129432</v>
      </c>
      <c r="J84">
        <v>586423825</v>
      </c>
    </row>
    <row r="85" spans="1:10" x14ac:dyDescent="0.25">
      <c r="A85" s="5" t="str">
        <f>HYPERLINK("https://app.vivvix.com/360/KMI/IntelliDrive/ApplUI/Pages/CreativePages/CustomReportCreativeDetail.aspx?App=23&amp;ReportView=4&amp;Qid=1711242&amp;Row=77&amp;Col=1","Enjoy Your Fun Drive/-36 Month")</f>
        <v>Enjoy Your Fun Drive/-36 Month</v>
      </c>
      <c r="B85" t="s">
        <v>167</v>
      </c>
      <c r="C85" t="s">
        <v>166</v>
      </c>
      <c r="D85" t="s">
        <v>162</v>
      </c>
      <c r="E85" t="s">
        <v>15</v>
      </c>
      <c r="F85" t="s">
        <v>20</v>
      </c>
      <c r="G85" t="s">
        <v>31</v>
      </c>
      <c r="H85" s="1">
        <v>44547</v>
      </c>
      <c r="J85">
        <v>586424217</v>
      </c>
    </row>
    <row r="86" spans="1:10" x14ac:dyDescent="0.25">
      <c r="A86" s="5" t="str">
        <f>HYPERLINK("https://app.vivvix.com/360/KMI/IntelliDrive/ApplUI/Pages/CreativePages/CustomReportCreativeDetail.aspx?App=23&amp;ReportView=4&amp;Qid=1711242&amp;Row=78&amp;Col=1","Enjoy Your Fun Drive/-36 Month")</f>
        <v>Enjoy Your Fun Drive/-36 Month</v>
      </c>
      <c r="B86" t="s">
        <v>168</v>
      </c>
      <c r="C86" t="s">
        <v>166</v>
      </c>
      <c r="D86" t="s">
        <v>162</v>
      </c>
      <c r="E86" t="s">
        <v>15</v>
      </c>
      <c r="F86" t="s">
        <v>20</v>
      </c>
      <c r="G86" t="s">
        <v>31</v>
      </c>
      <c r="H86" s="1">
        <v>51726</v>
      </c>
      <c r="J86">
        <v>586424707</v>
      </c>
    </row>
    <row r="87" spans="1:10" x14ac:dyDescent="0.25">
      <c r="A87" s="5" t="str">
        <f>HYPERLINK("https://app.vivvix.com/360/KMI/IntelliDrive/ApplUI/Pages/CreativePages/CustomReportCreativeDetail.aspx?App=23&amp;ReportView=4&amp;Qid=1711242&amp;Row=79&amp;Col=1","Enjoy Your Fun Drive/-36 Month")</f>
        <v>Enjoy Your Fun Drive/-36 Month</v>
      </c>
      <c r="B87" t="s">
        <v>169</v>
      </c>
      <c r="C87" t="s">
        <v>166</v>
      </c>
      <c r="D87" t="s">
        <v>162</v>
      </c>
      <c r="E87" t="s">
        <v>15</v>
      </c>
      <c r="F87" t="s">
        <v>20</v>
      </c>
      <c r="G87" t="s">
        <v>31</v>
      </c>
      <c r="H87" s="1">
        <v>29404</v>
      </c>
      <c r="J87">
        <v>586424907</v>
      </c>
    </row>
    <row r="88" spans="1:10" x14ac:dyDescent="0.25">
      <c r="A88" s="5" t="str">
        <f>HYPERLINK("https://app.vivvix.com/360/KMI/IntelliDrive/ApplUI/Pages/CreativePages/CustomReportCreativeDetail.aspx?App=23&amp;ReportView=4&amp;Qid=1711242&amp;Row=80&amp;Col=1","Enjoy Your Fun Drive/-36 Month")</f>
        <v>Enjoy Your Fun Drive/-36 Month</v>
      </c>
      <c r="B88" t="s">
        <v>169</v>
      </c>
      <c r="C88" t="s">
        <v>166</v>
      </c>
      <c r="D88" t="s">
        <v>162</v>
      </c>
      <c r="E88" t="s">
        <v>15</v>
      </c>
      <c r="F88" t="s">
        <v>20</v>
      </c>
      <c r="G88" t="s">
        <v>31</v>
      </c>
      <c r="H88" s="1">
        <v>6327</v>
      </c>
      <c r="J88">
        <v>586424919</v>
      </c>
    </row>
    <row r="89" spans="1:10" x14ac:dyDescent="0.25">
      <c r="A89" s="5" t="str">
        <f>HYPERLINK("https://app.vivvix.com/360/KMI/IntelliDrive/ApplUI/Pages/CreativePages/CustomReportCreativeDetail.aspx?App=23&amp;ReportView=4&amp;Qid=1711242&amp;Row=81&amp;Col=1","Enjoy Your Fun Drive/-36 Month, Text")</f>
        <v>Enjoy Your Fun Drive/-36 Month, Text</v>
      </c>
      <c r="B89" t="s">
        <v>170</v>
      </c>
      <c r="C89" t="s">
        <v>171</v>
      </c>
      <c r="D89" t="s">
        <v>162</v>
      </c>
      <c r="E89" t="s">
        <v>15</v>
      </c>
      <c r="F89" t="s">
        <v>20</v>
      </c>
      <c r="G89" t="s">
        <v>31</v>
      </c>
      <c r="H89" s="1">
        <v>76936</v>
      </c>
      <c r="J89">
        <v>586425435</v>
      </c>
    </row>
    <row r="90" spans="1:10" x14ac:dyDescent="0.25">
      <c r="A90" s="5" t="str">
        <f>HYPERLINK("https://app.vivvix.com/360/KMI/IntelliDrive/ApplUI/Pages/CreativePages/CustomReportCreativeDetail.aspx?App=23&amp;ReportView=4&amp;Qid=1711242&amp;Row=82&amp;Col=1","Enjoy Your Fun Drive/-36 Month, Text")</f>
        <v>Enjoy Your Fun Drive/-36 Month, Text</v>
      </c>
      <c r="B90" t="s">
        <v>172</v>
      </c>
      <c r="C90" t="s">
        <v>171</v>
      </c>
      <c r="D90" t="s">
        <v>162</v>
      </c>
      <c r="E90" t="s">
        <v>15</v>
      </c>
      <c r="F90" t="s">
        <v>20</v>
      </c>
      <c r="G90" t="s">
        <v>31</v>
      </c>
      <c r="H90" s="1">
        <v>167594</v>
      </c>
      <c r="J90">
        <v>586427704</v>
      </c>
    </row>
    <row r="91" spans="1:10" x14ac:dyDescent="0.25">
      <c r="A91" s="5" t="str">
        <f>HYPERLINK("https://app.vivvix.com/360/KMI/IntelliDrive/ApplUI/Pages/CreativePages/CustomReportCreativeDetail.aspx?App=23&amp;ReportView=4&amp;Qid=1711242&amp;Row=83&amp;Col=1","Enjoy Your Fun Drive/-36 Month, Text")</f>
        <v>Enjoy Your Fun Drive/-36 Month, Text</v>
      </c>
      <c r="B91" t="s">
        <v>173</v>
      </c>
      <c r="C91" t="s">
        <v>171</v>
      </c>
      <c r="D91" t="s">
        <v>162</v>
      </c>
      <c r="E91" t="s">
        <v>15</v>
      </c>
      <c r="F91" t="s">
        <v>20</v>
      </c>
      <c r="G91" t="s">
        <v>31</v>
      </c>
      <c r="H91" s="1">
        <v>45620</v>
      </c>
      <c r="J91">
        <v>586427768</v>
      </c>
    </row>
    <row r="92" spans="1:10" x14ac:dyDescent="0.25">
      <c r="A92" s="5" t="str">
        <f>HYPERLINK("https://app.vivvix.com/360/KMI/IntelliDrive/ApplUI/Pages/CreativePages/CustomReportCreativeDetail.aspx?App=23&amp;ReportView=4&amp;Qid=1711242&amp;Row=84&amp;Col=1","Enjoy Your Fun Drive/-36 Month, Text")</f>
        <v>Enjoy Your Fun Drive/-36 Month, Text</v>
      </c>
      <c r="B92" t="s">
        <v>174</v>
      </c>
      <c r="C92" t="s">
        <v>171</v>
      </c>
      <c r="D92" t="s">
        <v>162</v>
      </c>
      <c r="E92" t="s">
        <v>15</v>
      </c>
      <c r="F92" t="s">
        <v>20</v>
      </c>
      <c r="G92" t="s">
        <v>31</v>
      </c>
      <c r="H92" s="1">
        <v>17033</v>
      </c>
      <c r="J92">
        <v>586429454</v>
      </c>
    </row>
    <row r="93" spans="1:10" x14ac:dyDescent="0.25">
      <c r="A93" s="5" t="str">
        <f>HYPERLINK("https://app.vivvix.com/360/KMI/IntelliDrive/ApplUI/Pages/CreativePages/CustomReportCreativeDetail.aspx?App=23&amp;ReportView=4&amp;Qid=1711242&amp;Row=85&amp;Col=1","Enjoy Your Fun Drive/Text")</f>
        <v>Enjoy Your Fun Drive/Text</v>
      </c>
      <c r="B93" t="s">
        <v>175</v>
      </c>
      <c r="C93" t="s">
        <v>176</v>
      </c>
      <c r="D93" t="s">
        <v>162</v>
      </c>
      <c r="E93" t="s">
        <v>15</v>
      </c>
      <c r="F93" t="s">
        <v>20</v>
      </c>
      <c r="G93" t="s">
        <v>31</v>
      </c>
      <c r="H93" s="1">
        <v>12261</v>
      </c>
      <c r="J93">
        <v>586434648</v>
      </c>
    </row>
    <row r="94" spans="1:10" x14ac:dyDescent="0.25">
      <c r="A94" s="5" t="str">
        <f>HYPERLINK("https://app.vivvix.com/360/KMI/IntelliDrive/ApplUI/Pages/CreativePages/CustomReportCreativeDetail.aspx?App=23&amp;ReportView=4&amp;Qid=1711242&amp;Row=86&amp;Col=1","Enjoy Your Fun Drive/Text")</f>
        <v>Enjoy Your Fun Drive/Text</v>
      </c>
      <c r="B94" t="s">
        <v>177</v>
      </c>
      <c r="C94" t="s">
        <v>178</v>
      </c>
      <c r="D94" t="s">
        <v>162</v>
      </c>
      <c r="E94" t="s">
        <v>15</v>
      </c>
      <c r="F94" t="s">
        <v>20</v>
      </c>
      <c r="G94" t="s">
        <v>31</v>
      </c>
      <c r="H94" s="1">
        <v>108002</v>
      </c>
      <c r="J94">
        <v>586437716</v>
      </c>
    </row>
    <row r="95" spans="1:10" x14ac:dyDescent="0.25">
      <c r="A95" s="5" t="str">
        <f>HYPERLINK("https://app.vivvix.com/360/KMI/IntelliDrive/ApplUI/Pages/CreativePages/CustomReportCreativeDetail.aspx?App=23&amp;ReportView=4&amp;Qid=1711242&amp;Row=87&amp;Col=1","Enjoy Your Fun Drive/Text")</f>
        <v>Enjoy Your Fun Drive/Text</v>
      </c>
      <c r="B95" t="s">
        <v>177</v>
      </c>
      <c r="C95" t="s">
        <v>178</v>
      </c>
      <c r="D95" t="s">
        <v>162</v>
      </c>
      <c r="E95" t="s">
        <v>15</v>
      </c>
      <c r="F95" t="s">
        <v>20</v>
      </c>
      <c r="G95" t="s">
        <v>31</v>
      </c>
      <c r="H95" s="1">
        <v>6431</v>
      </c>
      <c r="J95">
        <v>586438281</v>
      </c>
    </row>
    <row r="96" spans="1:10" x14ac:dyDescent="0.25">
      <c r="A96" s="5" t="str">
        <f>HYPERLINK("https://app.vivvix.com/360/KMI/IntelliDrive/ApplUI/Pages/CreativePages/CustomReportCreativeDetail.aspx?App=23&amp;ReportView=4&amp;Qid=1711242&amp;Row=88&amp;Col=1","Enjoy Your Fun Drive/Text")</f>
        <v>Enjoy Your Fun Drive/Text</v>
      </c>
      <c r="B96" t="s">
        <v>179</v>
      </c>
      <c r="C96" t="s">
        <v>178</v>
      </c>
      <c r="D96" t="s">
        <v>162</v>
      </c>
      <c r="E96" t="s">
        <v>15</v>
      </c>
      <c r="F96" t="s">
        <v>20</v>
      </c>
      <c r="G96" t="s">
        <v>31</v>
      </c>
      <c r="H96" s="1">
        <v>33091</v>
      </c>
      <c r="J96">
        <v>586444428</v>
      </c>
    </row>
    <row r="97" spans="1:10" hidden="1" x14ac:dyDescent="0.25">
      <c r="A97" s="5" t="str">
        <f>HYPERLINK("https://app.vivvix.com/360/KMI/IntelliDrive/ApplUI/Pages/CreativePages/CustomReportCreativeDetail.aspx?App=23&amp;ReportView=4&amp;Qid=1711242&amp;Row=89&amp;Col=1","Enjoy Your Service Now")</f>
        <v>Enjoy Your Service Now</v>
      </c>
      <c r="B97" t="s">
        <v>180</v>
      </c>
      <c r="E97" t="s">
        <v>15</v>
      </c>
      <c r="F97" t="s">
        <v>181</v>
      </c>
      <c r="G97" t="s">
        <v>182</v>
      </c>
      <c r="H97" s="1">
        <v>46479.94</v>
      </c>
      <c r="J97">
        <v>586447437</v>
      </c>
    </row>
    <row r="98" spans="1:10" hidden="1" x14ac:dyDescent="0.25">
      <c r="A98" s="5" t="str">
        <f>HYPERLINK("https://app.vivvix.com/360/KMI/IntelliDrive/ApplUI/Pages/CreativePages/CustomReportCreativeDetail.aspx?App=23&amp;ReportView=4&amp;Qid=1711242&amp;Row=90&amp;Col=1","Enjoy Your Service Now")</f>
        <v>Enjoy Your Service Now</v>
      </c>
      <c r="B98" t="s">
        <v>180</v>
      </c>
      <c r="E98" t="s">
        <v>15</v>
      </c>
      <c r="F98" t="s">
        <v>181</v>
      </c>
      <c r="G98" t="s">
        <v>182</v>
      </c>
      <c r="H98" s="1">
        <v>4837.0479999999998</v>
      </c>
      <c r="J98">
        <v>586449724</v>
      </c>
    </row>
    <row r="99" spans="1:10" x14ac:dyDescent="0.25">
      <c r="A99" s="5" t="str">
        <f>HYPERLINK("https://app.vivvix.com/360/KMI/IntelliDrive/ApplUI/Pages/CreativePages/CustomReportCreativeDetail.aspx?App=23&amp;ReportView=4&amp;Qid=1711242&amp;Row=91&amp;Col=1","Excellence In Driving")</f>
        <v>Excellence In Driving</v>
      </c>
      <c r="B99" t="s">
        <v>183</v>
      </c>
      <c r="C99" t="s">
        <v>184</v>
      </c>
      <c r="D99" t="s">
        <v>184</v>
      </c>
      <c r="E99" t="s">
        <v>15</v>
      </c>
      <c r="F99" t="s">
        <v>16</v>
      </c>
      <c r="G99" t="s">
        <v>54</v>
      </c>
      <c r="H99" s="1">
        <v>489632</v>
      </c>
      <c r="J99">
        <v>586459108</v>
      </c>
    </row>
    <row r="100" spans="1:10" x14ac:dyDescent="0.25">
      <c r="A100" s="5" t="str">
        <f>HYPERLINK("https://app.vivvix.com/360/KMI/IntelliDrive/ApplUI/Pages/CreativePages/CustomReportCreativeDetail.aspx?App=23&amp;ReportView=4&amp;Qid=1711242&amp;Row=92&amp;Col=1","Excellence Is Matched")</f>
        <v>Excellence Is Matched</v>
      </c>
      <c r="B100" t="s">
        <v>185</v>
      </c>
      <c r="C100" t="s">
        <v>186</v>
      </c>
      <c r="D100" t="s">
        <v>186</v>
      </c>
      <c r="E100" t="s">
        <v>15</v>
      </c>
      <c r="F100" t="s">
        <v>133</v>
      </c>
      <c r="G100" t="s">
        <v>187</v>
      </c>
      <c r="H100" s="1">
        <v>184416</v>
      </c>
      <c r="J100">
        <v>586468914</v>
      </c>
    </row>
    <row r="101" spans="1:10" x14ac:dyDescent="0.25">
      <c r="A101" s="5" t="str">
        <f>HYPERLINK("https://app.vivvix.com/360/KMI/IntelliDrive/ApplUI/Pages/CreativePages/CustomReportCreativeDetail.aspx?App=23&amp;ReportView=4&amp;Qid=1711242&amp;Row=93&amp;Col=1","Excellence Is Matched")</f>
        <v>Excellence Is Matched</v>
      </c>
      <c r="B101" t="s">
        <v>188</v>
      </c>
      <c r="C101" t="s">
        <v>189</v>
      </c>
      <c r="D101" t="s">
        <v>186</v>
      </c>
      <c r="E101" t="s">
        <v>15</v>
      </c>
      <c r="F101" t="s">
        <v>133</v>
      </c>
      <c r="G101" t="s">
        <v>187</v>
      </c>
      <c r="H101" s="1">
        <v>20738</v>
      </c>
      <c r="J101">
        <v>586469622</v>
      </c>
    </row>
    <row r="102" spans="1:10" x14ac:dyDescent="0.25">
      <c r="A102" s="5" t="str">
        <f>HYPERLINK("https://app.vivvix.com/360/KMI/IntelliDrive/ApplUI/Pages/CreativePages/CustomReportCreativeDetail.aspx?App=23&amp;ReportView=4&amp;Qid=1711242&amp;Row=94&amp;Col=1","Excellence Of Driving")</f>
        <v>Excellence Of Driving</v>
      </c>
      <c r="B102" t="s">
        <v>190</v>
      </c>
      <c r="C102" t="s">
        <v>191</v>
      </c>
      <c r="D102" t="s">
        <v>68</v>
      </c>
      <c r="E102" t="s">
        <v>15</v>
      </c>
      <c r="F102" t="s">
        <v>50</v>
      </c>
      <c r="G102" t="s">
        <v>51</v>
      </c>
      <c r="H102" s="1">
        <v>66454</v>
      </c>
      <c r="J102">
        <v>586472363</v>
      </c>
    </row>
    <row r="103" spans="1:10" x14ac:dyDescent="0.25">
      <c r="A103" s="5" t="str">
        <f>HYPERLINK("https://app.vivvix.com/360/KMI/IntelliDrive/ApplUI/Pages/CreativePages/CustomReportCreativeDetail.aspx?App=23&amp;ReportView=4&amp;Qid=1711242&amp;Row=95&amp;Col=1","Excellence Of Driving")</f>
        <v>Excellence Of Driving</v>
      </c>
      <c r="B103" t="s">
        <v>192</v>
      </c>
      <c r="C103" t="s">
        <v>193</v>
      </c>
      <c r="D103" t="s">
        <v>68</v>
      </c>
      <c r="E103" t="s">
        <v>15</v>
      </c>
      <c r="F103" t="s">
        <v>50</v>
      </c>
      <c r="G103" t="s">
        <v>51</v>
      </c>
      <c r="H103" s="1">
        <v>3243</v>
      </c>
      <c r="J103">
        <v>586473614</v>
      </c>
    </row>
    <row r="104" spans="1:10" x14ac:dyDescent="0.25">
      <c r="A104" s="5" t="str">
        <f>HYPERLINK("https://app.vivvix.com/360/KMI/IntelliDrive/ApplUI/Pages/CreativePages/CustomReportCreativeDetail.aspx?App=23&amp;ReportView=4&amp;Qid=1711242&amp;Row=96&amp;Col=1","Excellence Of Driving")</f>
        <v>Excellence Of Driving</v>
      </c>
      <c r="B104" t="s">
        <v>194</v>
      </c>
      <c r="C104" t="s">
        <v>68</v>
      </c>
      <c r="D104" t="s">
        <v>68</v>
      </c>
      <c r="E104" t="s">
        <v>15</v>
      </c>
      <c r="F104" t="s">
        <v>50</v>
      </c>
      <c r="G104" t="s">
        <v>51</v>
      </c>
      <c r="H104" s="1">
        <v>689870</v>
      </c>
      <c r="J104">
        <v>586486674</v>
      </c>
    </row>
    <row r="105" spans="1:10" x14ac:dyDescent="0.25">
      <c r="A105" s="5" t="str">
        <f>HYPERLINK("https://app.vivvix.com/360/KMI/IntelliDrive/ApplUI/Pages/CreativePages/CustomReportCreativeDetail.aspx?App=23&amp;ReportView=4&amp;Qid=1711242&amp;Row=97&amp;Col=1","Excellence Of Driving Is Matched")</f>
        <v>Excellence Of Driving Is Matched</v>
      </c>
      <c r="B105" t="s">
        <v>195</v>
      </c>
      <c r="C105" t="s">
        <v>196</v>
      </c>
      <c r="D105" t="s">
        <v>64</v>
      </c>
      <c r="E105" t="s">
        <v>15</v>
      </c>
      <c r="F105" t="s">
        <v>50</v>
      </c>
      <c r="G105" t="s">
        <v>65</v>
      </c>
      <c r="H105" s="1">
        <v>2099</v>
      </c>
      <c r="J105">
        <v>586490062</v>
      </c>
    </row>
    <row r="106" spans="1:10" x14ac:dyDescent="0.25">
      <c r="A106" s="5" t="str">
        <f>HYPERLINK("https://app.vivvix.com/360/KMI/IntelliDrive/ApplUI/Pages/CreativePages/CustomReportCreativeDetail.aspx?App=23&amp;ReportView=4&amp;Qid=1711242&amp;Row=98&amp;Col=1","Excellence Of Driving Is Matched")</f>
        <v>Excellence Of Driving Is Matched</v>
      </c>
      <c r="B106" t="s">
        <v>197</v>
      </c>
      <c r="C106" t="s">
        <v>198</v>
      </c>
      <c r="D106" t="s">
        <v>64</v>
      </c>
      <c r="E106" t="s">
        <v>15</v>
      </c>
      <c r="F106" t="s">
        <v>50</v>
      </c>
      <c r="G106" t="s">
        <v>65</v>
      </c>
      <c r="H106" s="1">
        <v>13176</v>
      </c>
      <c r="J106">
        <v>586490994</v>
      </c>
    </row>
    <row r="107" spans="1:10" x14ac:dyDescent="0.25">
      <c r="A107" s="5" t="str">
        <f>HYPERLINK("https://app.vivvix.com/360/KMI/IntelliDrive/ApplUI/Pages/CreativePages/CustomReportCreativeDetail.aspx?App=23&amp;ReportView=4&amp;Qid=1711242&amp;Row=99&amp;Col=1","Excellence Of Driving Is Matched")</f>
        <v>Excellence Of Driving Is Matched</v>
      </c>
      <c r="B107" t="s">
        <v>199</v>
      </c>
      <c r="C107" t="s">
        <v>200</v>
      </c>
      <c r="D107" t="s">
        <v>64</v>
      </c>
      <c r="E107" t="s">
        <v>15</v>
      </c>
      <c r="F107" t="s">
        <v>50</v>
      </c>
      <c r="G107" t="s">
        <v>65</v>
      </c>
      <c r="H107" s="1">
        <v>140747</v>
      </c>
      <c r="J107">
        <v>586491872</v>
      </c>
    </row>
    <row r="108" spans="1:10" hidden="1" x14ac:dyDescent="0.25">
      <c r="A108" s="5" t="str">
        <f>HYPERLINK("https://app.vivvix.com/360/KMI/IntelliDrive/ApplUI/Pages/CreativePages/CustomReportCreativeDetail.aspx?App=23&amp;ReportView=4&amp;Qid=1711242&amp;Row=100&amp;Col=1","exceptional by design")</f>
        <v>exceptional by design</v>
      </c>
      <c r="B108" t="s">
        <v>201</v>
      </c>
      <c r="C108" t="s">
        <v>202</v>
      </c>
      <c r="D108" t="s">
        <v>202</v>
      </c>
      <c r="E108" t="s">
        <v>15</v>
      </c>
      <c r="F108" t="s">
        <v>60</v>
      </c>
      <c r="G108" t="s">
        <v>61</v>
      </c>
      <c r="H108" s="1">
        <v>7952.0540000000001</v>
      </c>
      <c r="J108">
        <v>586495397</v>
      </c>
    </row>
    <row r="109" spans="1:10" x14ac:dyDescent="0.25">
      <c r="A109" s="5" t="str">
        <f>HYPERLINK("https://app.vivvix.com/360/KMI/IntelliDrive/ApplUI/Pages/CreativePages/CustomReportCreativeDetail.aspx?App=23&amp;ReportView=4&amp;Qid=1711242&amp;Row=101&amp;Col=1","Exceptional by Design")</f>
        <v>Exceptional by Design</v>
      </c>
      <c r="B109" t="s">
        <v>203</v>
      </c>
      <c r="C109" t="s">
        <v>204</v>
      </c>
      <c r="D109" t="s">
        <v>204</v>
      </c>
      <c r="E109" t="s">
        <v>15</v>
      </c>
      <c r="F109" t="s">
        <v>50</v>
      </c>
      <c r="G109" t="s">
        <v>76</v>
      </c>
      <c r="H109" s="1">
        <v>14920</v>
      </c>
      <c r="J109">
        <v>586507457</v>
      </c>
    </row>
    <row r="110" spans="1:10" x14ac:dyDescent="0.25">
      <c r="A110" s="5" t="str">
        <f>HYPERLINK("https://app.vivvix.com/360/KMI/IntelliDrive/ApplUI/Pages/CreativePages/CustomReportCreativeDetail.aspx?App=23&amp;ReportView=4&amp;Qid=1711242&amp;Row=102&amp;Col=1","exceptional by design")</f>
        <v>exceptional by design</v>
      </c>
      <c r="B110" t="s">
        <v>205</v>
      </c>
      <c r="C110" t="s">
        <v>206</v>
      </c>
      <c r="D110" t="s">
        <v>206</v>
      </c>
      <c r="E110" t="s">
        <v>15</v>
      </c>
      <c r="F110" t="s">
        <v>50</v>
      </c>
      <c r="G110" t="s">
        <v>51</v>
      </c>
      <c r="H110" s="1">
        <v>12338</v>
      </c>
      <c r="J110">
        <v>586515372</v>
      </c>
    </row>
    <row r="111" spans="1:10" x14ac:dyDescent="0.25">
      <c r="A111" s="5" t="str">
        <f>HYPERLINK("https://app.vivvix.com/360/KMI/IntelliDrive/ApplUI/Pages/CreativePages/CustomReportCreativeDetail.aspx?App=23&amp;ReportView=4&amp;Qid=1711242&amp;Row=103&amp;Col=1","exceptional by design 3")</f>
        <v>exceptional by design 3</v>
      </c>
      <c r="B111" t="s">
        <v>207</v>
      </c>
      <c r="C111" t="s">
        <v>208</v>
      </c>
      <c r="D111" t="s">
        <v>208</v>
      </c>
      <c r="E111" t="s">
        <v>15</v>
      </c>
      <c r="F111" t="s">
        <v>50</v>
      </c>
      <c r="G111" t="s">
        <v>76</v>
      </c>
      <c r="H111" s="1">
        <v>7039</v>
      </c>
      <c r="J111">
        <v>586547505</v>
      </c>
    </row>
    <row r="112" spans="1:10" x14ac:dyDescent="0.25">
      <c r="A112" s="5" t="str">
        <f>HYPERLINK("https://app.vivvix.com/360/KMI/IntelliDrive/ApplUI/Pages/CreativePages/CustomReportCreativeDetail.aspx?App=23&amp;ReportView=4&amp;Qid=1711242&amp;Row=104&amp;Col=1","exceptional by design 3")</f>
        <v>exceptional by design 3</v>
      </c>
      <c r="B112" t="s">
        <v>209</v>
      </c>
      <c r="C112" t="s">
        <v>210</v>
      </c>
      <c r="D112" t="s">
        <v>210</v>
      </c>
      <c r="E112" t="s">
        <v>15</v>
      </c>
      <c r="F112" t="s">
        <v>50</v>
      </c>
      <c r="G112" t="s">
        <v>76</v>
      </c>
      <c r="H112" s="1">
        <v>600489</v>
      </c>
      <c r="J112">
        <v>586553924</v>
      </c>
    </row>
    <row r="113" spans="1:10" x14ac:dyDescent="0.25">
      <c r="A113" s="5" t="str">
        <f>HYPERLINK("https://app.vivvix.com/360/KMI/IntelliDrive/ApplUI/Pages/CreativePages/CustomReportCreativeDetail.aspx?App=23&amp;ReportView=4&amp;Qid=1711242&amp;Row=105&amp;Col=1","exceptional by design 3")</f>
        <v>exceptional by design 3</v>
      </c>
      <c r="B113" t="s">
        <v>211</v>
      </c>
      <c r="C113" t="s">
        <v>212</v>
      </c>
      <c r="D113" t="s">
        <v>212</v>
      </c>
      <c r="E113" t="s">
        <v>15</v>
      </c>
      <c r="F113" t="s">
        <v>50</v>
      </c>
      <c r="G113" t="s">
        <v>76</v>
      </c>
      <c r="H113" s="1">
        <v>618</v>
      </c>
      <c r="J113">
        <v>586582517</v>
      </c>
    </row>
    <row r="114" spans="1:10" x14ac:dyDescent="0.25">
      <c r="A114" s="5" t="str">
        <f>HYPERLINK("https://app.vivvix.com/360/KMI/IntelliDrive/ApplUI/Pages/CreativePages/CustomReportCreativeDetail.aspx?App=23&amp;ReportView=4&amp;Qid=1711242&amp;Row=106&amp;Col=1","exceptional by design 3")</f>
        <v>exceptional by design 3</v>
      </c>
      <c r="B114" t="s">
        <v>213</v>
      </c>
      <c r="C114" t="s">
        <v>214</v>
      </c>
      <c r="D114" t="s">
        <v>214</v>
      </c>
      <c r="E114" t="s">
        <v>15</v>
      </c>
      <c r="F114" t="s">
        <v>50</v>
      </c>
      <c r="G114" t="s">
        <v>76</v>
      </c>
      <c r="H114" s="1">
        <v>564232</v>
      </c>
      <c r="J114">
        <v>586592372</v>
      </c>
    </row>
    <row r="115" spans="1:10" x14ac:dyDescent="0.25">
      <c r="A115" s="5" t="str">
        <f>HYPERLINK("https://app.vivvix.com/360/KMI/IntelliDrive/ApplUI/Pages/CreativePages/CustomReportCreativeDetail.aspx?App=23&amp;ReportView=4&amp;Qid=1711242&amp;Row=107&amp;Col=1","exceptional by design 3")</f>
        <v>exceptional by design 3</v>
      </c>
      <c r="B115" t="s">
        <v>215</v>
      </c>
      <c r="C115" t="s">
        <v>216</v>
      </c>
      <c r="D115" t="s">
        <v>216</v>
      </c>
      <c r="E115" t="s">
        <v>15</v>
      </c>
      <c r="F115" t="s">
        <v>50</v>
      </c>
      <c r="G115" t="s">
        <v>76</v>
      </c>
      <c r="H115" s="1">
        <v>46471</v>
      </c>
      <c r="J115">
        <v>586601696</v>
      </c>
    </row>
    <row r="116" spans="1:10" hidden="1" x14ac:dyDescent="0.25">
      <c r="A116" s="5" t="str">
        <f>HYPERLINK("https://app.vivvix.com/360/KMI/IntelliDrive/ApplUI/Pages/CreativePages/CustomReportCreativeDetail.aspx?App=23&amp;ReportView=4&amp;Qid=1711242&amp;Row=108&amp;Col=1","exceptional by design 30 sec")</f>
        <v>exceptional by design 30 sec</v>
      </c>
      <c r="B116" t="s">
        <v>217</v>
      </c>
      <c r="E116" t="s">
        <v>15</v>
      </c>
      <c r="F116" t="s">
        <v>20</v>
      </c>
      <c r="G116" t="s">
        <v>31</v>
      </c>
      <c r="H116" s="1">
        <v>207821.78099999999</v>
      </c>
      <c r="J116">
        <v>586602039</v>
      </c>
    </row>
    <row r="117" spans="1:10" hidden="1" x14ac:dyDescent="0.25">
      <c r="A117" s="5" t="str">
        <f>HYPERLINK("https://app.vivvix.com/360/KMI/IntelliDrive/ApplUI/Pages/CreativePages/CustomReportCreativeDetail.aspx?App=23&amp;ReportView=4&amp;Qid=1711242&amp;Row=109&amp;Col=1","exceptional by design 30 sec")</f>
        <v>exceptional by design 30 sec</v>
      </c>
      <c r="B117" t="s">
        <v>217</v>
      </c>
      <c r="E117" t="s">
        <v>15</v>
      </c>
      <c r="F117" t="s">
        <v>20</v>
      </c>
      <c r="G117" t="s">
        <v>31</v>
      </c>
      <c r="H117" s="1">
        <v>63770.175999999999</v>
      </c>
      <c r="J117">
        <v>586611051</v>
      </c>
    </row>
    <row r="118" spans="1:10" x14ac:dyDescent="0.25">
      <c r="A118" s="5" t="str">
        <f>HYPERLINK("https://app.vivvix.com/360/KMI/IntelliDrive/ApplUI/Pages/CreativePages/CustomReportCreativeDetail.aspx?App=23&amp;ReportView=4&amp;Qid=1711242&amp;Row=110&amp;Col=1","Exceptional by Design/$189")</f>
        <v>Exceptional by Design/$189</v>
      </c>
      <c r="B118" t="s">
        <v>218</v>
      </c>
      <c r="C118" t="s">
        <v>219</v>
      </c>
      <c r="D118" t="s">
        <v>204</v>
      </c>
      <c r="E118" t="s">
        <v>15</v>
      </c>
      <c r="F118" t="s">
        <v>50</v>
      </c>
      <c r="G118" t="s">
        <v>76</v>
      </c>
      <c r="H118" s="1">
        <v>59000</v>
      </c>
      <c r="J118">
        <v>586617732</v>
      </c>
    </row>
    <row r="119" spans="1:10" x14ac:dyDescent="0.25">
      <c r="A119" s="5" t="str">
        <f>HYPERLINK("https://app.vivvix.com/360/KMI/IntelliDrive/ApplUI/Pages/CreativePages/CustomReportCreativeDetail.aspx?App=23&amp;ReportView=4&amp;Qid=1711242&amp;Row=111&amp;Col=1","Exceptional by Design/$189")</f>
        <v>Exceptional by Design/$189</v>
      </c>
      <c r="B119" t="s">
        <v>220</v>
      </c>
      <c r="C119" t="s">
        <v>219</v>
      </c>
      <c r="D119" t="s">
        <v>204</v>
      </c>
      <c r="E119" t="s">
        <v>15</v>
      </c>
      <c r="F119" t="s">
        <v>50</v>
      </c>
      <c r="G119" t="s">
        <v>76</v>
      </c>
      <c r="H119" s="1">
        <v>21584</v>
      </c>
      <c r="J119">
        <v>586624561</v>
      </c>
    </row>
    <row r="120" spans="1:10" x14ac:dyDescent="0.25">
      <c r="A120" s="5" t="str">
        <f>HYPERLINK("https://app.vivvix.com/360/KMI/IntelliDrive/ApplUI/Pages/CreativePages/CustomReportCreativeDetail.aspx?App=23&amp;ReportView=4&amp;Qid=1711242&amp;Row=112&amp;Col=1","Exceptional by Design/$189")</f>
        <v>Exceptional by Design/$189</v>
      </c>
      <c r="B120" t="s">
        <v>221</v>
      </c>
      <c r="C120" t="s">
        <v>219</v>
      </c>
      <c r="D120" t="s">
        <v>204</v>
      </c>
      <c r="E120" t="s">
        <v>15</v>
      </c>
      <c r="F120" t="s">
        <v>50</v>
      </c>
      <c r="G120" t="s">
        <v>76</v>
      </c>
      <c r="H120" s="1">
        <v>52781</v>
      </c>
      <c r="J120">
        <v>586629798</v>
      </c>
    </row>
    <row r="121" spans="1:10" x14ac:dyDescent="0.25">
      <c r="A121" s="5" t="str">
        <f>HYPERLINK("https://app.vivvix.com/360/KMI/IntelliDrive/ApplUI/Pages/CreativePages/CustomReportCreativeDetail.aspx?App=23&amp;ReportView=4&amp;Qid=1711242&amp;Row=113&amp;Col=1","Exceptional Evolves With Time")</f>
        <v>Exceptional Evolves With Time</v>
      </c>
      <c r="B121" t="s">
        <v>222</v>
      </c>
      <c r="C121" t="s">
        <v>223</v>
      </c>
      <c r="D121" t="s">
        <v>223</v>
      </c>
      <c r="E121" t="s">
        <v>15</v>
      </c>
      <c r="F121" t="s">
        <v>16</v>
      </c>
      <c r="G121" t="s">
        <v>54</v>
      </c>
      <c r="H121" s="1">
        <v>15930</v>
      </c>
      <c r="J121">
        <v>586637920</v>
      </c>
    </row>
    <row r="122" spans="1:10" x14ac:dyDescent="0.25">
      <c r="A122" s="5" t="str">
        <f>HYPERLINK("https://app.vivvix.com/360/KMI/IntelliDrive/ApplUI/Pages/CreativePages/CustomReportCreativeDetail.aspx?App=23&amp;ReportView=4&amp;Qid=1711242&amp;Row=114&amp;Col=1","Exceptional Keeps Evolving")</f>
        <v>Exceptional Keeps Evolving</v>
      </c>
      <c r="B122" t="s">
        <v>224</v>
      </c>
      <c r="C122" t="s">
        <v>225</v>
      </c>
      <c r="D122" t="s">
        <v>225</v>
      </c>
      <c r="E122" t="s">
        <v>15</v>
      </c>
      <c r="F122" t="s">
        <v>50</v>
      </c>
      <c r="G122" t="s">
        <v>65</v>
      </c>
      <c r="H122" s="1">
        <v>30939</v>
      </c>
      <c r="J122">
        <v>586660370</v>
      </c>
    </row>
    <row r="123" spans="1:10" x14ac:dyDescent="0.25">
      <c r="A123" s="5" t="str">
        <f>HYPERLINK("https://app.vivvix.com/360/KMI/IntelliDrive/ApplUI/Pages/CreativePages/CustomReportCreativeDetail.aspx?App=23&amp;ReportView=4&amp;Qid=1711242&amp;Row=115&amp;Col=1","Experience Confident Driving")</f>
        <v>Experience Confident Driving</v>
      </c>
      <c r="B123" t="s">
        <v>226</v>
      </c>
      <c r="C123" t="s">
        <v>227</v>
      </c>
      <c r="D123" t="s">
        <v>227</v>
      </c>
      <c r="E123" t="s">
        <v>15</v>
      </c>
      <c r="F123" t="s">
        <v>20</v>
      </c>
      <c r="G123" t="s">
        <v>31</v>
      </c>
      <c r="H123" s="1">
        <v>258125</v>
      </c>
      <c r="J123">
        <v>586680606</v>
      </c>
    </row>
    <row r="124" spans="1:10" x14ac:dyDescent="0.25">
      <c r="A124" s="5" t="str">
        <f>HYPERLINK("https://app.vivvix.com/360/KMI/IntelliDrive/ApplUI/Pages/CreativePages/CustomReportCreativeDetail.aspx?App=23&amp;ReportView=4&amp;Qid=1711242&amp;Row=116&amp;Col=1","Experience Confident Driving")</f>
        <v>Experience Confident Driving</v>
      </c>
      <c r="B124" t="s">
        <v>228</v>
      </c>
      <c r="C124" t="s">
        <v>229</v>
      </c>
      <c r="D124" t="s">
        <v>227</v>
      </c>
      <c r="E124" t="s">
        <v>15</v>
      </c>
      <c r="F124" t="s">
        <v>20</v>
      </c>
      <c r="G124" t="s">
        <v>31</v>
      </c>
      <c r="H124" s="1">
        <v>2684</v>
      </c>
      <c r="J124">
        <v>586685178</v>
      </c>
    </row>
    <row r="125" spans="1:10" x14ac:dyDescent="0.25">
      <c r="A125" s="5" t="str">
        <f>HYPERLINK("https://app.vivvix.com/360/KMI/IntelliDrive/ApplUI/Pages/CreativePages/CustomReportCreativeDetail.aspx?App=23&amp;ReportView=4&amp;Qid=1711242&amp;Row=117&amp;Col=1","Experience Confident Driving")</f>
        <v>Experience Confident Driving</v>
      </c>
      <c r="B125" t="s">
        <v>230</v>
      </c>
      <c r="C125" t="s">
        <v>231</v>
      </c>
      <c r="D125" t="s">
        <v>227</v>
      </c>
      <c r="E125" t="s">
        <v>15</v>
      </c>
      <c r="F125" t="s">
        <v>20</v>
      </c>
      <c r="G125" t="s">
        <v>31</v>
      </c>
      <c r="H125" s="1">
        <v>27930</v>
      </c>
      <c r="J125">
        <v>586691324</v>
      </c>
    </row>
    <row r="126" spans="1:10" x14ac:dyDescent="0.25">
      <c r="A126" s="5" t="str">
        <f>HYPERLINK("https://app.vivvix.com/360/KMI/IntelliDrive/ApplUI/Pages/CreativePages/CustomReportCreativeDetail.aspx?App=23&amp;ReportView=4&amp;Qid=1711242&amp;Row=118&amp;Col=1","Experience Exceptional Journey")</f>
        <v>Experience Exceptional Journey</v>
      </c>
      <c r="B126" t="s">
        <v>232</v>
      </c>
      <c r="C126" t="s">
        <v>233</v>
      </c>
      <c r="D126" t="s">
        <v>233</v>
      </c>
      <c r="E126" t="s">
        <v>15</v>
      </c>
      <c r="F126" t="s">
        <v>20</v>
      </c>
      <c r="G126" t="s">
        <v>31</v>
      </c>
      <c r="H126" s="1">
        <v>221794</v>
      </c>
      <c r="J126">
        <v>586692688</v>
      </c>
    </row>
    <row r="127" spans="1:10" x14ac:dyDescent="0.25">
      <c r="A127" s="5" t="str">
        <f>HYPERLINK("https://app.vivvix.com/360/KMI/IntelliDrive/ApplUI/Pages/CreativePages/CustomReportCreativeDetail.aspx?App=23&amp;ReportView=4&amp;Qid=1711242&amp;Row=119&amp;Col=1","Experience Exceptional Journey")</f>
        <v>Experience Exceptional Journey</v>
      </c>
      <c r="B127" t="s">
        <v>232</v>
      </c>
      <c r="C127" t="s">
        <v>233</v>
      </c>
      <c r="D127" t="s">
        <v>233</v>
      </c>
      <c r="E127" t="s">
        <v>15</v>
      </c>
      <c r="F127" t="s">
        <v>20</v>
      </c>
      <c r="G127" t="s">
        <v>31</v>
      </c>
      <c r="H127" s="1">
        <v>50077</v>
      </c>
      <c r="J127">
        <v>586693762</v>
      </c>
    </row>
    <row r="128" spans="1:10" x14ac:dyDescent="0.25">
      <c r="A128" s="5" t="str">
        <f>HYPERLINK("https://app.vivvix.com/360/KMI/IntelliDrive/ApplUI/Pages/CreativePages/CustomReportCreativeDetail.aspx?App=23&amp;ReportView=4&amp;Qid=1711242&amp;Row=120&amp;Col=1","Experience Exceptional Journey")</f>
        <v>Experience Exceptional Journey</v>
      </c>
      <c r="B128" t="s">
        <v>232</v>
      </c>
      <c r="C128" t="s">
        <v>233</v>
      </c>
      <c r="D128" t="s">
        <v>233</v>
      </c>
      <c r="E128" t="s">
        <v>15</v>
      </c>
      <c r="F128" t="s">
        <v>20</v>
      </c>
      <c r="G128" t="s">
        <v>31</v>
      </c>
      <c r="H128" s="1">
        <v>434246</v>
      </c>
      <c r="J128">
        <v>586694134</v>
      </c>
    </row>
    <row r="129" spans="1:10" x14ac:dyDescent="0.25">
      <c r="A129" s="5" t="str">
        <f>HYPERLINK("https://app.vivvix.com/360/KMI/IntelliDrive/ApplUI/Pages/CreativePages/CustomReportCreativeDetail.aspx?App=23&amp;ReportView=4&amp;Qid=1711242&amp;Row=121&amp;Col=1","Experience Exceptional Journey")</f>
        <v>Experience Exceptional Journey</v>
      </c>
      <c r="B129" t="s">
        <v>234</v>
      </c>
      <c r="C129" t="s">
        <v>235</v>
      </c>
      <c r="D129" t="s">
        <v>233</v>
      </c>
      <c r="E129" t="s">
        <v>15</v>
      </c>
      <c r="F129" t="s">
        <v>20</v>
      </c>
      <c r="G129" t="s">
        <v>31</v>
      </c>
      <c r="H129" s="1">
        <v>389601</v>
      </c>
      <c r="J129">
        <v>586696007</v>
      </c>
    </row>
    <row r="130" spans="1:10" hidden="1" x14ac:dyDescent="0.25">
      <c r="A130" s="5" t="str">
        <f>HYPERLINK("https://app.vivvix.com/360/KMI/IntelliDrive/ApplUI/Pages/CreativePages/CustomReportCreativeDetail.aspx?App=23&amp;ReportView=4&amp;Qid=1711242&amp;Row=122&amp;Col=1","experience luxury in every drive")</f>
        <v>experience luxury in every drive</v>
      </c>
      <c r="B130" t="s">
        <v>236</v>
      </c>
      <c r="C130" t="s">
        <v>237</v>
      </c>
      <c r="D130" t="s">
        <v>237</v>
      </c>
      <c r="E130" t="s">
        <v>15</v>
      </c>
      <c r="F130" t="s">
        <v>20</v>
      </c>
      <c r="G130" t="s">
        <v>31</v>
      </c>
      <c r="H130" s="1">
        <v>1411.7049999999999</v>
      </c>
      <c r="J130">
        <v>586713323</v>
      </c>
    </row>
    <row r="131" spans="1:10" x14ac:dyDescent="0.25">
      <c r="A131" s="5" t="str">
        <f>HYPERLINK("https://app.vivvix.com/360/KMI/IntelliDrive/ApplUI/Pages/CreativePages/CustomReportCreativeDetail.aspx?App=23&amp;ReportView=4&amp;Qid=1711242&amp;Row=123&amp;Col=1","Experience The Amazing Drive")</f>
        <v>Experience The Amazing Drive</v>
      </c>
      <c r="B131" t="s">
        <v>238</v>
      </c>
      <c r="C131" t="s">
        <v>239</v>
      </c>
      <c r="D131" t="s">
        <v>64</v>
      </c>
      <c r="E131" t="s">
        <v>15</v>
      </c>
      <c r="F131" t="s">
        <v>50</v>
      </c>
      <c r="G131" t="s">
        <v>65</v>
      </c>
      <c r="H131" s="1">
        <v>4569</v>
      </c>
      <c r="J131">
        <v>586736629</v>
      </c>
    </row>
    <row r="132" spans="1:10" x14ac:dyDescent="0.25">
      <c r="A132" s="5" t="str">
        <f>HYPERLINK("https://app.vivvix.com/360/KMI/IntelliDrive/ApplUI/Pages/CreativePages/CustomReportCreativeDetail.aspx?App=23&amp;ReportView=4&amp;Qid=1711242&amp;Row=124&amp;Col=1","Experience the Amazing Drive")</f>
        <v>Experience the Amazing Drive</v>
      </c>
      <c r="B132" t="s">
        <v>240</v>
      </c>
      <c r="C132" t="s">
        <v>241</v>
      </c>
      <c r="D132" t="s">
        <v>241</v>
      </c>
      <c r="E132" t="s">
        <v>15</v>
      </c>
      <c r="F132" t="s">
        <v>15</v>
      </c>
      <c r="G132" t="s">
        <v>119</v>
      </c>
      <c r="H132" s="1">
        <v>180946</v>
      </c>
      <c r="J132">
        <v>586753240</v>
      </c>
    </row>
    <row r="133" spans="1:10" x14ac:dyDescent="0.25">
      <c r="A133" s="5" t="str">
        <f>HYPERLINK("https://app.vivvix.com/360/KMI/IntelliDrive/ApplUI/Pages/CreativePages/CustomReportCreativeDetail.aspx?App=23&amp;ReportView=4&amp;Qid=1711242&amp;Row=125&amp;Col=1","Experience the Amazing Drive")</f>
        <v>Experience the Amazing Drive</v>
      </c>
      <c r="B133" t="s">
        <v>240</v>
      </c>
      <c r="C133" t="s">
        <v>241</v>
      </c>
      <c r="D133" t="s">
        <v>241</v>
      </c>
      <c r="E133" t="s">
        <v>15</v>
      </c>
      <c r="F133" t="s">
        <v>15</v>
      </c>
      <c r="G133" t="s">
        <v>119</v>
      </c>
      <c r="H133" s="1">
        <v>5070781</v>
      </c>
      <c r="J133">
        <v>586774093</v>
      </c>
    </row>
    <row r="134" spans="1:10" x14ac:dyDescent="0.25">
      <c r="A134" s="5" t="str">
        <f>HYPERLINK("https://app.vivvix.com/360/KMI/IntelliDrive/ApplUI/Pages/CreativePages/CustomReportCreativeDetail.aspx?App=23&amp;ReportView=4&amp;Qid=1711242&amp;Row=126&amp;Col=1","Experience the Amazing Drive")</f>
        <v>Experience the Amazing Drive</v>
      </c>
      <c r="B134" t="s">
        <v>240</v>
      </c>
      <c r="C134" t="s">
        <v>241</v>
      </c>
      <c r="D134" t="s">
        <v>241</v>
      </c>
      <c r="E134" t="s">
        <v>15</v>
      </c>
      <c r="F134" t="s">
        <v>15</v>
      </c>
      <c r="G134" t="s">
        <v>119</v>
      </c>
      <c r="H134" s="1">
        <v>2998394</v>
      </c>
      <c r="J134">
        <v>586788108</v>
      </c>
    </row>
    <row r="135" spans="1:10" x14ac:dyDescent="0.25">
      <c r="A135" s="5" t="str">
        <f>HYPERLINK("https://app.vivvix.com/360/KMI/IntelliDrive/ApplUI/Pages/CreativePages/CustomReportCreativeDetail.aspx?App=23&amp;ReportView=4&amp;Qid=1711242&amp;Row=127&amp;Col=1","Experience The Amazing Driving")</f>
        <v>Experience The Amazing Driving</v>
      </c>
      <c r="B135" t="s">
        <v>242</v>
      </c>
      <c r="C135" t="s">
        <v>243</v>
      </c>
      <c r="D135" t="s">
        <v>68</v>
      </c>
      <c r="E135" t="s">
        <v>15</v>
      </c>
      <c r="F135" t="s">
        <v>50</v>
      </c>
      <c r="G135" t="s">
        <v>51</v>
      </c>
      <c r="H135" s="1">
        <v>207618</v>
      </c>
      <c r="J135">
        <v>586790344</v>
      </c>
    </row>
    <row r="136" spans="1:10" x14ac:dyDescent="0.25">
      <c r="A136" s="5" t="str">
        <f>HYPERLINK("https://app.vivvix.com/360/KMI/IntelliDrive/ApplUI/Pages/CreativePages/CustomReportCreativeDetail.aspx?App=23&amp;ReportView=4&amp;Qid=1711242&amp;Row=128&amp;Col=1","Fabulous Features")</f>
        <v>Fabulous Features</v>
      </c>
      <c r="B136" t="s">
        <v>244</v>
      </c>
      <c r="C136" t="s">
        <v>245</v>
      </c>
      <c r="D136" t="s">
        <v>245</v>
      </c>
      <c r="E136" t="s">
        <v>15</v>
      </c>
      <c r="F136" t="s">
        <v>60</v>
      </c>
      <c r="G136" t="s">
        <v>61</v>
      </c>
      <c r="H136" s="1">
        <v>76810</v>
      </c>
      <c r="J136">
        <v>586796000</v>
      </c>
    </row>
    <row r="137" spans="1:10" x14ac:dyDescent="0.25">
      <c r="A137" s="5" t="str">
        <f>HYPERLINK("https://app.vivvix.com/360/KMI/IntelliDrive/ApplUI/Pages/CreativePages/CustomReportCreativeDetail.aspx?App=23&amp;ReportView=4&amp;Qid=1711242&amp;Row=129&amp;Col=1","Fabulous Features/$1,750")</f>
        <v>Fabulous Features/$1,750</v>
      </c>
      <c r="B137" t="s">
        <v>246</v>
      </c>
      <c r="C137" t="s">
        <v>247</v>
      </c>
      <c r="D137" t="s">
        <v>245</v>
      </c>
      <c r="E137" t="s">
        <v>15</v>
      </c>
      <c r="F137" t="s">
        <v>60</v>
      </c>
      <c r="G137" t="s">
        <v>61</v>
      </c>
      <c r="H137" s="1">
        <v>528574</v>
      </c>
      <c r="J137">
        <v>586796030</v>
      </c>
    </row>
    <row r="138" spans="1:10" x14ac:dyDescent="0.25">
      <c r="A138" s="5" t="str">
        <f>HYPERLINK("https://app.vivvix.com/360/KMI/IntelliDrive/ApplUI/Pages/CreativePages/CustomReportCreativeDetail.aspx?App=23&amp;ReportView=4&amp;Qid=1711242&amp;Row=130&amp;Col=1","Fabulous Features/$1,750, 36 Mos")</f>
        <v>Fabulous Features/$1,750, 36 Mos</v>
      </c>
      <c r="B138" t="s">
        <v>248</v>
      </c>
      <c r="C138" t="s">
        <v>249</v>
      </c>
      <c r="D138" t="s">
        <v>245</v>
      </c>
      <c r="E138" t="s">
        <v>15</v>
      </c>
      <c r="F138" t="s">
        <v>60</v>
      </c>
      <c r="G138" t="s">
        <v>61</v>
      </c>
      <c r="H138" s="1">
        <v>422</v>
      </c>
      <c r="J138">
        <v>586812555</v>
      </c>
    </row>
    <row r="139" spans="1:10" x14ac:dyDescent="0.25">
      <c r="A139" s="5" t="str">
        <f>HYPERLINK("https://app.vivvix.com/360/KMI/IntelliDrive/ApplUI/Pages/CreativePages/CustomReportCreativeDetail.aspx?App=23&amp;ReportView=4&amp;Qid=1711242&amp;Row=131&amp;Col=1","Fabulous Features/$1,750, Purchase &amp; Conquest cash")</f>
        <v>Fabulous Features/$1,750, Purchase &amp; Conquest cash</v>
      </c>
      <c r="B139" t="s">
        <v>250</v>
      </c>
      <c r="C139" t="s">
        <v>247</v>
      </c>
      <c r="D139" t="s">
        <v>245</v>
      </c>
      <c r="E139" t="s">
        <v>15</v>
      </c>
      <c r="F139" t="s">
        <v>60</v>
      </c>
      <c r="G139" t="s">
        <v>61</v>
      </c>
      <c r="H139" s="1">
        <v>107034</v>
      </c>
      <c r="J139">
        <v>586840819</v>
      </c>
    </row>
    <row r="140" spans="1:10" x14ac:dyDescent="0.25">
      <c r="A140" s="5" t="str">
        <f>HYPERLINK("https://app.vivvix.com/360/KMI/IntelliDrive/ApplUI/Pages/CreativePages/CustomReportCreativeDetail.aspx?App=23&amp;ReportView=4&amp;Qid=1711242&amp;Row=132&amp;Col=1","Fabulous Features/$2,500, - 90 Days")</f>
        <v>Fabulous Features/$2,500, - 90 Days</v>
      </c>
      <c r="B140" t="s">
        <v>251</v>
      </c>
      <c r="C140" t="s">
        <v>252</v>
      </c>
      <c r="D140" t="s">
        <v>245</v>
      </c>
      <c r="E140" t="s">
        <v>15</v>
      </c>
      <c r="F140" t="s">
        <v>60</v>
      </c>
      <c r="G140" t="s">
        <v>61</v>
      </c>
      <c r="H140" s="1">
        <v>60453</v>
      </c>
      <c r="J140">
        <v>586849394</v>
      </c>
    </row>
    <row r="141" spans="1:10" x14ac:dyDescent="0.25">
      <c r="A141" s="5" t="str">
        <f>HYPERLINK("https://app.vivvix.com/360/KMI/IntelliDrive/ApplUI/Pages/CreativePages/CustomReportCreativeDetail.aspx?App=23&amp;ReportView=4&amp;Qid=1711242&amp;Row=133&amp;Col=1","Fabulous Features/$3,500")</f>
        <v>Fabulous Features/$3,500</v>
      </c>
      <c r="B141" t="s">
        <v>253</v>
      </c>
      <c r="C141" t="s">
        <v>254</v>
      </c>
      <c r="D141" t="s">
        <v>245</v>
      </c>
      <c r="E141" t="s">
        <v>15</v>
      </c>
      <c r="F141" t="s">
        <v>60</v>
      </c>
      <c r="G141" t="s">
        <v>61</v>
      </c>
      <c r="H141" s="1">
        <v>10739</v>
      </c>
      <c r="J141">
        <v>586855134</v>
      </c>
    </row>
    <row r="142" spans="1:10" x14ac:dyDescent="0.25">
      <c r="A142" s="5" t="str">
        <f>HYPERLINK("https://app.vivvix.com/360/KMI/IntelliDrive/ApplUI/Pages/CreativePages/CustomReportCreativeDetail.aspx?App=23&amp;ReportView=4&amp;Qid=1711242&amp;Row=134&amp;Col=1","Fabulous Features/$3,500")</f>
        <v>Fabulous Features/$3,500</v>
      </c>
      <c r="B142" t="s">
        <v>255</v>
      </c>
      <c r="C142" t="s">
        <v>254</v>
      </c>
      <c r="D142" t="s">
        <v>245</v>
      </c>
      <c r="E142" t="s">
        <v>15</v>
      </c>
      <c r="F142" t="s">
        <v>60</v>
      </c>
      <c r="G142" t="s">
        <v>61</v>
      </c>
      <c r="H142" s="1">
        <v>14841</v>
      </c>
      <c r="J142">
        <v>586865370</v>
      </c>
    </row>
    <row r="143" spans="1:10" x14ac:dyDescent="0.25">
      <c r="A143" s="5" t="str">
        <f>HYPERLINK("https://app.vivvix.com/360/KMI/IntelliDrive/ApplUI/Pages/CreativePages/CustomReportCreativeDetail.aspx?App=23&amp;ReportView=4&amp;Qid=1711242&amp;Row=135&amp;Col=1","Fabulous Features/$3,500, -90 Days")</f>
        <v>Fabulous Features/$3,500, -90 Days</v>
      </c>
      <c r="B143" t="s">
        <v>256</v>
      </c>
      <c r="C143" t="s">
        <v>257</v>
      </c>
      <c r="D143" t="s">
        <v>245</v>
      </c>
      <c r="E143" t="s">
        <v>15</v>
      </c>
      <c r="F143" t="s">
        <v>60</v>
      </c>
      <c r="G143" t="s">
        <v>61</v>
      </c>
      <c r="H143" s="1">
        <v>17597</v>
      </c>
      <c r="J143">
        <v>586868840</v>
      </c>
    </row>
    <row r="144" spans="1:10" x14ac:dyDescent="0.25">
      <c r="A144" s="5" t="str">
        <f>HYPERLINK("https://app.vivvix.com/360/KMI/IntelliDrive/ApplUI/Pages/CreativePages/CustomReportCreativeDetail.aspx?App=23&amp;ReportView=4&amp;Qid=1711242&amp;Row=136&amp;Col=1","Fabulous Features/1.9% Alexander Family")</f>
        <v>Fabulous Features/1.9% Alexander Family</v>
      </c>
      <c r="B144" t="s">
        <v>258</v>
      </c>
      <c r="C144" t="s">
        <v>259</v>
      </c>
      <c r="D144" t="s">
        <v>245</v>
      </c>
      <c r="E144" t="s">
        <v>15</v>
      </c>
      <c r="F144" t="s">
        <v>60</v>
      </c>
      <c r="G144" t="s">
        <v>61</v>
      </c>
      <c r="H144" s="1">
        <v>1466</v>
      </c>
      <c r="J144">
        <v>586874433</v>
      </c>
    </row>
    <row r="145" spans="1:10" x14ac:dyDescent="0.25">
      <c r="A145" s="5" t="str">
        <f>HYPERLINK("https://app.vivvix.com/360/KMI/IntelliDrive/ApplUI/Pages/CreativePages/CustomReportCreativeDetail.aspx?App=23&amp;ReportView=4&amp;Qid=1711242&amp;Row=137&amp;Col=1","Fabulous Features/1.9%, $2,500")</f>
        <v>Fabulous Features/1.9%, $2,500</v>
      </c>
      <c r="B145" t="s">
        <v>260</v>
      </c>
      <c r="C145" t="s">
        <v>261</v>
      </c>
      <c r="D145" t="s">
        <v>245</v>
      </c>
      <c r="E145" t="s">
        <v>15</v>
      </c>
      <c r="F145" t="s">
        <v>60</v>
      </c>
      <c r="G145" t="s">
        <v>61</v>
      </c>
      <c r="H145" s="1">
        <v>964543</v>
      </c>
      <c r="J145">
        <v>586903991</v>
      </c>
    </row>
    <row r="146" spans="1:10" x14ac:dyDescent="0.25">
      <c r="A146" s="5" t="str">
        <f>HYPERLINK("https://app.vivvix.com/360/KMI/IntelliDrive/ApplUI/Pages/CreativePages/CustomReportCreativeDetail.aspx?App=23&amp;ReportView=4&amp;Qid=1711242&amp;Row=138&amp;Col=1","Fabulous Features/1.9%, $2,500")</f>
        <v>Fabulous Features/1.9%, $2,500</v>
      </c>
      <c r="B146" t="s">
        <v>260</v>
      </c>
      <c r="C146" t="s">
        <v>261</v>
      </c>
      <c r="D146" t="s">
        <v>245</v>
      </c>
      <c r="E146" t="s">
        <v>15</v>
      </c>
      <c r="F146" t="s">
        <v>60</v>
      </c>
      <c r="G146" t="s">
        <v>61</v>
      </c>
      <c r="H146" s="1">
        <v>386823</v>
      </c>
      <c r="J146">
        <v>586914280</v>
      </c>
    </row>
    <row r="147" spans="1:10" x14ac:dyDescent="0.25">
      <c r="A147" s="5" t="str">
        <f>HYPERLINK("https://app.vivvix.com/360/KMI/IntelliDrive/ApplUI/Pages/CreativePages/CustomReportCreativeDetail.aspx?App=23&amp;ReportView=4&amp;Qid=1711242&amp;Row=139&amp;Col=1","Family SUV Deal")</f>
        <v>Family SUV Deal</v>
      </c>
      <c r="B147" t="s">
        <v>262</v>
      </c>
      <c r="C147" t="s">
        <v>263</v>
      </c>
      <c r="D147" t="s">
        <v>263</v>
      </c>
      <c r="E147" t="s">
        <v>15</v>
      </c>
      <c r="F147" t="s">
        <v>133</v>
      </c>
      <c r="G147" t="s">
        <v>134</v>
      </c>
      <c r="H147" s="1">
        <v>647</v>
      </c>
      <c r="J147">
        <v>586922339</v>
      </c>
    </row>
    <row r="148" spans="1:10" x14ac:dyDescent="0.25">
      <c r="A148" s="5" t="str">
        <f>HYPERLINK("https://app.vivvix.com/360/KMI/IntelliDrive/ApplUI/Pages/CreativePages/CustomReportCreativeDetail.aspx?App=23&amp;ReportView=4&amp;Qid=1711242&amp;Row=140&amp;Col=1","Family SUV Deal/$329, $4,579")</f>
        <v>Family SUV Deal/$329, $4,579</v>
      </c>
      <c r="B148" t="s">
        <v>264</v>
      </c>
      <c r="C148" t="s">
        <v>265</v>
      </c>
      <c r="D148" t="s">
        <v>263</v>
      </c>
      <c r="E148" t="s">
        <v>15</v>
      </c>
      <c r="F148" t="s">
        <v>133</v>
      </c>
      <c r="G148" t="s">
        <v>134</v>
      </c>
      <c r="H148" s="1">
        <v>9597</v>
      </c>
      <c r="J148">
        <v>586922850</v>
      </c>
    </row>
    <row r="149" spans="1:10" x14ac:dyDescent="0.25">
      <c r="A149" s="5" t="str">
        <f>HYPERLINK("https://app.vivvix.com/360/KMI/IntelliDrive/ApplUI/Pages/CreativePages/CustomReportCreativeDetail.aspx?App=23&amp;ReportView=4&amp;Qid=1711242&amp;Row=141&amp;Col=1","Family SUV Deal/$329, $4,579")</f>
        <v>Family SUV Deal/$329, $4,579</v>
      </c>
      <c r="B149" t="s">
        <v>266</v>
      </c>
      <c r="C149" t="s">
        <v>265</v>
      </c>
      <c r="D149" t="s">
        <v>263</v>
      </c>
      <c r="E149" t="s">
        <v>15</v>
      </c>
      <c r="F149" t="s">
        <v>133</v>
      </c>
      <c r="G149" t="s">
        <v>134</v>
      </c>
      <c r="H149" s="1">
        <v>12003</v>
      </c>
      <c r="J149">
        <v>586932549</v>
      </c>
    </row>
    <row r="150" spans="1:10" x14ac:dyDescent="0.25">
      <c r="A150" s="5" t="str">
        <f>HYPERLINK("https://app.vivvix.com/360/KMI/IntelliDrive/ApplUI/Pages/CreativePages/CustomReportCreativeDetail.aspx?App=23&amp;ReportView=4&amp;Qid=1711242&amp;Row=142&amp;Col=1","Family SUV Deal/$339, $4,859, Visuals")</f>
        <v>Family SUV Deal/$339, $4,859, Visuals</v>
      </c>
      <c r="B150" t="s">
        <v>267</v>
      </c>
      <c r="C150" t="s">
        <v>268</v>
      </c>
      <c r="D150" t="s">
        <v>263</v>
      </c>
      <c r="E150" t="s">
        <v>15</v>
      </c>
      <c r="F150" t="s">
        <v>133</v>
      </c>
      <c r="G150" t="s">
        <v>134</v>
      </c>
      <c r="H150" s="1">
        <v>99926</v>
      </c>
      <c r="J150">
        <v>586934815</v>
      </c>
    </row>
    <row r="151" spans="1:10" hidden="1" x14ac:dyDescent="0.25">
      <c r="A151" s="5" t="str">
        <f>HYPERLINK("https://app.vivvix.com/360/KMI/IntelliDrive/ApplUI/Pages/CreativePages/CustomReportCreativeDetail.aspx?App=23&amp;ReportView=4&amp;Qid=1711242&amp;Row=143&amp;Col=1","Fast Technology")</f>
        <v>Fast Technology</v>
      </c>
      <c r="B151" t="s">
        <v>269</v>
      </c>
      <c r="C151" t="s">
        <v>270</v>
      </c>
      <c r="D151" t="s">
        <v>270</v>
      </c>
      <c r="E151" t="s">
        <v>15</v>
      </c>
      <c r="F151" t="s">
        <v>15</v>
      </c>
      <c r="G151" t="s">
        <v>137</v>
      </c>
      <c r="H151" s="1">
        <v>2672.2080000000001</v>
      </c>
      <c r="J151">
        <v>586956977</v>
      </c>
    </row>
    <row r="152" spans="1:10" hidden="1" x14ac:dyDescent="0.25">
      <c r="A152" s="5" t="str">
        <f>HYPERLINK("https://app.vivvix.com/360/KMI/IntelliDrive/ApplUI/Pages/CreativePages/CustomReportCreativeDetail.aspx?App=23&amp;ReportView=4&amp;Qid=1711242&amp;Row=144&amp;Col=1","Fast Technology")</f>
        <v>Fast Technology</v>
      </c>
      <c r="B152" t="s">
        <v>269</v>
      </c>
      <c r="E152" t="s">
        <v>15</v>
      </c>
      <c r="F152" t="s">
        <v>15</v>
      </c>
      <c r="G152" t="s">
        <v>137</v>
      </c>
      <c r="H152" s="1">
        <v>46700.334000000003</v>
      </c>
      <c r="J152">
        <v>586977306</v>
      </c>
    </row>
    <row r="153" spans="1:10" hidden="1" x14ac:dyDescent="0.25">
      <c r="A153" s="5" t="str">
        <f>HYPERLINK("https://app.vivvix.com/360/KMI/IntelliDrive/ApplUI/Pages/CreativePages/CustomReportCreativeDetail.aspx?App=23&amp;ReportView=4&amp;Qid=1711242&amp;Row=145&amp;Col=1","get 2023 car at 0,9 percent apr")</f>
        <v>get 2023 car at 0,9 percent apr</v>
      </c>
      <c r="B153" t="s">
        <v>271</v>
      </c>
      <c r="C153" t="s">
        <v>272</v>
      </c>
      <c r="D153" t="s">
        <v>272</v>
      </c>
      <c r="E153" t="s">
        <v>15</v>
      </c>
      <c r="F153" t="s">
        <v>20</v>
      </c>
      <c r="G153" t="s">
        <v>31</v>
      </c>
      <c r="H153" s="1">
        <v>98317.532999999996</v>
      </c>
      <c r="J153">
        <v>586980587</v>
      </c>
    </row>
    <row r="154" spans="1:10" hidden="1" x14ac:dyDescent="0.25">
      <c r="A154" s="5" t="str">
        <f>HYPERLINK("https://app.vivvix.com/360/KMI/IntelliDrive/ApplUI/Pages/CreativePages/CustomReportCreativeDetail.aspx?App=23&amp;ReportView=4&amp;Qid=1711242&amp;Row=146&amp;Col=1","get 2023 car at 1.9 percent APR")</f>
        <v>get 2023 car at 1.9 percent APR</v>
      </c>
      <c r="B154" t="s">
        <v>273</v>
      </c>
      <c r="E154" t="s">
        <v>15</v>
      </c>
      <c r="F154" t="s">
        <v>60</v>
      </c>
      <c r="G154" t="s">
        <v>61</v>
      </c>
      <c r="H154" s="1">
        <v>6173.5739999999996</v>
      </c>
      <c r="J154">
        <v>586983441</v>
      </c>
    </row>
    <row r="155" spans="1:10" hidden="1" x14ac:dyDescent="0.25">
      <c r="A155" s="5" t="str">
        <f>HYPERLINK("https://app.vivvix.com/360/KMI/IntelliDrive/ApplUI/Pages/CreativePages/CustomReportCreativeDetail.aspx?App=23&amp;ReportView=4&amp;Qid=1711242&amp;Row=147&amp;Col=1","get 2024 car at zero percent APR")</f>
        <v>get 2024 car at zero percent APR</v>
      </c>
      <c r="B155" t="s">
        <v>274</v>
      </c>
      <c r="E155" t="s">
        <v>15</v>
      </c>
      <c r="F155" t="s">
        <v>50</v>
      </c>
      <c r="G155" t="s">
        <v>65</v>
      </c>
      <c r="H155" s="1">
        <v>88917.835999999996</v>
      </c>
      <c r="J155">
        <v>587000211</v>
      </c>
    </row>
    <row r="156" spans="1:10" x14ac:dyDescent="0.25">
      <c r="A156" s="5" t="str">
        <f>HYPERLINK("https://app.vivvix.com/360/KMI/IntelliDrive/ApplUI/Pages/CreativePages/CustomReportCreativeDetail.aspx?App=23&amp;ReportView=4&amp;Qid=1711242&amp;Row=148&amp;Col=1","Get A Car With An Offer")</f>
        <v>Get A Car With An Offer</v>
      </c>
      <c r="B156" t="s">
        <v>275</v>
      </c>
      <c r="C156" t="s">
        <v>276</v>
      </c>
      <c r="D156" t="s">
        <v>276</v>
      </c>
      <c r="E156" t="s">
        <v>15</v>
      </c>
      <c r="F156" t="s">
        <v>20</v>
      </c>
      <c r="G156" t="s">
        <v>31</v>
      </c>
      <c r="H156" s="1">
        <v>9926</v>
      </c>
      <c r="J156">
        <v>587000213</v>
      </c>
    </row>
    <row r="157" spans="1:10" x14ac:dyDescent="0.25">
      <c r="A157" s="5" t="str">
        <f>HYPERLINK("https://app.vivvix.com/360/KMI/IntelliDrive/ApplUI/Pages/CreativePages/CustomReportCreativeDetail.aspx?App=23&amp;ReportView=4&amp;Qid=1711242&amp;Row=149&amp;Col=1","Get A Car With The Best Offer")</f>
        <v>Get A Car With The Best Offer</v>
      </c>
      <c r="B157" t="s">
        <v>277</v>
      </c>
      <c r="C157" t="s">
        <v>278</v>
      </c>
      <c r="D157" t="s">
        <v>278</v>
      </c>
      <c r="E157" t="s">
        <v>15</v>
      </c>
      <c r="F157" t="s">
        <v>50</v>
      </c>
      <c r="G157" t="s">
        <v>76</v>
      </c>
      <c r="H157" s="1">
        <v>39748</v>
      </c>
      <c r="J157">
        <v>587016204</v>
      </c>
    </row>
    <row r="158" spans="1:10" x14ac:dyDescent="0.25">
      <c r="A158" s="5" t="str">
        <f>HYPERLINK("https://app.vivvix.com/360/KMI/IntelliDrive/ApplUI/Pages/CreativePages/CustomReportCreativeDetail.aspx?App=23&amp;ReportView=4&amp;Qid=1711242&amp;Row=150&amp;Col=1","Get A Car With The Best Offer")</f>
        <v>Get A Car With The Best Offer</v>
      </c>
      <c r="B158" t="s">
        <v>279</v>
      </c>
      <c r="C158" t="s">
        <v>280</v>
      </c>
      <c r="D158" t="s">
        <v>280</v>
      </c>
      <c r="E158" t="s">
        <v>15</v>
      </c>
      <c r="F158" t="s">
        <v>50</v>
      </c>
      <c r="G158" t="s">
        <v>76</v>
      </c>
      <c r="H158" s="1">
        <v>842</v>
      </c>
      <c r="J158">
        <v>587021112</v>
      </c>
    </row>
    <row r="159" spans="1:10" x14ac:dyDescent="0.25">
      <c r="A159" s="5" t="str">
        <f>HYPERLINK("https://app.vivvix.com/360/KMI/IntelliDrive/ApplUI/Pages/CreativePages/CustomReportCreativeDetail.aspx?App=23&amp;ReportView=4&amp;Qid=1711242&amp;Row=151&amp;Col=1","Get A Car With The Best Offer")</f>
        <v>Get A Car With The Best Offer</v>
      </c>
      <c r="B159" t="s">
        <v>281</v>
      </c>
      <c r="C159" t="s">
        <v>282</v>
      </c>
      <c r="D159" t="s">
        <v>278</v>
      </c>
      <c r="E159" t="s">
        <v>15</v>
      </c>
      <c r="F159" t="s">
        <v>50</v>
      </c>
      <c r="G159" t="s">
        <v>76</v>
      </c>
      <c r="H159" s="1">
        <v>13297</v>
      </c>
      <c r="J159">
        <v>587056490</v>
      </c>
    </row>
    <row r="160" spans="1:10" x14ac:dyDescent="0.25">
      <c r="A160" s="5" t="str">
        <f>HYPERLINK("https://app.vivvix.com/360/KMI/IntelliDrive/ApplUI/Pages/CreativePages/CustomReportCreativeDetail.aspx?App=23&amp;ReportView=4&amp;Qid=1711242&amp;Row=152&amp;Col=1","Get A Car With The Best Offer")</f>
        <v>Get A Car With The Best Offer</v>
      </c>
      <c r="B160" t="s">
        <v>283</v>
      </c>
      <c r="C160" t="s">
        <v>284</v>
      </c>
      <c r="D160" t="s">
        <v>284</v>
      </c>
      <c r="E160" t="s">
        <v>15</v>
      </c>
      <c r="F160" t="s">
        <v>50</v>
      </c>
      <c r="G160" t="s">
        <v>76</v>
      </c>
      <c r="H160" s="1">
        <v>14</v>
      </c>
      <c r="J160">
        <v>587058607</v>
      </c>
    </row>
    <row r="161" spans="1:10" x14ac:dyDescent="0.25">
      <c r="A161" s="5" t="str">
        <f>HYPERLINK("https://app.vivvix.com/360/KMI/IntelliDrive/ApplUI/Pages/CreativePages/CustomReportCreativeDetail.aspx?App=23&amp;ReportView=4&amp;Qid=1711242&amp;Row=153&amp;Col=1","Get A Car With The Best Offer")</f>
        <v>Get A Car With The Best Offer</v>
      </c>
      <c r="B161" t="s">
        <v>285</v>
      </c>
      <c r="C161" t="s">
        <v>286</v>
      </c>
      <c r="D161" t="s">
        <v>286</v>
      </c>
      <c r="E161" t="s">
        <v>15</v>
      </c>
      <c r="F161" t="s">
        <v>50</v>
      </c>
      <c r="G161" t="s">
        <v>76</v>
      </c>
      <c r="H161" s="1">
        <v>1765</v>
      </c>
      <c r="J161">
        <v>587063861</v>
      </c>
    </row>
    <row r="162" spans="1:10" hidden="1" x14ac:dyDescent="0.25">
      <c r="A162" s="5" t="str">
        <f>HYPERLINK("https://app.vivvix.com/360/KMI/IntelliDrive/ApplUI/Pages/CreativePages/CustomReportCreativeDetail.aspx?App=23&amp;ReportView=4&amp;Qid=1711242&amp;Row=154&amp;Col=1","Get An Amazing Car: K.Nougarede")</f>
        <v>Get An Amazing Car: K.Nougarede</v>
      </c>
      <c r="B162" t="s">
        <v>287</v>
      </c>
      <c r="C162" t="s">
        <v>288</v>
      </c>
      <c r="D162" t="s">
        <v>288</v>
      </c>
      <c r="E162" t="s">
        <v>15</v>
      </c>
      <c r="F162" t="s">
        <v>15</v>
      </c>
      <c r="G162" t="s">
        <v>119</v>
      </c>
      <c r="H162" s="1">
        <v>2601.2280000000001</v>
      </c>
      <c r="J162">
        <v>587063865</v>
      </c>
    </row>
    <row r="163" spans="1:10" x14ac:dyDescent="0.25">
      <c r="A163" s="5" t="str">
        <f>HYPERLINK("https://app.vivvix.com/360/KMI/IntelliDrive/ApplUI/Pages/CreativePages/CustomReportCreativeDetail.aspx?App=23&amp;ReportView=4&amp;Qid=1711242&amp;Row=155&amp;Col=1","Get Fabulous Features")</f>
        <v>Get Fabulous Features</v>
      </c>
      <c r="B163" t="s">
        <v>289</v>
      </c>
      <c r="C163" t="s">
        <v>290</v>
      </c>
      <c r="D163" t="s">
        <v>290</v>
      </c>
      <c r="E163" t="s">
        <v>15</v>
      </c>
      <c r="F163" t="s">
        <v>20</v>
      </c>
      <c r="G163" t="s">
        <v>21</v>
      </c>
      <c r="H163" s="1">
        <v>10169</v>
      </c>
      <c r="J163">
        <v>587075756</v>
      </c>
    </row>
    <row r="164" spans="1:10" x14ac:dyDescent="0.25">
      <c r="A164" s="5" t="str">
        <f>HYPERLINK("https://app.vivvix.com/360/KMI/IntelliDrive/ApplUI/Pages/CreativePages/CustomReportCreativeDetail.aspx?App=23&amp;ReportView=4&amp;Qid=1711242&amp;Row=156&amp;Col=1","Get Fabulous Features")</f>
        <v>Get Fabulous Features</v>
      </c>
      <c r="B164" t="s">
        <v>291</v>
      </c>
      <c r="C164" t="s">
        <v>292</v>
      </c>
      <c r="D164" t="s">
        <v>292</v>
      </c>
      <c r="E164" t="s">
        <v>15</v>
      </c>
      <c r="F164" t="s">
        <v>20</v>
      </c>
      <c r="G164" t="s">
        <v>21</v>
      </c>
      <c r="H164" s="1">
        <v>64284</v>
      </c>
      <c r="J164">
        <v>587080265</v>
      </c>
    </row>
    <row r="165" spans="1:10" x14ac:dyDescent="0.25">
      <c r="A165" s="5" t="str">
        <f>HYPERLINK("https://app.vivvix.com/360/KMI/IntelliDrive/ApplUI/Pages/CreativePages/CustomReportCreativeDetail.aspx?App=23&amp;ReportView=4&amp;Qid=1711242&amp;Row=157&amp;Col=1","Get Fabulous Features")</f>
        <v>Get Fabulous Features</v>
      </c>
      <c r="B165" t="s">
        <v>293</v>
      </c>
      <c r="C165" t="s">
        <v>294</v>
      </c>
      <c r="D165" t="s">
        <v>294</v>
      </c>
      <c r="E165" t="s">
        <v>15</v>
      </c>
      <c r="F165" t="s">
        <v>20</v>
      </c>
      <c r="G165" t="s">
        <v>21</v>
      </c>
      <c r="H165" s="1">
        <v>8823</v>
      </c>
      <c r="J165">
        <v>587083908</v>
      </c>
    </row>
    <row r="166" spans="1:10" x14ac:dyDescent="0.25">
      <c r="A166" s="5" t="str">
        <f>HYPERLINK("https://app.vivvix.com/360/KMI/IntelliDrive/ApplUI/Pages/CreativePages/CustomReportCreativeDetail.aspx?App=23&amp;ReportView=4&amp;Qid=1711242&amp;Row=158&amp;Col=1","Get Fabulous Features/$2,959, Visuals, Layout")</f>
        <v>Get Fabulous Features/$2,959, Visuals, Layout</v>
      </c>
      <c r="B166" t="s">
        <v>295</v>
      </c>
      <c r="C166" t="s">
        <v>296</v>
      </c>
      <c r="D166" t="s">
        <v>290</v>
      </c>
      <c r="E166" t="s">
        <v>15</v>
      </c>
      <c r="F166" t="s">
        <v>20</v>
      </c>
      <c r="G166" t="s">
        <v>21</v>
      </c>
      <c r="H166" s="1">
        <v>94382</v>
      </c>
      <c r="J166">
        <v>587086503</v>
      </c>
    </row>
    <row r="167" spans="1:10" x14ac:dyDescent="0.25">
      <c r="A167" s="5" t="str">
        <f>HYPERLINK("https://app.vivvix.com/360/KMI/IntelliDrive/ApplUI/Pages/CreativePages/CustomReportCreativeDetail.aspx?App=23&amp;ReportView=4&amp;Qid=1711242&amp;Row=159&amp;Col=1","Get Fabulous Features/$229, $3,799")</f>
        <v>Get Fabulous Features/$229, $3,799</v>
      </c>
      <c r="B167" t="s">
        <v>297</v>
      </c>
      <c r="C167" t="s">
        <v>298</v>
      </c>
      <c r="D167" t="s">
        <v>290</v>
      </c>
      <c r="E167" t="s">
        <v>15</v>
      </c>
      <c r="F167" t="s">
        <v>20</v>
      </c>
      <c r="G167" t="s">
        <v>21</v>
      </c>
      <c r="H167" s="1">
        <v>834</v>
      </c>
      <c r="J167">
        <v>587089605</v>
      </c>
    </row>
    <row r="168" spans="1:10" x14ac:dyDescent="0.25">
      <c r="A168" s="5" t="str">
        <f>HYPERLINK("https://app.vivvix.com/360/KMI/IntelliDrive/ApplUI/Pages/CreativePages/CustomReportCreativeDetail.aspx?App=23&amp;ReportView=4&amp;Qid=1711242&amp;Row=160&amp;Col=1","Get Fabulous Features/$259 &amp; $2,829")</f>
        <v>Get Fabulous Features/$259 &amp; $2,829</v>
      </c>
      <c r="B168" t="s">
        <v>299</v>
      </c>
      <c r="C168" t="s">
        <v>300</v>
      </c>
      <c r="D168" t="s">
        <v>290</v>
      </c>
      <c r="E168" t="s">
        <v>15</v>
      </c>
      <c r="F168" t="s">
        <v>20</v>
      </c>
      <c r="G168" t="s">
        <v>21</v>
      </c>
      <c r="H168" s="1">
        <v>422</v>
      </c>
      <c r="J168">
        <v>587094261</v>
      </c>
    </row>
    <row r="169" spans="1:10" x14ac:dyDescent="0.25">
      <c r="A169" s="5" t="str">
        <f>HYPERLINK("https://app.vivvix.com/360/KMI/IntelliDrive/ApplUI/Pages/CreativePages/CustomReportCreativeDetail.aspx?App=23&amp;ReportView=4&amp;Qid=1711242&amp;Row=161&amp;Col=1","Get Fabulous Features/$269. $3,929, Visuals")</f>
        <v>Get Fabulous Features/$269. $3,929, Visuals</v>
      </c>
      <c r="B169" t="s">
        <v>301</v>
      </c>
      <c r="C169" t="s">
        <v>302</v>
      </c>
      <c r="D169" t="s">
        <v>290</v>
      </c>
      <c r="E169" t="s">
        <v>15</v>
      </c>
      <c r="F169" t="s">
        <v>20</v>
      </c>
      <c r="G169" t="s">
        <v>21</v>
      </c>
      <c r="H169" s="1">
        <v>41552</v>
      </c>
      <c r="J169">
        <v>587094460</v>
      </c>
    </row>
    <row r="170" spans="1:10" x14ac:dyDescent="0.25">
      <c r="A170" s="5" t="str">
        <f>HYPERLINK("https://app.vivvix.com/360/KMI/IntelliDrive/ApplUI/Pages/CreativePages/CustomReportCreativeDetail.aspx?App=23&amp;ReportView=4&amp;Qid=1711242&amp;Row=162&amp;Col=1","Get Fabulous Features/$299, $3,529")</f>
        <v>Get Fabulous Features/$299, $3,529</v>
      </c>
      <c r="B170" t="s">
        <v>303</v>
      </c>
      <c r="C170" t="s">
        <v>304</v>
      </c>
      <c r="D170" t="s">
        <v>290</v>
      </c>
      <c r="E170" t="s">
        <v>15</v>
      </c>
      <c r="F170" t="s">
        <v>20</v>
      </c>
      <c r="G170" t="s">
        <v>21</v>
      </c>
      <c r="H170" s="1">
        <v>2380</v>
      </c>
      <c r="J170">
        <v>587112676</v>
      </c>
    </row>
    <row r="171" spans="1:10" x14ac:dyDescent="0.25">
      <c r="A171" s="5" t="str">
        <f>HYPERLINK("https://app.vivvix.com/360/KMI/IntelliDrive/ApplUI/Pages/CreativePages/CustomReportCreativeDetail.aspx?App=23&amp;ReportView=4&amp;Qid=1711242&amp;Row=163&amp;Col=1","Get Fabulous Features/$339, $1,250")</f>
        <v>Get Fabulous Features/$339, $1,250</v>
      </c>
      <c r="B171" t="s">
        <v>305</v>
      </c>
      <c r="C171" t="s">
        <v>306</v>
      </c>
      <c r="D171" t="s">
        <v>290</v>
      </c>
      <c r="E171" t="s">
        <v>15</v>
      </c>
      <c r="F171" t="s">
        <v>20</v>
      </c>
      <c r="G171" t="s">
        <v>21</v>
      </c>
      <c r="H171" s="1">
        <v>35367</v>
      </c>
      <c r="J171">
        <v>587126631</v>
      </c>
    </row>
    <row r="172" spans="1:10" x14ac:dyDescent="0.25">
      <c r="A172" s="5" t="str">
        <f>HYPERLINK("https://app.vivvix.com/360/KMI/IntelliDrive/ApplUI/Pages/CreativePages/CustomReportCreativeDetail.aspx?App=23&amp;ReportView=4&amp;Qid=1711242&amp;Row=164&amp;Col=1","Get Great Features")</f>
        <v>Get Great Features</v>
      </c>
      <c r="B172" t="s">
        <v>307</v>
      </c>
      <c r="C172" t="s">
        <v>308</v>
      </c>
      <c r="D172" t="s">
        <v>309</v>
      </c>
      <c r="E172" t="s">
        <v>15</v>
      </c>
      <c r="F172" t="s">
        <v>50</v>
      </c>
      <c r="G172" t="s">
        <v>51</v>
      </c>
      <c r="H172" s="1">
        <v>415</v>
      </c>
      <c r="J172">
        <v>587127744</v>
      </c>
    </row>
    <row r="173" spans="1:10" x14ac:dyDescent="0.25">
      <c r="A173" s="5" t="str">
        <f>HYPERLINK("https://app.vivvix.com/360/KMI/IntelliDrive/ApplUI/Pages/CreativePages/CustomReportCreativeDetail.aspx?App=23&amp;ReportView=4&amp;Qid=1711242&amp;Row=165&amp;Col=1","Get Incredible Parking Assist Feature/$3,500")</f>
        <v>Get Incredible Parking Assist Feature/$3,500</v>
      </c>
      <c r="B173" t="s">
        <v>310</v>
      </c>
      <c r="C173" t="s">
        <v>311</v>
      </c>
      <c r="D173" t="s">
        <v>312</v>
      </c>
      <c r="E173" t="s">
        <v>15</v>
      </c>
      <c r="F173" t="s">
        <v>60</v>
      </c>
      <c r="G173" t="s">
        <v>61</v>
      </c>
      <c r="H173" s="1">
        <v>3832</v>
      </c>
      <c r="J173">
        <v>587132411</v>
      </c>
    </row>
    <row r="174" spans="1:10" x14ac:dyDescent="0.25">
      <c r="A174" s="5" t="str">
        <f>HYPERLINK("https://app.vivvix.com/360/KMI/IntelliDrive/ApplUI/Pages/CreativePages/CustomReportCreativeDetail.aspx?App=23&amp;ReportView=4&amp;Qid=1711242&amp;Row=166&amp;Col=1","Get Incredible Parking Assist Feature/$3,500, -90")</f>
        <v>Get Incredible Parking Assist Feature/$3,500, -90</v>
      </c>
      <c r="B174" t="s">
        <v>313</v>
      </c>
      <c r="C174" t="s">
        <v>314</v>
      </c>
      <c r="D174" t="s">
        <v>312</v>
      </c>
      <c r="E174" t="s">
        <v>15</v>
      </c>
      <c r="F174" t="s">
        <v>60</v>
      </c>
      <c r="G174" t="s">
        <v>61</v>
      </c>
      <c r="H174" s="1">
        <v>39</v>
      </c>
      <c r="J174">
        <v>587140530</v>
      </c>
    </row>
    <row r="175" spans="1:10" x14ac:dyDescent="0.25">
      <c r="A175" s="5" t="str">
        <f>HYPERLINK("https://app.vivvix.com/360/KMI/IntelliDrive/ApplUI/Pages/CreativePages/CustomReportCreativeDetail.aspx?App=23&amp;ReportView=4&amp;Qid=1711242&amp;Row=167&amp;Col=1","Get Incredible Parking Assist Feature/1.9%, $1,750")</f>
        <v>Get Incredible Parking Assist Feature/1.9%, $1,750</v>
      </c>
      <c r="B175" t="s">
        <v>315</v>
      </c>
      <c r="C175" t="s">
        <v>316</v>
      </c>
      <c r="D175" t="s">
        <v>312</v>
      </c>
      <c r="E175" t="s">
        <v>15</v>
      </c>
      <c r="F175" t="s">
        <v>60</v>
      </c>
      <c r="G175" t="s">
        <v>61</v>
      </c>
      <c r="H175" s="1">
        <v>6923</v>
      </c>
      <c r="J175">
        <v>587147302</v>
      </c>
    </row>
    <row r="176" spans="1:10" x14ac:dyDescent="0.25">
      <c r="A176" s="5" t="str">
        <f>HYPERLINK("https://app.vivvix.com/360/KMI/IntelliDrive/ApplUI/Pages/CreativePages/CustomReportCreativeDetail.aspx?App=23&amp;ReportView=4&amp;Qid=1711242&amp;Row=168&amp;Col=1","Get Incredible Parking Assist Feature/1.9%, $3,500")</f>
        <v>Get Incredible Parking Assist Feature/1.9%, $3,500</v>
      </c>
      <c r="B176" t="s">
        <v>317</v>
      </c>
      <c r="C176" t="s">
        <v>318</v>
      </c>
      <c r="D176" t="s">
        <v>312</v>
      </c>
      <c r="E176" t="s">
        <v>15</v>
      </c>
      <c r="F176" t="s">
        <v>60</v>
      </c>
      <c r="G176" t="s">
        <v>61</v>
      </c>
      <c r="H176" s="1">
        <v>52082</v>
      </c>
      <c r="J176">
        <v>587147330</v>
      </c>
    </row>
    <row r="177" spans="1:10" x14ac:dyDescent="0.25">
      <c r="A177" s="5" t="str">
        <f>HYPERLINK("https://app.vivvix.com/360/KMI/IntelliDrive/ApplUI/Pages/CreativePages/CustomReportCreativeDetail.aspx?App=23&amp;ReportView=4&amp;Qid=1711242&amp;Row=169&amp;Col=1","Get Incredible Parking...Feature/Holiday,$1750, GM")</f>
        <v>Get Incredible Parking...Feature/Holiday,$1750, GM</v>
      </c>
      <c r="B177" t="s">
        <v>319</v>
      </c>
      <c r="C177" t="s">
        <v>320</v>
      </c>
      <c r="D177" t="s">
        <v>312</v>
      </c>
      <c r="E177" t="s">
        <v>15</v>
      </c>
      <c r="F177" t="s">
        <v>60</v>
      </c>
      <c r="G177" t="s">
        <v>61</v>
      </c>
      <c r="H177" s="1">
        <v>643</v>
      </c>
      <c r="J177">
        <v>587157268</v>
      </c>
    </row>
    <row r="178" spans="1:10" x14ac:dyDescent="0.25">
      <c r="A178" s="5" t="str">
        <f>HYPERLINK("https://app.vivvix.com/360/KMI/IntelliDrive/ApplUI/Pages/CreativePages/CustomReportCreativeDetail.aspx?App=23&amp;ReportView=4&amp;Qid=1711242&amp;Row=170&amp;Col=1","Get QuietTuning and Safety")</f>
        <v>Get QuietTuning and Safety</v>
      </c>
      <c r="B178" t="s">
        <v>321</v>
      </c>
      <c r="C178" t="s">
        <v>322</v>
      </c>
      <c r="D178" t="s">
        <v>322</v>
      </c>
      <c r="E178" t="s">
        <v>15</v>
      </c>
      <c r="F178" t="s">
        <v>20</v>
      </c>
      <c r="G178" t="s">
        <v>21</v>
      </c>
      <c r="H178" s="1">
        <v>159661</v>
      </c>
      <c r="J178">
        <v>587159759</v>
      </c>
    </row>
    <row r="179" spans="1:10" x14ac:dyDescent="0.25">
      <c r="A179" s="5" t="str">
        <f>HYPERLINK("https://app.vivvix.com/360/KMI/IntelliDrive/ApplUI/Pages/CreativePages/CustomReportCreativeDetail.aspx?App=23&amp;ReportView=4&amp;Qid=1711242&amp;Row=171&amp;Col=1","Get Safety Features")</f>
        <v>Get Safety Features</v>
      </c>
      <c r="B179" t="s">
        <v>323</v>
      </c>
      <c r="C179" t="s">
        <v>324</v>
      </c>
      <c r="D179" t="s">
        <v>324</v>
      </c>
      <c r="E179" t="s">
        <v>15</v>
      </c>
      <c r="F179" t="s">
        <v>20</v>
      </c>
      <c r="G179" t="s">
        <v>31</v>
      </c>
      <c r="H179" s="1">
        <v>55496</v>
      </c>
      <c r="J179">
        <v>587170786</v>
      </c>
    </row>
    <row r="180" spans="1:10" x14ac:dyDescent="0.25">
      <c r="A180" s="5" t="str">
        <f>HYPERLINK("https://app.vivvix.com/360/KMI/IntelliDrive/ApplUI/Pages/CreativePages/CustomReportCreativeDetail.aspx?App=23&amp;ReportView=4&amp;Qid=1711242&amp;Row=172&amp;Col=1","Get The Best Car")</f>
        <v>Get The Best Car</v>
      </c>
      <c r="B180" t="s">
        <v>325</v>
      </c>
      <c r="C180" t="s">
        <v>326</v>
      </c>
      <c r="D180" t="s">
        <v>14</v>
      </c>
      <c r="E180" t="s">
        <v>15</v>
      </c>
      <c r="F180" t="s">
        <v>16</v>
      </c>
      <c r="G180" t="s">
        <v>17</v>
      </c>
      <c r="H180" s="1">
        <v>29281</v>
      </c>
      <c r="J180">
        <v>587171070</v>
      </c>
    </row>
    <row r="181" spans="1:10" x14ac:dyDescent="0.25">
      <c r="A181" s="5" t="str">
        <f>HYPERLINK("https://app.vivvix.com/360/KMI/IntelliDrive/ApplUI/Pages/CreativePages/CustomReportCreativeDetail.aspx?App=23&amp;ReportView=4&amp;Qid=1711242&amp;Row=173&amp;Col=1","Get The Best Car")</f>
        <v>Get The Best Car</v>
      </c>
      <c r="B181" t="s">
        <v>327</v>
      </c>
      <c r="C181" t="s">
        <v>328</v>
      </c>
      <c r="D181" t="s">
        <v>328</v>
      </c>
      <c r="E181" t="s">
        <v>15</v>
      </c>
      <c r="F181" t="s">
        <v>15</v>
      </c>
      <c r="G181" t="s">
        <v>119</v>
      </c>
      <c r="H181" s="1">
        <v>64745</v>
      </c>
      <c r="J181">
        <v>587173860</v>
      </c>
    </row>
    <row r="182" spans="1:10" x14ac:dyDescent="0.25">
      <c r="A182" s="5" t="str">
        <f>HYPERLINK("https://app.vivvix.com/360/KMI/IntelliDrive/ApplUI/Pages/CreativePages/CustomReportCreativeDetail.aspx?App=23&amp;ReportView=4&amp;Qid=1711242&amp;Row=174&amp;Col=1","Get The Best Car")</f>
        <v>Get The Best Car</v>
      </c>
      <c r="B182" t="s">
        <v>327</v>
      </c>
      <c r="C182" t="s">
        <v>328</v>
      </c>
      <c r="D182" t="s">
        <v>328</v>
      </c>
      <c r="E182" t="s">
        <v>15</v>
      </c>
      <c r="F182" t="s">
        <v>15</v>
      </c>
      <c r="G182" t="s">
        <v>119</v>
      </c>
      <c r="H182" s="1">
        <v>7204</v>
      </c>
      <c r="J182">
        <v>587174296</v>
      </c>
    </row>
    <row r="183" spans="1:10" x14ac:dyDescent="0.25">
      <c r="A183" s="5" t="str">
        <f>HYPERLINK("https://app.vivvix.com/360/KMI/IntelliDrive/ApplUI/Pages/CreativePages/CustomReportCreativeDetail.aspx?App=23&amp;ReportView=4&amp;Qid=1711242&amp;Row=175&amp;Col=1","Get The Best Car")</f>
        <v>Get The Best Car</v>
      </c>
      <c r="B183" t="s">
        <v>327</v>
      </c>
      <c r="C183" t="s">
        <v>328</v>
      </c>
      <c r="D183" t="s">
        <v>328</v>
      </c>
      <c r="E183" t="s">
        <v>15</v>
      </c>
      <c r="F183" t="s">
        <v>15</v>
      </c>
      <c r="G183" t="s">
        <v>119</v>
      </c>
      <c r="H183" s="1">
        <v>17903</v>
      </c>
      <c r="J183">
        <v>587175673</v>
      </c>
    </row>
    <row r="184" spans="1:10" hidden="1" x14ac:dyDescent="0.25">
      <c r="A184" s="5" t="str">
        <f>HYPERLINK("https://app.vivvix.com/360/KMI/IntelliDrive/ApplUI/Pages/CreativePages/CustomReportCreativeDetail.aspx?App=23&amp;ReportView=4&amp;Qid=1711242&amp;Row=176&amp;Col=1","Get The Best Car")</f>
        <v>Get The Best Car</v>
      </c>
      <c r="B184" t="s">
        <v>329</v>
      </c>
      <c r="C184" t="s">
        <v>330</v>
      </c>
      <c r="D184" t="s">
        <v>330</v>
      </c>
      <c r="E184" t="s">
        <v>15</v>
      </c>
      <c r="F184" t="s">
        <v>50</v>
      </c>
      <c r="G184" t="s">
        <v>65</v>
      </c>
      <c r="H184" s="1">
        <v>18450.522000000001</v>
      </c>
      <c r="J184">
        <v>587184219</v>
      </c>
    </row>
    <row r="185" spans="1:10" hidden="1" x14ac:dyDescent="0.25">
      <c r="A185" s="5" t="str">
        <f>HYPERLINK("https://app.vivvix.com/360/KMI/IntelliDrive/ApplUI/Pages/CreativePages/CustomReportCreativeDetail.aspx?App=23&amp;ReportView=4&amp;Qid=1711242&amp;Row=177&amp;Col=1","Get The Best Car")</f>
        <v>Get The Best Car</v>
      </c>
      <c r="B185" t="s">
        <v>331</v>
      </c>
      <c r="E185" t="s">
        <v>15</v>
      </c>
      <c r="F185" t="s">
        <v>133</v>
      </c>
      <c r="G185" t="s">
        <v>187</v>
      </c>
      <c r="H185" s="1">
        <v>59719.232000000004</v>
      </c>
      <c r="J185">
        <v>587188084</v>
      </c>
    </row>
    <row r="186" spans="1:10" hidden="1" x14ac:dyDescent="0.25">
      <c r="A186" s="5" t="str">
        <f>HYPERLINK("https://app.vivvix.com/360/KMI/IntelliDrive/ApplUI/Pages/CreativePages/CustomReportCreativeDetail.aspx?App=23&amp;ReportView=4&amp;Qid=1711242&amp;Row=178&amp;Col=1","Get The Best Car")</f>
        <v>Get The Best Car</v>
      </c>
      <c r="B186" t="s">
        <v>331</v>
      </c>
      <c r="C186" t="s">
        <v>332</v>
      </c>
      <c r="D186" t="s">
        <v>332</v>
      </c>
      <c r="E186" t="s">
        <v>15</v>
      </c>
      <c r="F186" t="s">
        <v>133</v>
      </c>
      <c r="G186" t="s">
        <v>187</v>
      </c>
      <c r="H186" s="1">
        <v>30605.778999999999</v>
      </c>
      <c r="J186">
        <v>587199681</v>
      </c>
    </row>
    <row r="187" spans="1:10" hidden="1" x14ac:dyDescent="0.25">
      <c r="A187" s="5" t="str">
        <f>HYPERLINK("https://app.vivvix.com/360/KMI/IntelliDrive/ApplUI/Pages/CreativePages/CustomReportCreativeDetail.aspx?App=23&amp;ReportView=4&amp;Qid=1711242&amp;Row=179&amp;Col=1","Get The Best Car")</f>
        <v>Get The Best Car</v>
      </c>
      <c r="B187" t="s">
        <v>333</v>
      </c>
      <c r="C187" t="s">
        <v>334</v>
      </c>
      <c r="D187" t="s">
        <v>334</v>
      </c>
      <c r="E187" t="s">
        <v>15</v>
      </c>
      <c r="F187" t="s">
        <v>133</v>
      </c>
      <c r="G187" t="s">
        <v>187</v>
      </c>
      <c r="H187" s="1">
        <v>2238.692</v>
      </c>
      <c r="J187">
        <v>587210352</v>
      </c>
    </row>
    <row r="188" spans="1:10" hidden="1" x14ac:dyDescent="0.25">
      <c r="A188" s="5" t="str">
        <f>HYPERLINK("https://app.vivvix.com/360/KMI/IntelliDrive/ApplUI/Pages/CreativePages/CustomReportCreativeDetail.aspx?App=23&amp;ReportView=4&amp;Qid=1711242&amp;Row=180&amp;Col=1","Get The Best Car")</f>
        <v>Get The Best Car</v>
      </c>
      <c r="B188" t="s">
        <v>333</v>
      </c>
      <c r="E188" t="s">
        <v>15</v>
      </c>
      <c r="F188" t="s">
        <v>133</v>
      </c>
      <c r="G188" t="s">
        <v>187</v>
      </c>
      <c r="H188" s="1">
        <v>3796.58</v>
      </c>
      <c r="J188">
        <v>587216694</v>
      </c>
    </row>
    <row r="189" spans="1:10" hidden="1" x14ac:dyDescent="0.25">
      <c r="A189" s="5" t="str">
        <f>HYPERLINK("https://app.vivvix.com/360/KMI/IntelliDrive/ApplUI/Pages/CreativePages/CustomReportCreativeDetail.aspx?App=23&amp;ReportView=4&amp;Qid=1711242&amp;Row=181&amp;Col=1","Get The Best Car")</f>
        <v>Get The Best Car</v>
      </c>
      <c r="B189" t="s">
        <v>335</v>
      </c>
      <c r="E189" t="s">
        <v>15</v>
      </c>
      <c r="F189" t="s">
        <v>133</v>
      </c>
      <c r="G189" t="s">
        <v>187</v>
      </c>
      <c r="H189" s="1">
        <v>2602.9119999999998</v>
      </c>
      <c r="J189">
        <v>587219173</v>
      </c>
    </row>
    <row r="190" spans="1:10" hidden="1" x14ac:dyDescent="0.25">
      <c r="A190" s="5" t="str">
        <f>HYPERLINK("https://app.vivvix.com/360/KMI/IntelliDrive/ApplUI/Pages/CreativePages/CustomReportCreativeDetail.aspx?App=23&amp;ReportView=4&amp;Qid=1711242&amp;Row=182&amp;Col=1","Get The Best Car")</f>
        <v>Get The Best Car</v>
      </c>
      <c r="B190" t="s">
        <v>335</v>
      </c>
      <c r="E190" t="s">
        <v>15</v>
      </c>
      <c r="F190" t="s">
        <v>133</v>
      </c>
      <c r="G190" t="s">
        <v>187</v>
      </c>
      <c r="H190" s="1">
        <v>1334.232</v>
      </c>
      <c r="J190">
        <v>587220905</v>
      </c>
    </row>
    <row r="191" spans="1:10" x14ac:dyDescent="0.25">
      <c r="A191" s="5" t="str">
        <f>HYPERLINK("https://app.vivvix.com/360/KMI/IntelliDrive/ApplUI/Pages/CreativePages/CustomReportCreativeDetail.aspx?App=23&amp;ReportView=4&amp;Qid=1711242&amp;Row=183&amp;Col=1","Get The Best Car")</f>
        <v>Get The Best Car</v>
      </c>
      <c r="B191" t="s">
        <v>336</v>
      </c>
      <c r="E191" t="s">
        <v>15</v>
      </c>
      <c r="F191" t="s">
        <v>15</v>
      </c>
      <c r="G191" t="s">
        <v>119</v>
      </c>
      <c r="H191" s="1">
        <v>225</v>
      </c>
      <c r="J191">
        <v>587222292</v>
      </c>
    </row>
    <row r="192" spans="1:10" hidden="1" x14ac:dyDescent="0.25">
      <c r="A192" s="5" t="str">
        <f>HYPERLINK("https://app.vivvix.com/360/KMI/IntelliDrive/ApplUI/Pages/CreativePages/CustomReportCreativeDetail.aspx?App=23&amp;ReportView=4&amp;Qid=1711242&amp;Row=184&amp;Col=1","Get The Best Car: J. Widrick, K. Nougarede")</f>
        <v>Get The Best Car: J. Widrick, K. Nougarede</v>
      </c>
      <c r="B192" t="s">
        <v>337</v>
      </c>
      <c r="C192" t="s">
        <v>338</v>
      </c>
      <c r="D192" t="s">
        <v>338</v>
      </c>
      <c r="E192" t="s">
        <v>15</v>
      </c>
      <c r="F192" t="s">
        <v>133</v>
      </c>
      <c r="G192" t="s">
        <v>187</v>
      </c>
      <c r="H192" s="1">
        <v>423.94799999999998</v>
      </c>
      <c r="J192">
        <v>587238013</v>
      </c>
    </row>
    <row r="193" spans="1:10" hidden="1" x14ac:dyDescent="0.25">
      <c r="A193" s="5" t="str">
        <f>HYPERLINK("https://app.vivvix.com/360/KMI/IntelliDrive/ApplUI/Pages/CreativePages/CustomReportCreativeDetail.aspx?App=23&amp;ReportView=4&amp;Qid=1711242&amp;Row=185&amp;Col=1","Get The Best Car: J. Widrick, M. Musary, Ki H. Ahn")</f>
        <v>Get The Best Car: J. Widrick, M. Musary, Ki H. Ahn</v>
      </c>
      <c r="B193" t="s">
        <v>339</v>
      </c>
      <c r="C193" t="s">
        <v>340</v>
      </c>
      <c r="D193" t="s">
        <v>340</v>
      </c>
      <c r="E193" t="s">
        <v>15</v>
      </c>
      <c r="F193" t="s">
        <v>133</v>
      </c>
      <c r="G193" t="s">
        <v>187</v>
      </c>
      <c r="H193" s="1">
        <v>35968.828999999998</v>
      </c>
      <c r="J193">
        <v>587261185</v>
      </c>
    </row>
    <row r="194" spans="1:10" hidden="1" x14ac:dyDescent="0.25">
      <c r="A194" s="5" t="str">
        <f>HYPERLINK("https://app.vivvix.com/360/KMI/IntelliDrive/ApplUI/Pages/CreativePages/CustomReportCreativeDetail.aspx?App=23&amp;ReportView=4&amp;Qid=1711242&amp;Row=186&amp;Col=1","Get The Best Car: J. Widrick, M. Musary, Ki H. Ahn")</f>
        <v>Get The Best Car: J. Widrick, M. Musary, Ki H. Ahn</v>
      </c>
      <c r="B194" t="s">
        <v>339</v>
      </c>
      <c r="E194" t="s">
        <v>15</v>
      </c>
      <c r="F194" t="s">
        <v>133</v>
      </c>
      <c r="G194" t="s">
        <v>187</v>
      </c>
      <c r="H194" s="1">
        <v>17263.608</v>
      </c>
      <c r="J194">
        <v>587293245</v>
      </c>
    </row>
    <row r="195" spans="1:10" hidden="1" x14ac:dyDescent="0.25">
      <c r="A195" s="5" t="str">
        <f>HYPERLINK("https://app.vivvix.com/360/KMI/IntelliDrive/ApplUI/Pages/CreativePages/CustomReportCreativeDetail.aspx?App=23&amp;ReportView=4&amp;Qid=1711242&amp;Row=187&amp;Col=1","Get The Best Car: K. Nougarede")</f>
        <v>Get The Best Car: K. Nougarede</v>
      </c>
      <c r="B195" t="s">
        <v>341</v>
      </c>
      <c r="C195" t="s">
        <v>342</v>
      </c>
      <c r="D195" t="s">
        <v>342</v>
      </c>
      <c r="E195" t="s">
        <v>15</v>
      </c>
      <c r="F195" t="s">
        <v>133</v>
      </c>
      <c r="G195" t="s">
        <v>187</v>
      </c>
      <c r="H195" s="1">
        <v>9266.8050000000003</v>
      </c>
      <c r="J195">
        <v>587314532</v>
      </c>
    </row>
    <row r="196" spans="1:10" hidden="1" x14ac:dyDescent="0.25">
      <c r="A196" s="5" t="str">
        <f>HYPERLINK("https://app.vivvix.com/360/KMI/IntelliDrive/ApplUI/Pages/CreativePages/CustomReportCreativeDetail.aspx?App=23&amp;ReportView=4&amp;Qid=1711242&amp;Row=188&amp;Col=1","Get The Best Car: K. Nougarede")</f>
        <v>Get The Best Car: K. Nougarede</v>
      </c>
      <c r="B196" t="s">
        <v>341</v>
      </c>
      <c r="E196" t="s">
        <v>15</v>
      </c>
      <c r="F196" t="s">
        <v>133</v>
      </c>
      <c r="G196" t="s">
        <v>187</v>
      </c>
      <c r="H196" s="1">
        <v>43894.258000000002</v>
      </c>
      <c r="J196">
        <v>28363776</v>
      </c>
    </row>
    <row r="197" spans="1:10" hidden="1" x14ac:dyDescent="0.25">
      <c r="A197" s="5" t="str">
        <f>HYPERLINK("https://app.vivvix.com/360/KMI/IntelliDrive/ApplUI/Pages/CreativePages/CustomReportCreativeDetail.aspx?App=23&amp;ReportView=4&amp;Qid=1711242&amp;Row=189&amp;Col=1","Get The Best Car: M. Musary")</f>
        <v>Get The Best Car: M. Musary</v>
      </c>
      <c r="B197" t="s">
        <v>343</v>
      </c>
      <c r="C197" t="s">
        <v>344</v>
      </c>
      <c r="D197" t="s">
        <v>344</v>
      </c>
      <c r="E197" t="s">
        <v>15</v>
      </c>
      <c r="F197" t="s">
        <v>133</v>
      </c>
      <c r="G197" t="s">
        <v>187</v>
      </c>
      <c r="H197" s="1">
        <v>8528.5319999999992</v>
      </c>
      <c r="J197">
        <v>28373327</v>
      </c>
    </row>
    <row r="198" spans="1:10" hidden="1" x14ac:dyDescent="0.25">
      <c r="A198" s="5" t="str">
        <f>HYPERLINK("https://app.vivvix.com/360/KMI/IntelliDrive/ApplUI/Pages/CreativePages/CustomReportCreativeDetail.aspx?App=23&amp;ReportView=4&amp;Qid=1711242&amp;Row=190&amp;Col=1","Get The Best Car: M. Musary")</f>
        <v>Get The Best Car: M. Musary</v>
      </c>
      <c r="B198" t="s">
        <v>343</v>
      </c>
      <c r="E198" t="s">
        <v>15</v>
      </c>
      <c r="F198" t="s">
        <v>133</v>
      </c>
      <c r="G198" t="s">
        <v>187</v>
      </c>
      <c r="H198" s="1">
        <v>4315.902</v>
      </c>
      <c r="J198">
        <v>28373480</v>
      </c>
    </row>
    <row r="199" spans="1:10" hidden="1" x14ac:dyDescent="0.25">
      <c r="A199" s="5" t="str">
        <f>HYPERLINK("https://app.vivvix.com/360/KMI/IntelliDrive/ApplUI/Pages/CreativePages/CustomReportCreativeDetail.aspx?App=23&amp;ReportView=4&amp;Qid=1711242&amp;Row=191&amp;Col=1","Get The Best Design")</f>
        <v>Get The Best Design</v>
      </c>
      <c r="B199" t="s">
        <v>345</v>
      </c>
      <c r="C199" t="s">
        <v>346</v>
      </c>
      <c r="D199" t="s">
        <v>346</v>
      </c>
      <c r="E199" t="s">
        <v>15</v>
      </c>
      <c r="F199" t="s">
        <v>20</v>
      </c>
      <c r="G199" t="s">
        <v>31</v>
      </c>
      <c r="H199" s="1">
        <v>45733.877</v>
      </c>
      <c r="J199">
        <v>28422581</v>
      </c>
    </row>
    <row r="200" spans="1:10" hidden="1" x14ac:dyDescent="0.25">
      <c r="A200" s="5" t="str">
        <f>HYPERLINK("https://app.vivvix.com/360/KMI/IntelliDrive/ApplUI/Pages/CreativePages/CustomReportCreativeDetail.aspx?App=23&amp;ReportView=4&amp;Qid=1711242&amp;Row=192&amp;Col=1","Get The Best Design")</f>
        <v>Get The Best Design</v>
      </c>
      <c r="B200" t="s">
        <v>345</v>
      </c>
      <c r="E200" t="s">
        <v>15</v>
      </c>
      <c r="F200" t="s">
        <v>20</v>
      </c>
      <c r="G200" t="s">
        <v>31</v>
      </c>
      <c r="H200" s="1">
        <v>169511.29500000001</v>
      </c>
      <c r="J200">
        <v>28427229</v>
      </c>
    </row>
    <row r="201" spans="1:10" x14ac:dyDescent="0.25">
      <c r="A201" s="5" t="str">
        <f>HYPERLINK("https://app.vivvix.com/360/KMI/IntelliDrive/ApplUI/Pages/CreativePages/CustomReportCreativeDetail.aspx?App=23&amp;ReportView=4&amp;Qid=1711242&amp;Row=193&amp;Col=1","Get The Best Vehicles")</f>
        <v>Get The Best Vehicles</v>
      </c>
      <c r="B201" t="s">
        <v>347</v>
      </c>
      <c r="E201" t="s">
        <v>15</v>
      </c>
      <c r="F201" t="s">
        <v>16</v>
      </c>
      <c r="G201" t="s">
        <v>54</v>
      </c>
      <c r="H201" s="1">
        <v>189065</v>
      </c>
    </row>
    <row r="202" spans="1:10" x14ac:dyDescent="0.25">
      <c r="A202" s="5" t="str">
        <f>HYPERLINK("https://app.vivvix.com/360/KMI/IntelliDrive/ApplUI/Pages/CreativePages/CustomReportCreativeDetail.aspx?App=23&amp;ReportView=4&amp;Qid=1711242&amp;Row=194&amp;Col=1","Get The Car With Best Features")</f>
        <v>Get The Car With Best Features</v>
      </c>
      <c r="B202" t="s">
        <v>348</v>
      </c>
      <c r="C202" t="s">
        <v>349</v>
      </c>
      <c r="D202" t="s">
        <v>349</v>
      </c>
      <c r="E202" t="s">
        <v>15</v>
      </c>
      <c r="F202" t="s">
        <v>133</v>
      </c>
      <c r="G202" t="s">
        <v>187</v>
      </c>
      <c r="H202" s="1">
        <v>944932</v>
      </c>
    </row>
    <row r="203" spans="1:10" x14ac:dyDescent="0.25">
      <c r="A203" s="5" t="str">
        <f>HYPERLINK("https://app.vivvix.com/360/KMI/IntelliDrive/ApplUI/Pages/CreativePages/CustomReportCreativeDetail.aspx?App=23&amp;ReportView=4&amp;Qid=1711242&amp;Row=195&amp;Col=1","Get The Car With Best Features")</f>
        <v>Get The Car With Best Features</v>
      </c>
      <c r="B203" t="s">
        <v>348</v>
      </c>
      <c r="C203" t="s">
        <v>349</v>
      </c>
      <c r="D203" t="s">
        <v>349</v>
      </c>
      <c r="E203" t="s">
        <v>15</v>
      </c>
      <c r="F203" t="s">
        <v>133</v>
      </c>
      <c r="G203" t="s">
        <v>187</v>
      </c>
      <c r="H203" s="1">
        <v>30</v>
      </c>
    </row>
    <row r="204" spans="1:10" x14ac:dyDescent="0.25">
      <c r="A204" s="5" t="str">
        <f>HYPERLINK("https://app.vivvix.com/360/KMI/IntelliDrive/ApplUI/Pages/CreativePages/CustomReportCreativeDetail.aspx?App=23&amp;ReportView=4&amp;Qid=1711242&amp;Row=196&amp;Col=1","Get The Car With Best Features")</f>
        <v>Get The Car With Best Features</v>
      </c>
      <c r="B204" t="s">
        <v>348</v>
      </c>
      <c r="C204" t="s">
        <v>349</v>
      </c>
      <c r="D204" t="s">
        <v>349</v>
      </c>
      <c r="E204" t="s">
        <v>15</v>
      </c>
      <c r="F204" t="s">
        <v>133</v>
      </c>
      <c r="G204" t="s">
        <v>187</v>
      </c>
      <c r="H204" s="1">
        <v>901467</v>
      </c>
    </row>
    <row r="205" spans="1:10" x14ac:dyDescent="0.25">
      <c r="A205" s="5" t="str">
        <f>HYPERLINK("https://app.vivvix.com/360/KMI/IntelliDrive/ApplUI/Pages/CreativePages/CustomReportCreativeDetail.aspx?App=23&amp;ReportView=4&amp;Qid=1711242&amp;Row=197&amp;Col=1","Get The Car With Best Features")</f>
        <v>Get The Car With Best Features</v>
      </c>
      <c r="B205" t="s">
        <v>350</v>
      </c>
      <c r="C205" t="s">
        <v>351</v>
      </c>
      <c r="D205" t="s">
        <v>351</v>
      </c>
      <c r="E205" t="s">
        <v>15</v>
      </c>
      <c r="F205" t="s">
        <v>133</v>
      </c>
      <c r="G205" t="s">
        <v>187</v>
      </c>
      <c r="H205" s="1">
        <v>992304</v>
      </c>
    </row>
    <row r="206" spans="1:10" x14ac:dyDescent="0.25">
      <c r="A206" s="5" t="str">
        <f>HYPERLINK("https://app.vivvix.com/360/KMI/IntelliDrive/ApplUI/Pages/CreativePages/CustomReportCreativeDetail.aspx?App=23&amp;ReportView=4&amp;Qid=1711242&amp;Row=198&amp;Col=1","Get The Car With Best Features")</f>
        <v>Get The Car With Best Features</v>
      </c>
      <c r="B206" t="s">
        <v>350</v>
      </c>
      <c r="C206" t="s">
        <v>351</v>
      </c>
      <c r="D206" t="s">
        <v>351</v>
      </c>
      <c r="E206" t="s">
        <v>15</v>
      </c>
      <c r="F206" t="s">
        <v>133</v>
      </c>
      <c r="G206" t="s">
        <v>187</v>
      </c>
      <c r="H206" s="1">
        <v>1213620</v>
      </c>
    </row>
    <row r="207" spans="1:10" x14ac:dyDescent="0.25">
      <c r="A207" s="5" t="str">
        <f>HYPERLINK("https://app.vivvix.com/360/KMI/IntelliDrive/ApplUI/Pages/CreativePages/CustomReportCreativeDetail.aspx?App=23&amp;ReportView=4&amp;Qid=1711242&amp;Row=199&amp;Col=1","Get The Car With Best Features")</f>
        <v>Get The Car With Best Features</v>
      </c>
      <c r="B207" t="s">
        <v>350</v>
      </c>
      <c r="C207" t="s">
        <v>351</v>
      </c>
      <c r="D207" t="s">
        <v>351</v>
      </c>
      <c r="E207" t="s">
        <v>15</v>
      </c>
      <c r="F207" t="s">
        <v>133</v>
      </c>
      <c r="G207" t="s">
        <v>187</v>
      </c>
      <c r="H207" s="1">
        <v>16</v>
      </c>
    </row>
    <row r="208" spans="1:10" x14ac:dyDescent="0.25">
      <c r="A208" s="5" t="str">
        <f>HYPERLINK("https://app.vivvix.com/360/KMI/IntelliDrive/ApplUI/Pages/CreativePages/CustomReportCreativeDetail.aspx?App=23&amp;ReportView=4&amp;Qid=1711242&amp;Row=200&amp;Col=1","Get the Intelligent Driving")</f>
        <v>Get the Intelligent Driving</v>
      </c>
      <c r="B208" t="s">
        <v>352</v>
      </c>
      <c r="C208" t="s">
        <v>353</v>
      </c>
      <c r="D208" t="s">
        <v>353</v>
      </c>
      <c r="E208" t="s">
        <v>15</v>
      </c>
      <c r="F208" t="s">
        <v>20</v>
      </c>
      <c r="G208" t="s">
        <v>21</v>
      </c>
      <c r="H208" s="1">
        <v>24648</v>
      </c>
    </row>
    <row r="209" spans="1:8" x14ac:dyDescent="0.25">
      <c r="A209" s="5" t="str">
        <f>HYPERLINK("https://app.vivvix.com/360/KMI/IntelliDrive/ApplUI/Pages/CreativePages/CustomReportCreativeDetail.aspx?App=23&amp;ReportView=4&amp;Qid=1711242&amp;Row=201&amp;Col=1","Get the Intelligent Driving")</f>
        <v>Get the Intelligent Driving</v>
      </c>
      <c r="B209" t="s">
        <v>352</v>
      </c>
      <c r="C209" t="s">
        <v>353</v>
      </c>
      <c r="D209" t="s">
        <v>353</v>
      </c>
      <c r="E209" t="s">
        <v>15</v>
      </c>
      <c r="F209" t="s">
        <v>20</v>
      </c>
      <c r="G209" t="s">
        <v>21</v>
      </c>
      <c r="H209" s="1">
        <v>183950</v>
      </c>
    </row>
    <row r="210" spans="1:8" x14ac:dyDescent="0.25">
      <c r="A210" s="5" t="str">
        <f>HYPERLINK("https://app.vivvix.com/360/KMI/IntelliDrive/ApplUI/Pages/CreativePages/CustomReportCreativeDetail.aspx?App=23&amp;ReportView=4&amp;Qid=1711242&amp;Row=202&amp;Col=1","Get The Most Luxurious Car")</f>
        <v>Get The Most Luxurious Car</v>
      </c>
      <c r="B210" t="s">
        <v>354</v>
      </c>
      <c r="C210" t="s">
        <v>355</v>
      </c>
      <c r="D210" t="s">
        <v>355</v>
      </c>
      <c r="E210" t="s">
        <v>15</v>
      </c>
      <c r="F210" t="s">
        <v>20</v>
      </c>
      <c r="G210" t="s">
        <v>31</v>
      </c>
      <c r="H210" s="1">
        <v>800414</v>
      </c>
    </row>
    <row r="211" spans="1:8" x14ac:dyDescent="0.25">
      <c r="A211" s="5" t="str">
        <f>HYPERLINK("https://app.vivvix.com/360/KMI/IntelliDrive/ApplUI/Pages/CreativePages/CustomReportCreativeDetail.aspx?App=23&amp;ReportView=4&amp;Qid=1711242&amp;Row=203&amp;Col=1","Get The Most Luxurious Car")</f>
        <v>Get The Most Luxurious Car</v>
      </c>
      <c r="B211" t="s">
        <v>354</v>
      </c>
      <c r="C211" t="s">
        <v>355</v>
      </c>
      <c r="D211" t="s">
        <v>355</v>
      </c>
      <c r="E211" t="s">
        <v>15</v>
      </c>
      <c r="F211" t="s">
        <v>20</v>
      </c>
      <c r="G211" t="s">
        <v>31</v>
      </c>
      <c r="H211" s="1">
        <v>501216</v>
      </c>
    </row>
    <row r="212" spans="1:8" x14ac:dyDescent="0.25">
      <c r="A212" s="5" t="str">
        <f>HYPERLINK("https://app.vivvix.com/360/KMI/IntelliDrive/ApplUI/Pages/CreativePages/CustomReportCreativeDetail.aspx?App=23&amp;ReportView=4&amp;Qid=1711242&amp;Row=204&amp;Col=1","Get The Most Luxurious Car")</f>
        <v>Get The Most Luxurious Car</v>
      </c>
      <c r="B212" t="s">
        <v>354</v>
      </c>
      <c r="C212" t="s">
        <v>355</v>
      </c>
      <c r="D212" t="s">
        <v>355</v>
      </c>
      <c r="E212" t="s">
        <v>15</v>
      </c>
      <c r="F212" t="s">
        <v>20</v>
      </c>
      <c r="G212" t="s">
        <v>31</v>
      </c>
      <c r="H212" s="1">
        <v>51</v>
      </c>
    </row>
    <row r="213" spans="1:8" hidden="1" x14ac:dyDescent="0.25">
      <c r="A213" s="5" t="str">
        <f>HYPERLINK("https://app.vivvix.com/360/KMI/IntelliDrive/ApplUI/Pages/CreativePages/CustomReportCreativeDetail.aspx?App=23&amp;ReportView=4&amp;Qid=1711242&amp;Row=205&amp;Col=1","Get The New Design")</f>
        <v>Get The New Design</v>
      </c>
      <c r="B213" t="s">
        <v>356</v>
      </c>
      <c r="C213" t="s">
        <v>357</v>
      </c>
      <c r="D213" t="s">
        <v>357</v>
      </c>
      <c r="E213" t="s">
        <v>15</v>
      </c>
      <c r="F213" t="s">
        <v>16</v>
      </c>
      <c r="G213" t="s">
        <v>54</v>
      </c>
      <c r="H213" s="1">
        <v>60368.048000000003</v>
      </c>
    </row>
    <row r="214" spans="1:8" hidden="1" x14ac:dyDescent="0.25">
      <c r="A214" s="5" t="str">
        <f>HYPERLINK("https://app.vivvix.com/360/KMI/IntelliDrive/ApplUI/Pages/CreativePages/CustomReportCreativeDetail.aspx?App=23&amp;ReportView=4&amp;Qid=1711242&amp;Row=206&amp;Col=1","Get The New Design")</f>
        <v>Get The New Design</v>
      </c>
      <c r="B214" t="s">
        <v>356</v>
      </c>
      <c r="E214" t="s">
        <v>15</v>
      </c>
      <c r="F214" t="s">
        <v>16</v>
      </c>
      <c r="G214" t="s">
        <v>54</v>
      </c>
      <c r="H214" s="1">
        <v>411734.14600000001</v>
      </c>
    </row>
    <row r="215" spans="1:8" x14ac:dyDescent="0.25">
      <c r="A215" s="5" t="str">
        <f>HYPERLINK("https://app.vivvix.com/360/KMI/IntelliDrive/ApplUI/Pages/CreativePages/CustomReportCreativeDetail.aspx?App=23&amp;ReportView=4&amp;Qid=1711242&amp;Row=207&amp;Col=1","Get the Offers")</f>
        <v>Get the Offers</v>
      </c>
      <c r="B215" t="s">
        <v>358</v>
      </c>
      <c r="C215" t="s">
        <v>359</v>
      </c>
      <c r="D215" t="s">
        <v>359</v>
      </c>
      <c r="E215" t="s">
        <v>15</v>
      </c>
      <c r="F215" t="s">
        <v>20</v>
      </c>
      <c r="G215" t="s">
        <v>21</v>
      </c>
      <c r="H215" s="1">
        <v>3952</v>
      </c>
    </row>
    <row r="216" spans="1:8" x14ac:dyDescent="0.25">
      <c r="A216" s="5" t="str">
        <f>HYPERLINK("https://app.vivvix.com/360/KMI/IntelliDrive/ApplUI/Pages/CreativePages/CustomReportCreativeDetail.aspx?App=23&amp;ReportView=4&amp;Qid=1711242&amp;Row=208&amp;Col=1","Get the Offers")</f>
        <v>Get the Offers</v>
      </c>
      <c r="B216" t="s">
        <v>360</v>
      </c>
      <c r="C216" t="s">
        <v>359</v>
      </c>
      <c r="D216" t="s">
        <v>359</v>
      </c>
      <c r="E216" t="s">
        <v>15</v>
      </c>
      <c r="F216" t="s">
        <v>20</v>
      </c>
      <c r="G216" t="s">
        <v>21</v>
      </c>
      <c r="H216" s="1">
        <v>2100</v>
      </c>
    </row>
    <row r="217" spans="1:8" x14ac:dyDescent="0.25">
      <c r="A217" s="5" t="str">
        <f>HYPERLINK("https://app.vivvix.com/360/KMI/IntelliDrive/ApplUI/Pages/CreativePages/CustomReportCreativeDetail.aspx?App=23&amp;ReportView=4&amp;Qid=1711242&amp;Row=209&amp;Col=1","Get the Safety Features")</f>
        <v>Get the Safety Features</v>
      </c>
      <c r="B217" t="s">
        <v>361</v>
      </c>
      <c r="C217" t="s">
        <v>362</v>
      </c>
      <c r="D217" t="s">
        <v>362</v>
      </c>
      <c r="E217" t="s">
        <v>15</v>
      </c>
      <c r="F217" t="s">
        <v>20</v>
      </c>
      <c r="G217" t="s">
        <v>21</v>
      </c>
      <c r="H217" s="1">
        <v>65517</v>
      </c>
    </row>
    <row r="218" spans="1:8" hidden="1" x14ac:dyDescent="0.25">
      <c r="A218" s="5" t="str">
        <f>HYPERLINK("https://app.vivvix.com/360/KMI/IntelliDrive/ApplUI/Pages/CreativePages/CustomReportCreativeDetail.aspx?App=23&amp;ReportView=4&amp;Qid=1711242&amp;Row=210&amp;Col=1","Get The Stylish Car")</f>
        <v>Get The Stylish Car</v>
      </c>
      <c r="B218" t="s">
        <v>363</v>
      </c>
      <c r="E218" t="s">
        <v>15</v>
      </c>
      <c r="F218" t="s">
        <v>16</v>
      </c>
      <c r="G218" t="s">
        <v>54</v>
      </c>
      <c r="H218" s="1">
        <v>1302.9659999999999</v>
      </c>
    </row>
    <row r="219" spans="1:8" hidden="1" x14ac:dyDescent="0.25">
      <c r="A219" s="5" t="str">
        <f>HYPERLINK("https://app.vivvix.com/360/KMI/IntelliDrive/ApplUI/Pages/CreativePages/CustomReportCreativeDetail.aspx?App=23&amp;ReportView=4&amp;Qid=1711242&amp;Row=211&amp;Col=1","Get The Stylish Car")</f>
        <v>Get The Stylish Car</v>
      </c>
      <c r="B219" t="s">
        <v>363</v>
      </c>
      <c r="E219" t="s">
        <v>15</v>
      </c>
      <c r="F219" t="s">
        <v>16</v>
      </c>
      <c r="G219" t="s">
        <v>54</v>
      </c>
      <c r="H219" s="1">
        <v>56964.972000000002</v>
      </c>
    </row>
    <row r="220" spans="1:8" x14ac:dyDescent="0.25">
      <c r="A220" s="5" t="str">
        <f>HYPERLINK("https://app.vivvix.com/360/KMI/IntelliDrive/ApplUI/Pages/CreativePages/CustomReportCreativeDetail.aspx?App=23&amp;ReportView=4&amp;Qid=1711242&amp;Row=212&amp;Col=1","Get This Amazing Offer")</f>
        <v>Get This Amazing Offer</v>
      </c>
      <c r="B220" t="s">
        <v>364</v>
      </c>
      <c r="C220" t="s">
        <v>365</v>
      </c>
      <c r="D220" t="s">
        <v>365</v>
      </c>
      <c r="E220" t="s">
        <v>15</v>
      </c>
      <c r="F220" t="s">
        <v>20</v>
      </c>
      <c r="G220" t="s">
        <v>21</v>
      </c>
      <c r="H220" s="1">
        <v>136112</v>
      </c>
    </row>
    <row r="221" spans="1:8" x14ac:dyDescent="0.25">
      <c r="A221" s="5" t="str">
        <f>HYPERLINK("https://app.vivvix.com/360/KMI/IntelliDrive/ApplUI/Pages/CreativePages/CustomReportCreativeDetail.aspx?App=23&amp;ReportView=4&amp;Qid=1711242&amp;Row=213&amp;Col=1","Get Your Dream Car Now")</f>
        <v>Get Your Dream Car Now</v>
      </c>
      <c r="B221" t="s">
        <v>366</v>
      </c>
      <c r="C221" t="s">
        <v>367</v>
      </c>
      <c r="D221" t="s">
        <v>367</v>
      </c>
      <c r="E221" t="s">
        <v>15</v>
      </c>
      <c r="F221" t="s">
        <v>20</v>
      </c>
      <c r="G221" t="s">
        <v>31</v>
      </c>
      <c r="H221" s="1">
        <v>186485</v>
      </c>
    </row>
    <row r="222" spans="1:8" x14ac:dyDescent="0.25">
      <c r="A222" s="5" t="str">
        <f>HYPERLINK("https://app.vivvix.com/360/KMI/IntelliDrive/ApplUI/Pages/CreativePages/CustomReportCreativeDetail.aspx?App=23&amp;ReportView=4&amp;Qid=1711242&amp;Row=214&amp;Col=1","Get Your Dream Car Now")</f>
        <v>Get Your Dream Car Now</v>
      </c>
      <c r="B222" t="s">
        <v>368</v>
      </c>
      <c r="C222" t="s">
        <v>369</v>
      </c>
      <c r="D222" t="s">
        <v>369</v>
      </c>
      <c r="E222" t="s">
        <v>15</v>
      </c>
      <c r="F222" t="s">
        <v>50</v>
      </c>
      <c r="G222" t="s">
        <v>51</v>
      </c>
      <c r="H222" s="1">
        <v>15142</v>
      </c>
    </row>
    <row r="223" spans="1:8" x14ac:dyDescent="0.25">
      <c r="A223" s="5" t="str">
        <f>HYPERLINK("https://app.vivvix.com/360/KMI/IntelliDrive/ApplUI/Pages/CreativePages/CustomReportCreativeDetail.aspx?App=23&amp;ReportView=4&amp;Qid=1711242&amp;Row=215&amp;Col=1","Get Your Dream Car Now")</f>
        <v>Get Your Dream Car Now</v>
      </c>
      <c r="B223" t="s">
        <v>370</v>
      </c>
      <c r="C223" t="s">
        <v>371</v>
      </c>
      <c r="D223" t="s">
        <v>371</v>
      </c>
      <c r="E223" t="s">
        <v>15</v>
      </c>
      <c r="F223" t="s">
        <v>20</v>
      </c>
      <c r="G223" t="s">
        <v>21</v>
      </c>
      <c r="H223" s="1">
        <v>297996</v>
      </c>
    </row>
    <row r="224" spans="1:8" x14ac:dyDescent="0.25">
      <c r="A224" s="5" t="str">
        <f>HYPERLINK("https://app.vivvix.com/360/KMI/IntelliDrive/ApplUI/Pages/CreativePages/CustomReportCreativeDetail.aspx?App=23&amp;ReportView=4&amp;Qid=1711242&amp;Row=216&amp;Col=1","Get Your Dream Car Now")</f>
        <v>Get Your Dream Car Now</v>
      </c>
      <c r="B224" t="s">
        <v>372</v>
      </c>
      <c r="C224" t="s">
        <v>373</v>
      </c>
      <c r="D224" t="s">
        <v>373</v>
      </c>
      <c r="E224" t="s">
        <v>15</v>
      </c>
      <c r="F224" t="s">
        <v>133</v>
      </c>
      <c r="G224" t="s">
        <v>187</v>
      </c>
      <c r="H224" s="1">
        <v>24294</v>
      </c>
    </row>
    <row r="225" spans="1:8" x14ac:dyDescent="0.25">
      <c r="A225" s="5" t="str">
        <f>HYPERLINK("https://app.vivvix.com/360/KMI/IntelliDrive/ApplUI/Pages/CreativePages/CustomReportCreativeDetail.aspx?App=23&amp;ReportView=4&amp;Qid=1711242&amp;Row=217&amp;Col=1","Get Your Dream Car Now")</f>
        <v>Get Your Dream Car Now</v>
      </c>
      <c r="B225" t="s">
        <v>372</v>
      </c>
      <c r="C225" t="s">
        <v>373</v>
      </c>
      <c r="D225" t="s">
        <v>373</v>
      </c>
      <c r="E225" t="s">
        <v>15</v>
      </c>
      <c r="F225" t="s">
        <v>133</v>
      </c>
      <c r="G225" t="s">
        <v>187</v>
      </c>
      <c r="H225" s="1">
        <v>657001</v>
      </c>
    </row>
    <row r="226" spans="1:8" x14ac:dyDescent="0.25">
      <c r="A226" s="5" t="str">
        <f>HYPERLINK("https://app.vivvix.com/360/KMI/IntelliDrive/ApplUI/Pages/CreativePages/CustomReportCreativeDetail.aspx?App=23&amp;ReportView=4&amp;Qid=1711242&amp;Row=218&amp;Col=1","Get Your Dream Car Now")</f>
        <v>Get Your Dream Car Now</v>
      </c>
      <c r="B226" t="s">
        <v>372</v>
      </c>
      <c r="C226" t="s">
        <v>373</v>
      </c>
      <c r="D226" t="s">
        <v>373</v>
      </c>
      <c r="E226" t="s">
        <v>15</v>
      </c>
      <c r="F226" t="s">
        <v>133</v>
      </c>
      <c r="G226" t="s">
        <v>187</v>
      </c>
      <c r="H226" s="1">
        <v>295395</v>
      </c>
    </row>
    <row r="227" spans="1:8" x14ac:dyDescent="0.25">
      <c r="A227" s="5" t="str">
        <f>HYPERLINK("https://app.vivvix.com/360/KMI/IntelliDrive/ApplUI/Pages/CreativePages/CustomReportCreativeDetail.aspx?App=23&amp;ReportView=4&amp;Qid=1711242&amp;Row=219&amp;Col=1","Get Your Dream Car Now")</f>
        <v>Get Your Dream Car Now</v>
      </c>
      <c r="B227" t="s">
        <v>374</v>
      </c>
      <c r="C227" t="s">
        <v>375</v>
      </c>
      <c r="D227" t="s">
        <v>375</v>
      </c>
      <c r="E227" t="s">
        <v>15</v>
      </c>
      <c r="F227" t="s">
        <v>50</v>
      </c>
      <c r="G227" t="s">
        <v>51</v>
      </c>
      <c r="H227" s="1">
        <v>48842</v>
      </c>
    </row>
    <row r="228" spans="1:8" x14ac:dyDescent="0.25">
      <c r="A228" s="5" t="str">
        <f>HYPERLINK("https://app.vivvix.com/360/KMI/IntelliDrive/ApplUI/Pages/CreativePages/CustomReportCreativeDetail.aspx?App=23&amp;ReportView=4&amp;Qid=1711242&amp;Row=220&amp;Col=1","Get Your Dream Car Now")</f>
        <v>Get Your Dream Car Now</v>
      </c>
      <c r="B228" t="s">
        <v>376</v>
      </c>
      <c r="C228" t="s">
        <v>377</v>
      </c>
      <c r="D228" t="s">
        <v>367</v>
      </c>
      <c r="E228" t="s">
        <v>15</v>
      </c>
      <c r="F228" t="s">
        <v>20</v>
      </c>
      <c r="G228" t="s">
        <v>31</v>
      </c>
      <c r="H228" s="1">
        <v>12496</v>
      </c>
    </row>
    <row r="229" spans="1:8" x14ac:dyDescent="0.25">
      <c r="A229" s="5" t="str">
        <f>HYPERLINK("https://app.vivvix.com/360/KMI/IntelliDrive/ApplUI/Pages/CreativePages/CustomReportCreativeDetail.aspx?App=23&amp;ReportView=4&amp;Qid=1711242&amp;Row=221&amp;Col=1","Get Your Dream Car Now")</f>
        <v>Get Your Dream Car Now</v>
      </c>
      <c r="B229" t="s">
        <v>378</v>
      </c>
      <c r="C229" t="s">
        <v>379</v>
      </c>
      <c r="D229" t="s">
        <v>375</v>
      </c>
      <c r="E229" t="s">
        <v>15</v>
      </c>
      <c r="F229" t="s">
        <v>50</v>
      </c>
      <c r="G229" t="s">
        <v>51</v>
      </c>
      <c r="H229" s="1">
        <v>953</v>
      </c>
    </row>
    <row r="230" spans="1:8" x14ac:dyDescent="0.25">
      <c r="A230" s="5" t="str">
        <f>HYPERLINK("https://app.vivvix.com/360/KMI/IntelliDrive/ApplUI/Pages/CreativePages/CustomReportCreativeDetail.aspx?App=23&amp;ReportView=4&amp;Qid=1711242&amp;Row=222&amp;Col=1","Get Your Dream Car Now")</f>
        <v>Get Your Dream Car Now</v>
      </c>
      <c r="B230" t="s">
        <v>380</v>
      </c>
      <c r="C230" t="s">
        <v>381</v>
      </c>
      <c r="D230" t="s">
        <v>381</v>
      </c>
      <c r="E230" t="s">
        <v>15</v>
      </c>
      <c r="F230" t="s">
        <v>20</v>
      </c>
      <c r="G230" t="s">
        <v>31</v>
      </c>
      <c r="H230" s="1">
        <v>2471</v>
      </c>
    </row>
    <row r="231" spans="1:8" x14ac:dyDescent="0.25">
      <c r="A231" s="5" t="str">
        <f>HYPERLINK("https://app.vivvix.com/360/KMI/IntelliDrive/ApplUI/Pages/CreativePages/CustomReportCreativeDetail.aspx?App=23&amp;ReportView=4&amp;Qid=1711242&amp;Row=223&amp;Col=1","Get...Feature/$2,500, 90 Days, Layout")</f>
        <v>Get...Feature/$2,500, 90 Days, Layout</v>
      </c>
      <c r="B231" t="s">
        <v>382</v>
      </c>
      <c r="C231" t="s">
        <v>383</v>
      </c>
      <c r="D231" t="s">
        <v>312</v>
      </c>
      <c r="E231" t="s">
        <v>15</v>
      </c>
      <c r="F231" t="s">
        <v>60</v>
      </c>
      <c r="G231" t="s">
        <v>61</v>
      </c>
      <c r="H231" s="1">
        <v>1258</v>
      </c>
    </row>
    <row r="232" spans="1:8" x14ac:dyDescent="0.25">
      <c r="A232" s="5" t="str">
        <f>HYPERLINK("https://app.vivvix.com/360/KMI/IntelliDrive/ApplUI/Pages/CreativePages/CustomReportCreativeDetail.aspx?App=23&amp;ReportView=4&amp;Qid=1711242&amp;Row=224&amp;Col=1","Get...Feature/90 Days, 36 Mos, Visuals")</f>
        <v>Get...Feature/90 Days, 36 Mos, Visuals</v>
      </c>
      <c r="B232" t="s">
        <v>384</v>
      </c>
      <c r="C232" t="s">
        <v>385</v>
      </c>
      <c r="D232" t="s">
        <v>312</v>
      </c>
      <c r="E232" t="s">
        <v>15</v>
      </c>
      <c r="F232" t="s">
        <v>60</v>
      </c>
      <c r="G232" t="s">
        <v>61</v>
      </c>
      <c r="H232" s="1">
        <v>7478</v>
      </c>
    </row>
    <row r="233" spans="1:8" x14ac:dyDescent="0.25">
      <c r="A233" s="5" t="str">
        <f>HYPERLINK("https://app.vivvix.com/360/KMI/IntelliDrive/ApplUI/Pages/CreativePages/CustomReportCreativeDetail.aspx?App=23&amp;ReportView=4&amp;Qid=1711242&amp;Row=225&amp;Col=1","Give Yourself the Best Comfort")</f>
        <v>Give Yourself the Best Comfort</v>
      </c>
      <c r="B233" t="s">
        <v>386</v>
      </c>
      <c r="C233" t="s">
        <v>387</v>
      </c>
      <c r="D233" t="s">
        <v>387</v>
      </c>
      <c r="E233" t="s">
        <v>15</v>
      </c>
      <c r="F233" t="s">
        <v>20</v>
      </c>
      <c r="G233" t="s">
        <v>21</v>
      </c>
      <c r="H233" s="1">
        <v>2603</v>
      </c>
    </row>
    <row r="234" spans="1:8" x14ac:dyDescent="0.25">
      <c r="A234" s="5" t="str">
        <f>HYPERLINK("https://app.vivvix.com/360/KMI/IntelliDrive/ApplUI/Pages/CreativePages/CustomReportCreativeDetail.aspx?App=23&amp;ReportView=4&amp;Qid=1711242&amp;Row=226&amp;Col=1","Google Built In Compatibility")</f>
        <v>Google Built In Compatibility</v>
      </c>
      <c r="B234" t="s">
        <v>388</v>
      </c>
      <c r="C234" t="s">
        <v>389</v>
      </c>
      <c r="D234" t="s">
        <v>389</v>
      </c>
      <c r="E234" t="s">
        <v>15</v>
      </c>
      <c r="F234" t="s">
        <v>20</v>
      </c>
      <c r="G234" t="s">
        <v>31</v>
      </c>
      <c r="H234" s="1">
        <v>871233</v>
      </c>
    </row>
    <row r="235" spans="1:8" x14ac:dyDescent="0.25">
      <c r="A235" s="5" t="str">
        <f>HYPERLINK("https://app.vivvix.com/360/KMI/IntelliDrive/ApplUI/Pages/CreativePages/CustomReportCreativeDetail.aspx?App=23&amp;ReportView=4&amp;Qid=1711242&amp;Row=227&amp;Col=1","Google Built In Compatibility")</f>
        <v>Google Built In Compatibility</v>
      </c>
      <c r="B235" t="s">
        <v>388</v>
      </c>
      <c r="C235" t="s">
        <v>389</v>
      </c>
      <c r="D235" t="s">
        <v>389</v>
      </c>
      <c r="E235" t="s">
        <v>15</v>
      </c>
      <c r="F235" t="s">
        <v>20</v>
      </c>
      <c r="G235" t="s">
        <v>31</v>
      </c>
      <c r="H235" s="1">
        <v>785975</v>
      </c>
    </row>
    <row r="236" spans="1:8" x14ac:dyDescent="0.25">
      <c r="A236" s="5" t="str">
        <f>HYPERLINK("https://app.vivvix.com/360/KMI/IntelliDrive/ApplUI/Pages/CreativePages/CustomReportCreativeDetail.aspx?App=23&amp;ReportView=4&amp;Qid=1711242&amp;Row=228&amp;Col=1","Google Built In Compatibility")</f>
        <v>Google Built In Compatibility</v>
      </c>
      <c r="B236" t="s">
        <v>388</v>
      </c>
      <c r="C236" t="s">
        <v>389</v>
      </c>
      <c r="D236" t="s">
        <v>389</v>
      </c>
      <c r="E236" t="s">
        <v>15</v>
      </c>
      <c r="F236" t="s">
        <v>20</v>
      </c>
      <c r="G236" t="s">
        <v>31</v>
      </c>
      <c r="H236" s="1">
        <v>5</v>
      </c>
    </row>
    <row r="237" spans="1:8" hidden="1" x14ac:dyDescent="0.25">
      <c r="A237" s="5" t="str">
        <f>HYPERLINK("https://app.vivvix.com/360/KMI/IntelliDrive/ApplUI/Pages/CreativePages/CustomReportCreativeDetail.aspx?App=23&amp;ReportView=4&amp;Qid=1711242&amp;Row=229&amp;Col=1","has multicolor ambient interior lighting")</f>
        <v>has multicolor ambient interior lighting</v>
      </c>
      <c r="B237" t="s">
        <v>390</v>
      </c>
      <c r="C237" t="s">
        <v>391</v>
      </c>
      <c r="D237" t="s">
        <v>391</v>
      </c>
      <c r="E237" t="s">
        <v>15</v>
      </c>
      <c r="F237" t="s">
        <v>133</v>
      </c>
      <c r="G237" t="s">
        <v>187</v>
      </c>
      <c r="H237" s="1">
        <v>21224.927</v>
      </c>
    </row>
    <row r="238" spans="1:8" hidden="1" x14ac:dyDescent="0.25">
      <c r="A238" s="5" t="str">
        <f>HYPERLINK("https://app.vivvix.com/360/KMI/IntelliDrive/ApplUI/Pages/CreativePages/CustomReportCreativeDetail.aspx?App=23&amp;ReportView=4&amp;Qid=1711242&amp;Row=230&amp;Col=1","has multicolor ambient interior lighting")</f>
        <v>has multicolor ambient interior lighting</v>
      </c>
      <c r="B238" t="s">
        <v>390</v>
      </c>
      <c r="E238" t="s">
        <v>15</v>
      </c>
      <c r="F238" t="s">
        <v>133</v>
      </c>
      <c r="G238" t="s">
        <v>187</v>
      </c>
      <c r="H238" s="1">
        <v>12092.824000000001</v>
      </c>
    </row>
    <row r="239" spans="1:8" hidden="1" x14ac:dyDescent="0.25">
      <c r="A239" s="5" t="str">
        <f>HYPERLINK("https://app.vivvix.com/360/KMI/IntelliDrive/ApplUI/Pages/CreativePages/CustomReportCreativeDetail.aspx?App=23&amp;ReportView=4&amp;Qid=1711242&amp;Row=231&amp;Col=1","Imagine a Fresh Design")</f>
        <v>Imagine a Fresh Design</v>
      </c>
      <c r="B239" t="s">
        <v>392</v>
      </c>
      <c r="E239" t="s">
        <v>15</v>
      </c>
      <c r="F239" t="s">
        <v>50</v>
      </c>
      <c r="G239" t="s">
        <v>51</v>
      </c>
      <c r="H239" s="1">
        <v>1089.037</v>
      </c>
    </row>
    <row r="240" spans="1:8" hidden="1" x14ac:dyDescent="0.25">
      <c r="A240" s="5" t="str">
        <f>HYPERLINK("https://app.vivvix.com/360/KMI/IntelliDrive/ApplUI/Pages/CreativePages/CustomReportCreativeDetail.aspx?App=23&amp;ReportView=4&amp;Qid=1711242&amp;Row=232&amp;Col=1","Imagine A Fresh Design Inside And Out")</f>
        <v>Imagine A Fresh Design Inside And Out</v>
      </c>
      <c r="B240" t="s">
        <v>393</v>
      </c>
      <c r="C240" t="s">
        <v>394</v>
      </c>
      <c r="D240" t="s">
        <v>394</v>
      </c>
      <c r="E240" t="s">
        <v>15</v>
      </c>
      <c r="F240" t="s">
        <v>50</v>
      </c>
      <c r="G240" t="s">
        <v>51</v>
      </c>
      <c r="H240" s="1">
        <v>28460.07</v>
      </c>
    </row>
    <row r="241" spans="1:8" hidden="1" x14ac:dyDescent="0.25">
      <c r="A241" s="5" t="str">
        <f>HYPERLINK("https://app.vivvix.com/360/KMI/IntelliDrive/ApplUI/Pages/CreativePages/CustomReportCreativeDetail.aspx?App=23&amp;ReportView=4&amp;Qid=1711242&amp;Row=233&amp;Col=1","Imagine A Fresh Design Inside And Out")</f>
        <v>Imagine A Fresh Design Inside And Out</v>
      </c>
      <c r="B241" t="s">
        <v>393</v>
      </c>
      <c r="E241" t="s">
        <v>15</v>
      </c>
      <c r="F241" t="s">
        <v>50</v>
      </c>
      <c r="G241" t="s">
        <v>51</v>
      </c>
      <c r="H241" s="1">
        <v>66923.008000000002</v>
      </c>
    </row>
    <row r="242" spans="1:8" hidden="1" x14ac:dyDescent="0.25">
      <c r="A242" s="5" t="str">
        <f>HYPERLINK("https://app.vivvix.com/360/KMI/IntelliDrive/ApplUI/Pages/CreativePages/CustomReportCreativeDetail.aspx?App=23&amp;ReportView=4&amp;Qid=1711242&amp;Row=234&amp;Col=1","Imagine A Fresh Design Inside And Out")</f>
        <v>Imagine A Fresh Design Inside And Out</v>
      </c>
      <c r="B242" t="s">
        <v>395</v>
      </c>
      <c r="C242" t="s">
        <v>396</v>
      </c>
      <c r="D242" t="s">
        <v>396</v>
      </c>
      <c r="E242" t="s">
        <v>15</v>
      </c>
      <c r="F242" t="s">
        <v>50</v>
      </c>
      <c r="G242" t="s">
        <v>51</v>
      </c>
      <c r="H242" s="1">
        <v>2733.058</v>
      </c>
    </row>
    <row r="243" spans="1:8" x14ac:dyDescent="0.25">
      <c r="A243" s="5" t="str">
        <f>HYPERLINK("https://app.vivvix.com/360/KMI/IntelliDrive/ApplUI/Pages/CreativePages/CustomReportCreativeDetail.aspx?App=23&amp;ReportView=4&amp;Qid=1711242&amp;Row=235&amp;Col=1","Intelligent Quiet Safe")</f>
        <v>Intelligent Quiet Safe</v>
      </c>
      <c r="B243" t="s">
        <v>397</v>
      </c>
      <c r="C243" t="s">
        <v>398</v>
      </c>
      <c r="D243" t="s">
        <v>398</v>
      </c>
      <c r="E243" t="s">
        <v>15</v>
      </c>
      <c r="F243" t="s">
        <v>20</v>
      </c>
      <c r="G243" t="s">
        <v>21</v>
      </c>
      <c r="H243" s="1">
        <v>651276</v>
      </c>
    </row>
    <row r="244" spans="1:8" x14ac:dyDescent="0.25">
      <c r="A244" s="5" t="str">
        <f>HYPERLINK("https://app.vivvix.com/360/KMI/IntelliDrive/ApplUI/Pages/CreativePages/CustomReportCreativeDetail.aspx?App=23&amp;ReportView=4&amp;Qid=1711242&amp;Row=236&amp;Col=1","Intelligent Quiet Safe")</f>
        <v>Intelligent Quiet Safe</v>
      </c>
      <c r="B244" t="s">
        <v>397</v>
      </c>
      <c r="C244" t="s">
        <v>398</v>
      </c>
      <c r="D244" t="s">
        <v>398</v>
      </c>
      <c r="E244" t="s">
        <v>15</v>
      </c>
      <c r="F244" t="s">
        <v>20</v>
      </c>
      <c r="G244" t="s">
        <v>21</v>
      </c>
      <c r="H244" s="1">
        <v>255249</v>
      </c>
    </row>
    <row r="245" spans="1:8" x14ac:dyDescent="0.25">
      <c r="A245" s="5" t="str">
        <f>HYPERLINK("https://app.vivvix.com/360/KMI/IntelliDrive/ApplUI/Pages/CreativePages/CustomReportCreativeDetail.aspx?App=23&amp;ReportView=4&amp;Qid=1711242&amp;Row=237&amp;Col=1","Intelligent Quiet Safe")</f>
        <v>Intelligent Quiet Safe</v>
      </c>
      <c r="B245" t="s">
        <v>397</v>
      </c>
      <c r="C245" t="s">
        <v>398</v>
      </c>
      <c r="D245" t="s">
        <v>398</v>
      </c>
      <c r="E245" t="s">
        <v>15</v>
      </c>
      <c r="F245" t="s">
        <v>20</v>
      </c>
      <c r="G245" t="s">
        <v>21</v>
      </c>
      <c r="H245" s="1">
        <v>7320</v>
      </c>
    </row>
    <row r="246" spans="1:8" x14ac:dyDescent="0.25">
      <c r="A246" s="5" t="str">
        <f>HYPERLINK("https://app.vivvix.com/360/KMI/IntelliDrive/ApplUI/Pages/CreativePages/CustomReportCreativeDetail.aspx?App=23&amp;ReportView=4&amp;Qid=1711242&amp;Row=238&amp;Col=1","Intelligent Quiet Safe")</f>
        <v>Intelligent Quiet Safe</v>
      </c>
      <c r="B246" t="s">
        <v>399</v>
      </c>
      <c r="C246" t="s">
        <v>398</v>
      </c>
      <c r="D246" t="s">
        <v>398</v>
      </c>
      <c r="E246" t="s">
        <v>15</v>
      </c>
      <c r="F246" t="s">
        <v>20</v>
      </c>
      <c r="G246" t="s">
        <v>21</v>
      </c>
      <c r="H246" s="1">
        <v>7107</v>
      </c>
    </row>
    <row r="247" spans="1:8" x14ac:dyDescent="0.25">
      <c r="A247" s="5" t="str">
        <f>HYPERLINK("https://app.vivvix.com/360/KMI/IntelliDrive/ApplUI/Pages/CreativePages/CustomReportCreativeDetail.aspx?App=23&amp;ReportView=4&amp;Qid=1711242&amp;Row=239&amp;Col=1","Intelligent Quiet Safe")</f>
        <v>Intelligent Quiet Safe</v>
      </c>
      <c r="B247" t="s">
        <v>400</v>
      </c>
      <c r="C247" t="s">
        <v>398</v>
      </c>
      <c r="D247" t="s">
        <v>398</v>
      </c>
      <c r="E247" t="s">
        <v>15</v>
      </c>
      <c r="F247" t="s">
        <v>20</v>
      </c>
      <c r="G247" t="s">
        <v>21</v>
      </c>
      <c r="H247" s="1">
        <v>24166</v>
      </c>
    </row>
    <row r="248" spans="1:8" x14ac:dyDescent="0.25">
      <c r="A248" s="5" t="str">
        <f>HYPERLINK("https://app.vivvix.com/360/KMI/IntelliDrive/ApplUI/Pages/CreativePages/CustomReportCreativeDetail.aspx?App=23&amp;ReportView=4&amp;Qid=1711242&amp;Row=240&amp;Col=1","Intelligent Quiet Safe")</f>
        <v>Intelligent Quiet Safe</v>
      </c>
      <c r="B248" t="s">
        <v>401</v>
      </c>
      <c r="C248" t="s">
        <v>398</v>
      </c>
      <c r="D248" t="s">
        <v>398</v>
      </c>
      <c r="E248" t="s">
        <v>15</v>
      </c>
      <c r="F248" t="s">
        <v>20</v>
      </c>
      <c r="G248" t="s">
        <v>21</v>
      </c>
      <c r="H248" s="1">
        <v>54014</v>
      </c>
    </row>
    <row r="249" spans="1:8" x14ac:dyDescent="0.25">
      <c r="A249" s="5" t="str">
        <f>HYPERLINK("https://app.vivvix.com/360/KMI/IntelliDrive/ApplUI/Pages/CreativePages/CustomReportCreativeDetail.aspx?App=23&amp;ReportView=4&amp;Qid=1711242&amp;Row=241&amp;Col=1","Intelligent Quiet Safe")</f>
        <v>Intelligent Quiet Safe</v>
      </c>
      <c r="B249" t="s">
        <v>402</v>
      </c>
      <c r="C249" t="s">
        <v>398</v>
      </c>
      <c r="D249" t="s">
        <v>398</v>
      </c>
      <c r="E249" t="s">
        <v>15</v>
      </c>
      <c r="F249" t="s">
        <v>20</v>
      </c>
      <c r="G249" t="s">
        <v>21</v>
      </c>
      <c r="H249" s="1">
        <v>42812</v>
      </c>
    </row>
    <row r="250" spans="1:8" x14ac:dyDescent="0.25">
      <c r="A250" s="5" t="str">
        <f>HYPERLINK("https://app.vivvix.com/360/KMI/IntelliDrive/ApplUI/Pages/CreativePages/CustomReportCreativeDetail.aspx?App=23&amp;ReportView=4&amp;Qid=1711242&amp;Row=242&amp;Col=1","Intelligent Safe and Quiet")</f>
        <v>Intelligent Safe and Quiet</v>
      </c>
      <c r="B250" t="s">
        <v>403</v>
      </c>
      <c r="C250" t="s">
        <v>292</v>
      </c>
      <c r="D250" t="s">
        <v>292</v>
      </c>
      <c r="E250" t="s">
        <v>15</v>
      </c>
      <c r="F250" t="s">
        <v>20</v>
      </c>
      <c r="G250" t="s">
        <v>21</v>
      </c>
      <c r="H250" s="1">
        <v>100328</v>
      </c>
    </row>
    <row r="251" spans="1:8" x14ac:dyDescent="0.25">
      <c r="A251" s="5" t="str">
        <f>HYPERLINK("https://app.vivvix.com/360/KMI/IntelliDrive/ApplUI/Pages/CreativePages/CustomReportCreativeDetail.aspx?App=23&amp;ReportView=4&amp;Qid=1711242&amp;Row=243&amp;Col=1","Intelligent Safe and Quiet")</f>
        <v>Intelligent Safe and Quiet</v>
      </c>
      <c r="B251" t="s">
        <v>403</v>
      </c>
      <c r="C251" t="s">
        <v>292</v>
      </c>
      <c r="D251" t="s">
        <v>292</v>
      </c>
      <c r="E251" t="s">
        <v>15</v>
      </c>
      <c r="F251" t="s">
        <v>20</v>
      </c>
      <c r="G251" t="s">
        <v>21</v>
      </c>
      <c r="H251" s="1">
        <v>108849</v>
      </c>
    </row>
    <row r="252" spans="1:8" x14ac:dyDescent="0.25">
      <c r="A252" s="5" t="str">
        <f>HYPERLINK("https://app.vivvix.com/360/KMI/IntelliDrive/ApplUI/Pages/CreativePages/CustomReportCreativeDetail.aspx?App=23&amp;ReportView=4&amp;Qid=1711242&amp;Row=244&amp;Col=1","Intelligent Safe and Quiet")</f>
        <v>Intelligent Safe and Quiet</v>
      </c>
      <c r="B252" t="s">
        <v>404</v>
      </c>
      <c r="C252" t="s">
        <v>292</v>
      </c>
      <c r="D252" t="s">
        <v>292</v>
      </c>
      <c r="E252" t="s">
        <v>15</v>
      </c>
      <c r="F252" t="s">
        <v>20</v>
      </c>
      <c r="G252" t="s">
        <v>21</v>
      </c>
      <c r="H252" s="1">
        <v>91511</v>
      </c>
    </row>
    <row r="253" spans="1:8" x14ac:dyDescent="0.25">
      <c r="A253" s="5" t="str">
        <f>HYPERLINK("https://app.vivvix.com/360/KMI/IntelliDrive/ApplUI/Pages/CreativePages/CustomReportCreativeDetail.aspx?App=23&amp;ReportView=4&amp;Qid=1711242&amp;Row=245&amp;Col=1","Intelligent Safe and Quiet")</f>
        <v>Intelligent Safe and Quiet</v>
      </c>
      <c r="B253" t="s">
        <v>404</v>
      </c>
      <c r="C253" t="s">
        <v>292</v>
      </c>
      <c r="D253" t="s">
        <v>292</v>
      </c>
      <c r="E253" t="s">
        <v>15</v>
      </c>
      <c r="F253" t="s">
        <v>20</v>
      </c>
      <c r="G253" t="s">
        <v>21</v>
      </c>
      <c r="H253" s="1">
        <v>26910</v>
      </c>
    </row>
    <row r="254" spans="1:8" x14ac:dyDescent="0.25">
      <c r="A254" s="5" t="str">
        <f>HYPERLINK("https://app.vivvix.com/360/KMI/IntelliDrive/ApplUI/Pages/CreativePages/CustomReportCreativeDetail.aspx?App=23&amp;ReportView=4&amp;Qid=1711242&amp;Row=246&amp;Col=1","Intelligent Safe and Quiet")</f>
        <v>Intelligent Safe and Quiet</v>
      </c>
      <c r="B254" t="s">
        <v>405</v>
      </c>
      <c r="C254" t="s">
        <v>292</v>
      </c>
      <c r="D254" t="s">
        <v>292</v>
      </c>
      <c r="E254" t="s">
        <v>15</v>
      </c>
      <c r="F254" t="s">
        <v>20</v>
      </c>
      <c r="G254" t="s">
        <v>21</v>
      </c>
      <c r="H254" s="1">
        <v>2752</v>
      </c>
    </row>
    <row r="255" spans="1:8" x14ac:dyDescent="0.25">
      <c r="A255" s="5" t="str">
        <f>HYPERLINK("https://app.vivvix.com/360/KMI/IntelliDrive/ApplUI/Pages/CreativePages/CustomReportCreativeDetail.aspx?App=23&amp;ReportView=4&amp;Qid=1711242&amp;Row=247&amp;Col=1","Intelligent Safe and Quiet")</f>
        <v>Intelligent Safe and Quiet</v>
      </c>
      <c r="B255" t="s">
        <v>406</v>
      </c>
      <c r="C255" t="s">
        <v>292</v>
      </c>
      <c r="D255" t="s">
        <v>292</v>
      </c>
      <c r="E255" t="s">
        <v>15</v>
      </c>
      <c r="F255" t="s">
        <v>20</v>
      </c>
      <c r="G255" t="s">
        <v>21</v>
      </c>
      <c r="H255" s="1">
        <v>3113</v>
      </c>
    </row>
    <row r="256" spans="1:8" x14ac:dyDescent="0.25">
      <c r="A256" s="5" t="str">
        <f>HYPERLINK("https://app.vivvix.com/360/KMI/IntelliDrive/ApplUI/Pages/CreativePages/CustomReportCreativeDetail.aspx?App=23&amp;ReportView=4&amp;Qid=1711242&amp;Row=248&amp;Col=1","Intelligent Safe and Quiet")</f>
        <v>Intelligent Safe and Quiet</v>
      </c>
      <c r="B256" t="s">
        <v>407</v>
      </c>
      <c r="C256" t="s">
        <v>292</v>
      </c>
      <c r="D256" t="s">
        <v>292</v>
      </c>
      <c r="E256" t="s">
        <v>15</v>
      </c>
      <c r="F256" t="s">
        <v>20</v>
      </c>
      <c r="G256" t="s">
        <v>21</v>
      </c>
      <c r="H256" s="1">
        <v>34452</v>
      </c>
    </row>
    <row r="257" spans="1:8" x14ac:dyDescent="0.25">
      <c r="A257" s="5" t="str">
        <f>HYPERLINK("https://app.vivvix.com/360/KMI/IntelliDrive/ApplUI/Pages/CreativePages/CustomReportCreativeDetail.aspx?App=23&amp;ReportView=4&amp;Qid=1711242&amp;Row=249&amp;Col=1","Intelligent Safe and Quiet")</f>
        <v>Intelligent Safe and Quiet</v>
      </c>
      <c r="B257" t="s">
        <v>408</v>
      </c>
      <c r="C257" t="s">
        <v>292</v>
      </c>
      <c r="D257" t="s">
        <v>292</v>
      </c>
      <c r="E257" t="s">
        <v>15</v>
      </c>
      <c r="F257" t="s">
        <v>20</v>
      </c>
      <c r="G257" t="s">
        <v>21</v>
      </c>
      <c r="H257" s="1">
        <v>2882</v>
      </c>
    </row>
    <row r="258" spans="1:8" x14ac:dyDescent="0.25">
      <c r="A258" s="5" t="str">
        <f>HYPERLINK("https://app.vivvix.com/360/KMI/IntelliDrive/ApplUI/Pages/CreativePages/CustomReportCreativeDetail.aspx?App=23&amp;ReportView=4&amp;Qid=1711242&amp;Row=250&amp;Col=1","Intelligent Safe and Quiet/$5,533")</f>
        <v>Intelligent Safe and Quiet/$5,533</v>
      </c>
      <c r="B258" t="s">
        <v>409</v>
      </c>
      <c r="C258" t="s">
        <v>410</v>
      </c>
      <c r="D258" t="s">
        <v>292</v>
      </c>
      <c r="E258" t="s">
        <v>15</v>
      </c>
      <c r="F258" t="s">
        <v>20</v>
      </c>
      <c r="G258" t="s">
        <v>21</v>
      </c>
      <c r="H258" s="1">
        <v>33433</v>
      </c>
    </row>
    <row r="259" spans="1:8" x14ac:dyDescent="0.25">
      <c r="A259" s="5" t="str">
        <f>HYPERLINK("https://app.vivvix.com/360/KMI/IntelliDrive/ApplUI/Pages/CreativePages/CustomReportCreativeDetail.aspx?App=23&amp;ReportView=4&amp;Qid=1711242&amp;Row=251&amp;Col=1","Irresistible from Every Angel")</f>
        <v>Irresistible from Every Angel</v>
      </c>
      <c r="B259" t="s">
        <v>411</v>
      </c>
      <c r="C259" t="s">
        <v>412</v>
      </c>
      <c r="D259" t="s">
        <v>412</v>
      </c>
      <c r="E259" t="s">
        <v>15</v>
      </c>
      <c r="F259" t="s">
        <v>16</v>
      </c>
      <c r="G259" t="s">
        <v>54</v>
      </c>
      <c r="H259" s="1">
        <v>345118</v>
      </c>
    </row>
    <row r="260" spans="1:8" x14ac:dyDescent="0.25">
      <c r="A260" s="5" t="str">
        <f>HYPERLINK("https://app.vivvix.com/360/KMI/IntelliDrive/ApplUI/Pages/CreativePages/CustomReportCreativeDetail.aspx?App=23&amp;ReportView=4&amp;Qid=1711242&amp;Row=252&amp;Col=1","Irresistible from Every Angel")</f>
        <v>Irresistible from Every Angel</v>
      </c>
      <c r="B260" t="s">
        <v>411</v>
      </c>
      <c r="C260" t="s">
        <v>412</v>
      </c>
      <c r="D260" t="s">
        <v>412</v>
      </c>
      <c r="E260" t="s">
        <v>15</v>
      </c>
      <c r="F260" t="s">
        <v>16</v>
      </c>
      <c r="G260" t="s">
        <v>54</v>
      </c>
      <c r="H260" s="1">
        <v>1066092</v>
      </c>
    </row>
    <row r="261" spans="1:8" x14ac:dyDescent="0.25">
      <c r="A261" s="5" t="str">
        <f>HYPERLINK("https://app.vivvix.com/360/KMI/IntelliDrive/ApplUI/Pages/CreativePages/CustomReportCreativeDetail.aspx?App=23&amp;ReportView=4&amp;Qid=1711242&amp;Row=253&amp;Col=1","Irresistible from Every Angel")</f>
        <v>Irresistible from Every Angel</v>
      </c>
      <c r="B261" t="s">
        <v>411</v>
      </c>
      <c r="C261" t="s">
        <v>412</v>
      </c>
      <c r="D261" t="s">
        <v>412</v>
      </c>
      <c r="E261" t="s">
        <v>15</v>
      </c>
      <c r="F261" t="s">
        <v>16</v>
      </c>
      <c r="G261" t="s">
        <v>54</v>
      </c>
      <c r="H261" s="1">
        <v>470750</v>
      </c>
    </row>
    <row r="262" spans="1:8" x14ac:dyDescent="0.25">
      <c r="A262" s="5" t="str">
        <f>HYPERLINK("https://app.vivvix.com/360/KMI/IntelliDrive/ApplUI/Pages/CreativePages/CustomReportCreativeDetail.aspx?App=23&amp;ReportView=4&amp;Qid=1711242&amp;Row=254&amp;Col=1","Irresistible from Every Angel")</f>
        <v>Irresistible from Every Angel</v>
      </c>
      <c r="B262" t="s">
        <v>413</v>
      </c>
      <c r="C262" t="s">
        <v>414</v>
      </c>
      <c r="D262" t="s">
        <v>116</v>
      </c>
      <c r="E262" t="s">
        <v>15</v>
      </c>
      <c r="F262" t="s">
        <v>16</v>
      </c>
      <c r="G262" t="s">
        <v>54</v>
      </c>
      <c r="H262" s="1">
        <v>2469673</v>
      </c>
    </row>
    <row r="263" spans="1:8" x14ac:dyDescent="0.25">
      <c r="A263" s="5" t="str">
        <f>HYPERLINK("https://app.vivvix.com/360/KMI/IntelliDrive/ApplUI/Pages/CreativePages/CustomReportCreativeDetail.aspx?App=23&amp;ReportView=4&amp;Qid=1711242&amp;Row=255&amp;Col=1","Made For All of You/1.9%, $1,750, 90")</f>
        <v>Made For All of You/1.9%, $1,750, 90</v>
      </c>
      <c r="B263" t="s">
        <v>415</v>
      </c>
      <c r="C263" t="s">
        <v>416</v>
      </c>
      <c r="D263" t="s">
        <v>416</v>
      </c>
      <c r="E263" t="s">
        <v>15</v>
      </c>
      <c r="F263" t="s">
        <v>20</v>
      </c>
      <c r="G263" t="s">
        <v>31</v>
      </c>
      <c r="H263" s="1">
        <v>78077</v>
      </c>
    </row>
    <row r="264" spans="1:8" x14ac:dyDescent="0.25">
      <c r="A264" s="5" t="str">
        <f>HYPERLINK("https://app.vivvix.com/360/KMI/IntelliDrive/ApplUI/Pages/CreativePages/CustomReportCreativeDetail.aspx?App=23&amp;ReportView=4&amp;Qid=1711242&amp;Row=256&amp;Col=1","Made For All of You/1.9%, $3,500")</f>
        <v>Made For All of You/1.9%, $3,500</v>
      </c>
      <c r="B264" t="s">
        <v>417</v>
      </c>
      <c r="C264" t="s">
        <v>418</v>
      </c>
      <c r="D264" t="s">
        <v>416</v>
      </c>
      <c r="E264" t="s">
        <v>15</v>
      </c>
      <c r="F264" t="s">
        <v>20</v>
      </c>
      <c r="G264" t="s">
        <v>31</v>
      </c>
      <c r="H264" s="1">
        <v>52783</v>
      </c>
    </row>
    <row r="265" spans="1:8" x14ac:dyDescent="0.25">
      <c r="A265" s="5" t="str">
        <f>HYPERLINK("https://app.vivvix.com/360/KMI/IntelliDrive/ApplUI/Pages/CreativePages/CustomReportCreativeDetail.aspx?App=23&amp;ReportView=4&amp;Qid=1711242&amp;Row=257&amp;Col=1","Made For Everyone/$2,750, $750, 36 Months")</f>
        <v>Made For Everyone/$2,750, $750, 36 Months</v>
      </c>
      <c r="B265" t="s">
        <v>419</v>
      </c>
      <c r="C265" t="s">
        <v>420</v>
      </c>
      <c r="D265" t="s">
        <v>416</v>
      </c>
      <c r="E265" t="s">
        <v>15</v>
      </c>
      <c r="F265" t="s">
        <v>20</v>
      </c>
      <c r="G265" t="s">
        <v>31</v>
      </c>
      <c r="H265" s="1">
        <v>7531</v>
      </c>
    </row>
    <row r="266" spans="1:8" x14ac:dyDescent="0.25">
      <c r="A266" s="5" t="str">
        <f>HYPERLINK("https://app.vivvix.com/360/KMI/IntelliDrive/ApplUI/Pages/CreativePages/CustomReportCreativeDetail.aspx?App=23&amp;ReportView=4&amp;Qid=1711242&amp;Row=258&amp;Col=1","Made For Everyone/0.9%, $3,500")</f>
        <v>Made For Everyone/0.9%, $3,500</v>
      </c>
      <c r="B266" t="s">
        <v>421</v>
      </c>
      <c r="C266" t="s">
        <v>422</v>
      </c>
      <c r="D266" t="s">
        <v>416</v>
      </c>
      <c r="E266" t="s">
        <v>15</v>
      </c>
      <c r="F266" t="s">
        <v>20</v>
      </c>
      <c r="G266" t="s">
        <v>31</v>
      </c>
      <c r="H266" s="1">
        <v>50366</v>
      </c>
    </row>
    <row r="267" spans="1:8" x14ac:dyDescent="0.25">
      <c r="A267" s="5" t="str">
        <f>HYPERLINK("https://app.vivvix.com/360/KMI/IntelliDrive/ApplUI/Pages/CreativePages/CustomReportCreativeDetail.aspx?App=23&amp;ReportView=4&amp;Qid=1711242&amp;Row=259&amp;Col=1","Made For Everyone/0.9%, $3,500")</f>
        <v>Made For Everyone/0.9%, $3,500</v>
      </c>
      <c r="B267" t="s">
        <v>421</v>
      </c>
      <c r="C267" t="s">
        <v>422</v>
      </c>
      <c r="D267" t="s">
        <v>416</v>
      </c>
      <c r="E267" t="s">
        <v>15</v>
      </c>
      <c r="F267" t="s">
        <v>20</v>
      </c>
      <c r="G267" t="s">
        <v>31</v>
      </c>
      <c r="H267" s="1">
        <v>5557</v>
      </c>
    </row>
    <row r="268" spans="1:8" x14ac:dyDescent="0.25">
      <c r="A268" s="5" t="str">
        <f>HYPERLINK("https://app.vivvix.com/360/KMI/IntelliDrive/ApplUI/Pages/CreativePages/CustomReportCreativeDetail.aspx?App=23&amp;ReportView=4&amp;Qid=1711242&amp;Row=260&amp;Col=1","Made For Everyone/0.9%, $3,500, No Monthly Payment")</f>
        <v>Made For Everyone/0.9%, $3,500, No Monthly Payment</v>
      </c>
      <c r="B268" t="s">
        <v>423</v>
      </c>
      <c r="C268" t="s">
        <v>424</v>
      </c>
      <c r="D268" t="s">
        <v>416</v>
      </c>
      <c r="E268" t="s">
        <v>15</v>
      </c>
      <c r="F268" t="s">
        <v>20</v>
      </c>
      <c r="G268" t="s">
        <v>31</v>
      </c>
      <c r="H268" s="1">
        <v>1334</v>
      </c>
    </row>
    <row r="269" spans="1:8" x14ac:dyDescent="0.25">
      <c r="A269" s="5" t="str">
        <f>HYPERLINK("https://app.vivvix.com/360/KMI/IntelliDrive/ApplUI/Pages/CreativePages/CustomReportCreativeDetail.aspx?App=23&amp;ReportView=4&amp;Qid=1711242&amp;Row=261&amp;Col=1","Made For Everyone/1.9%, $2,750, $750, MSRP")</f>
        <v>Made For Everyone/1.9%, $2,750, $750, MSRP</v>
      </c>
      <c r="B269" t="s">
        <v>425</v>
      </c>
      <c r="C269" t="s">
        <v>426</v>
      </c>
      <c r="D269" t="s">
        <v>416</v>
      </c>
      <c r="E269" t="s">
        <v>15</v>
      </c>
      <c r="F269" t="s">
        <v>20</v>
      </c>
      <c r="G269" t="s">
        <v>31</v>
      </c>
      <c r="H269" s="1">
        <v>10511</v>
      </c>
    </row>
    <row r="270" spans="1:8" x14ac:dyDescent="0.25">
      <c r="A270" s="5" t="str">
        <f>HYPERLINK("https://app.vivvix.com/360/KMI/IntelliDrive/ApplUI/Pages/CreativePages/CustomReportCreativeDetail.aspx?App=23&amp;ReportView=4&amp;Qid=1711242&amp;Row=262&amp;Col=1","Made For Everyone/1.9%, $2,750, 90 Days")</f>
        <v>Made For Everyone/1.9%, $2,750, 90 Days</v>
      </c>
      <c r="B270" t="s">
        <v>427</v>
      </c>
      <c r="C270" t="s">
        <v>428</v>
      </c>
      <c r="D270" t="s">
        <v>416</v>
      </c>
      <c r="E270" t="s">
        <v>15</v>
      </c>
      <c r="F270" t="s">
        <v>20</v>
      </c>
      <c r="G270" t="s">
        <v>31</v>
      </c>
      <c r="H270" s="1">
        <v>68</v>
      </c>
    </row>
    <row r="271" spans="1:8" x14ac:dyDescent="0.25">
      <c r="A271" s="5" t="str">
        <f>HYPERLINK("https://app.vivvix.com/360/KMI/IntelliDrive/ApplUI/Pages/CreativePages/CustomReportCreativeDetail.aspx?App=23&amp;ReportView=4&amp;Qid=1711242&amp;Row=263&amp;Col=1","Made For Everyone/1.9%, $3,500")</f>
        <v>Made For Everyone/1.9%, $3,500</v>
      </c>
      <c r="B271" t="s">
        <v>429</v>
      </c>
      <c r="C271" t="s">
        <v>418</v>
      </c>
      <c r="D271" t="s">
        <v>416</v>
      </c>
      <c r="E271" t="s">
        <v>15</v>
      </c>
      <c r="F271" t="s">
        <v>20</v>
      </c>
      <c r="G271" t="s">
        <v>31</v>
      </c>
      <c r="H271" s="1">
        <v>47194</v>
      </c>
    </row>
    <row r="272" spans="1:8" x14ac:dyDescent="0.25">
      <c r="A272" s="5" t="str">
        <f>HYPERLINK("https://app.vivvix.com/360/KMI/IntelliDrive/ApplUI/Pages/CreativePages/CustomReportCreativeDetail.aspx?App=23&amp;ReportView=4&amp;Qid=1711242&amp;Row=264&amp;Col=1","Made For Everyone/1.9%, $3,500")</f>
        <v>Made For Everyone/1.9%, $3,500</v>
      </c>
      <c r="B272" t="s">
        <v>430</v>
      </c>
      <c r="C272" t="s">
        <v>418</v>
      </c>
      <c r="D272" t="s">
        <v>416</v>
      </c>
      <c r="E272" t="s">
        <v>15</v>
      </c>
      <c r="F272" t="s">
        <v>20</v>
      </c>
      <c r="G272" t="s">
        <v>31</v>
      </c>
      <c r="H272" s="1">
        <v>247256</v>
      </c>
    </row>
    <row r="273" spans="1:8" x14ac:dyDescent="0.25">
      <c r="A273" s="5" t="str">
        <f>HYPERLINK("https://app.vivvix.com/360/KMI/IntelliDrive/ApplUI/Pages/CreativePages/CustomReportCreativeDetail.aspx?App=23&amp;ReportView=4&amp;Qid=1711242&amp;Row=265&amp;Col=1","Made For Everyone/1.9%, $3,500")</f>
        <v>Made For Everyone/1.9%, $3,500</v>
      </c>
      <c r="B273" t="s">
        <v>430</v>
      </c>
      <c r="C273" t="s">
        <v>418</v>
      </c>
      <c r="D273" t="s">
        <v>416</v>
      </c>
      <c r="E273" t="s">
        <v>15</v>
      </c>
      <c r="F273" t="s">
        <v>20</v>
      </c>
      <c r="G273" t="s">
        <v>31</v>
      </c>
      <c r="H273" s="1">
        <v>48800</v>
      </c>
    </row>
    <row r="274" spans="1:8" x14ac:dyDescent="0.25">
      <c r="A274" s="5" t="str">
        <f>HYPERLINK("https://app.vivvix.com/360/KMI/IntelliDrive/ApplUI/Pages/CreativePages/CustomReportCreativeDetail.aspx?App=23&amp;ReportView=4&amp;Qid=1711242&amp;Row=266&amp;Col=1","Made For Everyone/1.9%, $3,500")</f>
        <v>Made For Everyone/1.9%, $3,500</v>
      </c>
      <c r="B274" t="s">
        <v>430</v>
      </c>
      <c r="C274" t="s">
        <v>418</v>
      </c>
      <c r="D274" t="s">
        <v>416</v>
      </c>
      <c r="E274" t="s">
        <v>15</v>
      </c>
      <c r="F274" t="s">
        <v>20</v>
      </c>
      <c r="G274" t="s">
        <v>31</v>
      </c>
      <c r="H274" s="1">
        <v>25389</v>
      </c>
    </row>
    <row r="275" spans="1:8" x14ac:dyDescent="0.25">
      <c r="A275" s="5" t="str">
        <f>HYPERLINK("https://app.vivvix.com/360/KMI/IntelliDrive/ApplUI/Pages/CreativePages/CustomReportCreativeDetail.aspx?App=23&amp;ReportView=4&amp;Qid=1711242&amp;Row=267&amp;Col=1","Made For Everyone/1.9%, $3,500")</f>
        <v>Made For Everyone/1.9%, $3,500</v>
      </c>
      <c r="B275" t="s">
        <v>431</v>
      </c>
      <c r="C275" t="s">
        <v>418</v>
      </c>
      <c r="D275" t="s">
        <v>416</v>
      </c>
      <c r="E275" t="s">
        <v>15</v>
      </c>
      <c r="F275" t="s">
        <v>20</v>
      </c>
      <c r="G275" t="s">
        <v>31</v>
      </c>
      <c r="H275" s="1">
        <v>12474</v>
      </c>
    </row>
    <row r="276" spans="1:8" x14ac:dyDescent="0.25">
      <c r="A276" s="5" t="str">
        <f>HYPERLINK("https://app.vivvix.com/360/KMI/IntelliDrive/ApplUI/Pages/CreativePages/CustomReportCreativeDetail.aspx?App=23&amp;ReportView=4&amp;Qid=1711242&amp;Row=268&amp;Col=1","Made For Everyone/1.9%, $3,500")</f>
        <v>Made For Everyone/1.9%, $3,500</v>
      </c>
      <c r="B276" t="s">
        <v>431</v>
      </c>
      <c r="C276" t="s">
        <v>418</v>
      </c>
      <c r="D276" t="s">
        <v>416</v>
      </c>
      <c r="E276" t="s">
        <v>15</v>
      </c>
      <c r="F276" t="s">
        <v>20</v>
      </c>
      <c r="G276" t="s">
        <v>31</v>
      </c>
      <c r="H276" s="1">
        <v>21212</v>
      </c>
    </row>
    <row r="277" spans="1:8" x14ac:dyDescent="0.25">
      <c r="A277" s="5" t="str">
        <f>HYPERLINK("https://app.vivvix.com/360/KMI/IntelliDrive/ApplUI/Pages/CreativePages/CustomReportCreativeDetail.aspx?App=23&amp;ReportView=4&amp;Qid=1711242&amp;Row=269&amp;Col=1","Made For Everyone/1.9%, $3,500")</f>
        <v>Made For Everyone/1.9%, $3,500</v>
      </c>
      <c r="B277" t="s">
        <v>431</v>
      </c>
      <c r="C277" t="s">
        <v>418</v>
      </c>
      <c r="D277" t="s">
        <v>416</v>
      </c>
      <c r="E277" t="s">
        <v>15</v>
      </c>
      <c r="F277" t="s">
        <v>20</v>
      </c>
      <c r="G277" t="s">
        <v>31</v>
      </c>
      <c r="H277" s="1">
        <v>12572</v>
      </c>
    </row>
    <row r="278" spans="1:8" x14ac:dyDescent="0.25">
      <c r="A278" s="5" t="str">
        <f>HYPERLINK("https://app.vivvix.com/360/KMI/IntelliDrive/ApplUI/Pages/CreativePages/CustomReportCreativeDetail.aspx?App=23&amp;ReportView=4&amp;Qid=1711242&amp;Row=270&amp;Col=1","Make Life Easier/$179")</f>
        <v>Make Life Easier/$179</v>
      </c>
      <c r="B278" t="s">
        <v>432</v>
      </c>
      <c r="C278" t="s">
        <v>433</v>
      </c>
      <c r="D278" t="s">
        <v>434</v>
      </c>
      <c r="E278" t="s">
        <v>15</v>
      </c>
      <c r="F278" t="s">
        <v>50</v>
      </c>
      <c r="G278" t="s">
        <v>76</v>
      </c>
      <c r="H278" s="1">
        <v>20018</v>
      </c>
    </row>
    <row r="279" spans="1:8" x14ac:dyDescent="0.25">
      <c r="A279" s="5" t="str">
        <f>HYPERLINK("https://app.vivvix.com/360/KMI/IntelliDrive/ApplUI/Pages/CreativePages/CustomReportCreativeDetail.aspx?App=23&amp;ReportView=4&amp;Qid=1711242&amp;Row=271&amp;Col=1","Make Life Easier/$189")</f>
        <v>Make Life Easier/$189</v>
      </c>
      <c r="B279" t="s">
        <v>435</v>
      </c>
      <c r="C279" t="s">
        <v>436</v>
      </c>
      <c r="D279" t="s">
        <v>434</v>
      </c>
      <c r="E279" t="s">
        <v>15</v>
      </c>
      <c r="F279" t="s">
        <v>50</v>
      </c>
      <c r="G279" t="s">
        <v>76</v>
      </c>
      <c r="H279" s="1">
        <v>326</v>
      </c>
    </row>
    <row r="280" spans="1:8" x14ac:dyDescent="0.25">
      <c r="A280" s="5" t="str">
        <f>HYPERLINK("https://app.vivvix.com/360/KMI/IntelliDrive/ApplUI/Pages/CreativePages/CustomReportCreativeDetail.aspx?App=23&amp;ReportView=4&amp;Qid=1711242&amp;Row=272&amp;Col=1","Make Life Easier/$199, $3,949")</f>
        <v>Make Life Easier/$199, $3,949</v>
      </c>
      <c r="B280" t="s">
        <v>437</v>
      </c>
      <c r="C280" t="s">
        <v>438</v>
      </c>
      <c r="D280" t="s">
        <v>434</v>
      </c>
      <c r="E280" t="s">
        <v>15</v>
      </c>
      <c r="F280" t="s">
        <v>50</v>
      </c>
      <c r="G280" t="s">
        <v>76</v>
      </c>
      <c r="H280" s="1">
        <v>127</v>
      </c>
    </row>
    <row r="281" spans="1:8" x14ac:dyDescent="0.25">
      <c r="A281" s="5" t="str">
        <f>HYPERLINK("https://app.vivvix.com/360/KMI/IntelliDrive/ApplUI/Pages/CreativePages/CustomReportCreativeDetail.aspx?App=23&amp;ReportView=4&amp;Qid=1711242&amp;Row=273&amp;Col=1","Make Life Easier/$199, $3,969")</f>
        <v>Make Life Easier/$199, $3,969</v>
      </c>
      <c r="B281" t="s">
        <v>439</v>
      </c>
      <c r="C281" t="s">
        <v>440</v>
      </c>
      <c r="D281" t="s">
        <v>434</v>
      </c>
      <c r="E281" t="s">
        <v>15</v>
      </c>
      <c r="F281" t="s">
        <v>50</v>
      </c>
      <c r="G281" t="s">
        <v>76</v>
      </c>
      <c r="H281" s="1">
        <v>131875</v>
      </c>
    </row>
    <row r="282" spans="1:8" x14ac:dyDescent="0.25">
      <c r="A282" s="5" t="str">
        <f>HYPERLINK("https://app.vivvix.com/360/KMI/IntelliDrive/ApplUI/Pages/CreativePages/CustomReportCreativeDetail.aspx?App=23&amp;ReportView=4&amp;Qid=1711242&amp;Row=274&amp;Col=1","Make Life Easier/$299")</f>
        <v>Make Life Easier/$299</v>
      </c>
      <c r="B282" t="s">
        <v>441</v>
      </c>
      <c r="C282" t="s">
        <v>442</v>
      </c>
      <c r="D282" t="s">
        <v>434</v>
      </c>
      <c r="E282" t="s">
        <v>15</v>
      </c>
      <c r="F282" t="s">
        <v>50</v>
      </c>
      <c r="G282" t="s">
        <v>76</v>
      </c>
      <c r="H282" s="1">
        <v>3694</v>
      </c>
    </row>
    <row r="283" spans="1:8" x14ac:dyDescent="0.25">
      <c r="A283" s="5" t="str">
        <f>HYPERLINK("https://app.vivvix.com/360/KMI/IntelliDrive/ApplUI/Pages/CreativePages/CustomReportCreativeDetail.aspx?App=23&amp;ReportView=4&amp;Qid=1711242&amp;Row=275&amp;Col=1","Make Life Easier/3,819, $309")</f>
        <v>Make Life Easier/3,819, $309</v>
      </c>
      <c r="B283" t="s">
        <v>443</v>
      </c>
      <c r="C283" t="s">
        <v>444</v>
      </c>
      <c r="D283" t="s">
        <v>434</v>
      </c>
      <c r="E283" t="s">
        <v>15</v>
      </c>
      <c r="F283" t="s">
        <v>50</v>
      </c>
      <c r="G283" t="s">
        <v>76</v>
      </c>
      <c r="H283" s="1">
        <v>148</v>
      </c>
    </row>
    <row r="284" spans="1:8" hidden="1" x14ac:dyDescent="0.25">
      <c r="A284" s="5" t="str">
        <f>HYPERLINK("https://app.vivvix.com/360/KMI/IntelliDrive/ApplUI/Pages/CreativePages/CustomReportCreativeDetail.aspx?App=23&amp;ReportView=4&amp;Qid=1711242&amp;Row=276&amp;Col=1","makes live a piece of cake")</f>
        <v>makes live a piece of cake</v>
      </c>
      <c r="B284" t="s">
        <v>445</v>
      </c>
      <c r="C284" t="s">
        <v>446</v>
      </c>
      <c r="D284" t="s">
        <v>446</v>
      </c>
      <c r="E284" t="s">
        <v>15</v>
      </c>
      <c r="F284" t="s">
        <v>50</v>
      </c>
      <c r="G284" t="s">
        <v>51</v>
      </c>
      <c r="H284" s="1">
        <v>2282.1779999999999</v>
      </c>
    </row>
    <row r="285" spans="1:8" hidden="1" x14ac:dyDescent="0.25">
      <c r="A285" s="5" t="str">
        <f>HYPERLINK("https://app.vivvix.com/360/KMI/IntelliDrive/ApplUI/Pages/CreativePages/CustomReportCreativeDetail.aspx?App=23&amp;ReportView=4&amp;Qid=1711242&amp;Row=277&amp;Col=1","NO MONTHLY PAYMENTS FOR 90 DAYS")</f>
        <v>NO MONTHLY PAYMENTS FOR 90 DAYS</v>
      </c>
      <c r="B285" t="s">
        <v>447</v>
      </c>
      <c r="C285" t="s">
        <v>448</v>
      </c>
      <c r="D285" t="s">
        <v>448</v>
      </c>
      <c r="E285" t="s">
        <v>15</v>
      </c>
      <c r="F285" t="s">
        <v>60</v>
      </c>
      <c r="G285" t="s">
        <v>61</v>
      </c>
      <c r="H285" s="1">
        <v>4286.1779999999999</v>
      </c>
    </row>
    <row r="286" spans="1:8" hidden="1" x14ac:dyDescent="0.25">
      <c r="A286" s="5" t="str">
        <f>HYPERLINK("https://app.vivvix.com/360/KMI/IntelliDrive/ApplUI/Pages/CreativePages/CustomReportCreativeDetail.aspx?App=23&amp;ReportView=4&amp;Qid=1711242&amp;Row=278&amp;Col=1","NO MONTHLY PAYMENTS FOR 90 DAYS")</f>
        <v>NO MONTHLY PAYMENTS FOR 90 DAYS</v>
      </c>
      <c r="B286" t="s">
        <v>447</v>
      </c>
      <c r="E286" t="s">
        <v>15</v>
      </c>
      <c r="F286" t="s">
        <v>60</v>
      </c>
      <c r="G286" t="s">
        <v>61</v>
      </c>
      <c r="H286" s="1">
        <v>35204.139000000003</v>
      </c>
    </row>
    <row r="287" spans="1:8" hidden="1" x14ac:dyDescent="0.25">
      <c r="A287" s="5" t="str">
        <f>HYPERLINK("https://app.vivvix.com/360/KMI/IntelliDrive/ApplUI/Pages/CreativePages/CustomReportCreativeDetail.aspx?App=23&amp;ReportView=4&amp;Qid=1711242&amp;Row=279&amp;Col=1","no monthly payments until next year")</f>
        <v>no monthly payments until next year</v>
      </c>
      <c r="B287" t="s">
        <v>449</v>
      </c>
      <c r="E287" t="s">
        <v>15</v>
      </c>
      <c r="F287" t="s">
        <v>20</v>
      </c>
      <c r="G287" t="s">
        <v>31</v>
      </c>
      <c r="H287" s="1">
        <v>161078.18799999999</v>
      </c>
    </row>
    <row r="288" spans="1:8" hidden="1" x14ac:dyDescent="0.25">
      <c r="A288" s="5" t="str">
        <f>HYPERLINK("https://app.vivvix.com/360/KMI/IntelliDrive/ApplUI/Pages/CreativePages/CustomReportCreativeDetail.aspx?App=23&amp;ReportView=4&amp;Qid=1711242&amp;Row=280&amp;Col=1","No Title Assigned - #15217535943")</f>
        <v>No Title Assigned - #15217535943</v>
      </c>
      <c r="B288" t="s">
        <v>450</v>
      </c>
      <c r="C288" t="s">
        <v>451</v>
      </c>
      <c r="D288" t="s">
        <v>451</v>
      </c>
      <c r="E288" t="s">
        <v>15</v>
      </c>
      <c r="F288" t="s">
        <v>133</v>
      </c>
      <c r="G288" t="s">
        <v>134</v>
      </c>
      <c r="H288" s="1">
        <v>573.24599999999998</v>
      </c>
    </row>
    <row r="289" spans="1:8" hidden="1" x14ac:dyDescent="0.25">
      <c r="A289" s="5" t="str">
        <f>HYPERLINK("https://app.vivvix.com/360/KMI/IntelliDrive/ApplUI/Pages/CreativePages/CustomReportCreativeDetail.aspx?App=23&amp;ReportView=4&amp;Qid=1711242&amp;Row=281&amp;Col=1","No Title Assigned - #15223358455")</f>
        <v>No Title Assigned - #15223358455</v>
      </c>
      <c r="B289" t="s">
        <v>452</v>
      </c>
      <c r="C289" t="s">
        <v>453</v>
      </c>
      <c r="D289" t="s">
        <v>453</v>
      </c>
      <c r="E289" t="s">
        <v>15</v>
      </c>
      <c r="F289" t="s">
        <v>15</v>
      </c>
      <c r="G289" t="s">
        <v>137</v>
      </c>
      <c r="H289" s="1">
        <v>3715.0787</v>
      </c>
    </row>
    <row r="290" spans="1:8" hidden="1" x14ac:dyDescent="0.25">
      <c r="A290" s="5" t="str">
        <f>HYPERLINK("https://app.vivvix.com/360/KMI/IntelliDrive/ApplUI/Pages/CreativePages/CustomReportCreativeDetail.aspx?App=23&amp;ReportView=4&amp;Qid=1711242&amp;Row=282&amp;Col=1","No Title Assigned - #15233228346")</f>
        <v>No Title Assigned - #15233228346</v>
      </c>
      <c r="B290" t="s">
        <v>454</v>
      </c>
      <c r="C290" t="s">
        <v>455</v>
      </c>
      <c r="D290" t="s">
        <v>455</v>
      </c>
      <c r="E290" t="s">
        <v>15</v>
      </c>
      <c r="F290" t="s">
        <v>20</v>
      </c>
      <c r="G290" t="s">
        <v>31</v>
      </c>
      <c r="H290" s="1">
        <v>28018.571499999998</v>
      </c>
    </row>
    <row r="291" spans="1:8" hidden="1" x14ac:dyDescent="0.25">
      <c r="A291" s="5" t="str">
        <f>HYPERLINK("https://app.vivvix.com/360/KMI/IntelliDrive/ApplUI/Pages/CreativePages/CustomReportCreativeDetail.aspx?App=23&amp;ReportView=4&amp;Qid=1711242&amp;Row=283&amp;Col=1","No Title Assigned - #15236412310")</f>
        <v>No Title Assigned - #15236412310</v>
      </c>
      <c r="B291" t="s">
        <v>456</v>
      </c>
      <c r="C291" t="s">
        <v>457</v>
      </c>
      <c r="D291" t="s">
        <v>457</v>
      </c>
      <c r="E291" t="s">
        <v>15</v>
      </c>
      <c r="F291" t="s">
        <v>20</v>
      </c>
      <c r="G291" t="s">
        <v>31</v>
      </c>
      <c r="H291" s="1">
        <v>1500.2971</v>
      </c>
    </row>
    <row r="292" spans="1:8" hidden="1" x14ac:dyDescent="0.25">
      <c r="A292" s="5" t="str">
        <f>HYPERLINK("https://app.vivvix.com/360/KMI/IntelliDrive/ApplUI/Pages/CreativePages/CustomReportCreativeDetail.aspx?App=23&amp;ReportView=4&amp;Qid=1711242&amp;Row=284&amp;Col=1","No Title Assigned - #15237282446")</f>
        <v>No Title Assigned - #15237282446</v>
      </c>
      <c r="B292" t="s">
        <v>458</v>
      </c>
      <c r="C292" t="s">
        <v>459</v>
      </c>
      <c r="D292" t="s">
        <v>459</v>
      </c>
      <c r="E292" t="s">
        <v>15</v>
      </c>
      <c r="F292" t="s">
        <v>20</v>
      </c>
      <c r="G292" t="s">
        <v>31</v>
      </c>
      <c r="H292" s="1">
        <v>13659.6685</v>
      </c>
    </row>
    <row r="293" spans="1:8" hidden="1" x14ac:dyDescent="0.25">
      <c r="A293" s="5" t="str">
        <f>HYPERLINK("https://app.vivvix.com/360/KMI/IntelliDrive/ApplUI/Pages/CreativePages/CustomReportCreativeDetail.aspx?App=23&amp;ReportView=4&amp;Qid=1711242&amp;Row=285&amp;Col=1","No Title Assigned - #15237486443")</f>
        <v>No Title Assigned - #15237486443</v>
      </c>
      <c r="B293" t="s">
        <v>460</v>
      </c>
      <c r="C293" t="s">
        <v>461</v>
      </c>
      <c r="D293" t="s">
        <v>461</v>
      </c>
      <c r="E293" t="s">
        <v>15</v>
      </c>
      <c r="F293" t="s">
        <v>20</v>
      </c>
      <c r="G293" t="s">
        <v>31</v>
      </c>
      <c r="H293" s="1">
        <v>637.56740000000002</v>
      </c>
    </row>
    <row r="294" spans="1:8" hidden="1" x14ac:dyDescent="0.25">
      <c r="A294" s="5" t="str">
        <f>HYPERLINK("https://app.vivvix.com/360/KMI/IntelliDrive/ApplUI/Pages/CreativePages/CustomReportCreativeDetail.aspx?App=23&amp;ReportView=4&amp;Qid=1711242&amp;Row=286&amp;Col=1","No Title Assigned - #15241457741")</f>
        <v>No Title Assigned - #15241457741</v>
      </c>
      <c r="B294" t="s">
        <v>462</v>
      </c>
      <c r="C294" t="s">
        <v>463</v>
      </c>
      <c r="D294" t="s">
        <v>463</v>
      </c>
      <c r="E294" t="s">
        <v>15</v>
      </c>
      <c r="F294" t="s">
        <v>15</v>
      </c>
      <c r="G294" t="s">
        <v>120</v>
      </c>
      <c r="H294" s="1">
        <v>1613.1205</v>
      </c>
    </row>
    <row r="295" spans="1:8" hidden="1" x14ac:dyDescent="0.25">
      <c r="A295" s="5" t="str">
        <f>HYPERLINK("https://app.vivvix.com/360/KMI/IntelliDrive/ApplUI/Pages/CreativePages/CustomReportCreativeDetail.aspx?App=23&amp;ReportView=4&amp;Qid=1711242&amp;Row=287&amp;Col=1","No Title Assigned - #15241474268")</f>
        <v>No Title Assigned - #15241474268</v>
      </c>
      <c r="B295" t="s">
        <v>464</v>
      </c>
      <c r="C295" t="s">
        <v>465</v>
      </c>
      <c r="D295" t="s">
        <v>465</v>
      </c>
      <c r="E295" t="s">
        <v>15</v>
      </c>
      <c r="F295" t="s">
        <v>20</v>
      </c>
      <c r="G295" t="s">
        <v>31</v>
      </c>
      <c r="H295" s="1">
        <v>225.96879999999999</v>
      </c>
    </row>
    <row r="296" spans="1:8" hidden="1" x14ac:dyDescent="0.25">
      <c r="A296" s="5" t="str">
        <f>HYPERLINK("https://app.vivvix.com/360/KMI/IntelliDrive/ApplUI/Pages/CreativePages/CustomReportCreativeDetail.aspx?App=23&amp;ReportView=4&amp;Qid=1711242&amp;Row=288&amp;Col=1","No Title Assigned - #15241544470")</f>
        <v>No Title Assigned - #15241544470</v>
      </c>
      <c r="B296" t="s">
        <v>466</v>
      </c>
      <c r="C296" t="s">
        <v>467</v>
      </c>
      <c r="D296" t="s">
        <v>467</v>
      </c>
      <c r="E296" t="s">
        <v>15</v>
      </c>
      <c r="F296" t="s">
        <v>20</v>
      </c>
      <c r="G296" t="s">
        <v>31</v>
      </c>
      <c r="H296" s="1">
        <v>16573.3161</v>
      </c>
    </row>
    <row r="297" spans="1:8" hidden="1" x14ac:dyDescent="0.25">
      <c r="A297" s="5" t="str">
        <f>HYPERLINK("https://app.vivvix.com/360/KMI/IntelliDrive/ApplUI/Pages/CreativePages/CustomReportCreativeDetail.aspx?App=23&amp;ReportView=4&amp;Qid=1711242&amp;Row=289&amp;Col=1","No Title Assigned - #15242270519")</f>
        <v>No Title Assigned - #15242270519</v>
      </c>
      <c r="B297" t="s">
        <v>468</v>
      </c>
      <c r="C297" t="s">
        <v>469</v>
      </c>
      <c r="D297" t="s">
        <v>469</v>
      </c>
      <c r="E297" t="s">
        <v>15</v>
      </c>
      <c r="F297" t="s">
        <v>20</v>
      </c>
      <c r="G297" t="s">
        <v>31</v>
      </c>
      <c r="H297" s="1">
        <v>476569.9375</v>
      </c>
    </row>
    <row r="298" spans="1:8" hidden="1" x14ac:dyDescent="0.25">
      <c r="A298" s="5" t="str">
        <f>HYPERLINK("https://app.vivvix.com/360/KMI/IntelliDrive/ApplUI/Pages/CreativePages/CustomReportCreativeDetail.aspx?App=23&amp;ReportView=4&amp;Qid=1711242&amp;Row=290&amp;Col=1","No Title Assigned - #15243000771")</f>
        <v>No Title Assigned - #15243000771</v>
      </c>
      <c r="B298" t="s">
        <v>470</v>
      </c>
      <c r="C298" t="s">
        <v>471</v>
      </c>
      <c r="D298" t="s">
        <v>471</v>
      </c>
      <c r="E298" t="s">
        <v>15</v>
      </c>
      <c r="F298" t="s">
        <v>20</v>
      </c>
      <c r="G298" t="s">
        <v>31</v>
      </c>
      <c r="H298" s="1">
        <v>34124.802300000003</v>
      </c>
    </row>
    <row r="299" spans="1:8" hidden="1" x14ac:dyDescent="0.25">
      <c r="A299" s="5" t="str">
        <f>HYPERLINK("https://app.vivvix.com/360/KMI/IntelliDrive/ApplUI/Pages/CreativePages/CustomReportCreativeDetail.aspx?App=23&amp;ReportView=4&amp;Qid=1711242&amp;Row=291&amp;Col=1","No Title Assigned - #15243730796")</f>
        <v>No Title Assigned - #15243730796</v>
      </c>
      <c r="B299" t="s">
        <v>472</v>
      </c>
      <c r="C299" t="s">
        <v>473</v>
      </c>
      <c r="D299" t="s">
        <v>473</v>
      </c>
      <c r="E299" t="s">
        <v>15</v>
      </c>
      <c r="F299" t="s">
        <v>133</v>
      </c>
      <c r="G299" t="s">
        <v>187</v>
      </c>
      <c r="H299" s="1">
        <v>2788.8146999999999</v>
      </c>
    </row>
    <row r="300" spans="1:8" hidden="1" x14ac:dyDescent="0.25">
      <c r="A300" s="5" t="str">
        <f>HYPERLINK("https://app.vivvix.com/360/KMI/IntelliDrive/ApplUI/Pages/CreativePages/CustomReportCreativeDetail.aspx?App=23&amp;ReportView=4&amp;Qid=1711242&amp;Row=292&amp;Col=1","No Title Assigned - #15244400321")</f>
        <v>No Title Assigned - #15244400321</v>
      </c>
      <c r="B300" t="s">
        <v>474</v>
      </c>
      <c r="C300" t="s">
        <v>475</v>
      </c>
      <c r="D300" t="s">
        <v>475</v>
      </c>
      <c r="E300" t="s">
        <v>15</v>
      </c>
      <c r="F300" t="s">
        <v>20</v>
      </c>
      <c r="G300" t="s">
        <v>31</v>
      </c>
      <c r="H300" s="1">
        <v>37972.017999999996</v>
      </c>
    </row>
    <row r="301" spans="1:8" hidden="1" x14ac:dyDescent="0.25">
      <c r="A301" s="5" t="str">
        <f>HYPERLINK("https://app.vivvix.com/360/KMI/IntelliDrive/ApplUI/Pages/CreativePages/CustomReportCreativeDetail.aspx?App=23&amp;ReportView=4&amp;Qid=1711242&amp;Row=293&amp;Col=1","No Title Assigned - #15245382772")</f>
        <v>No Title Assigned - #15245382772</v>
      </c>
      <c r="B301" t="s">
        <v>476</v>
      </c>
      <c r="C301" t="s">
        <v>465</v>
      </c>
      <c r="D301" t="s">
        <v>465</v>
      </c>
      <c r="E301" t="s">
        <v>15</v>
      </c>
      <c r="F301" t="s">
        <v>20</v>
      </c>
      <c r="G301" t="s">
        <v>31</v>
      </c>
      <c r="H301" s="1">
        <v>5009.7520999999997</v>
      </c>
    </row>
    <row r="302" spans="1:8" hidden="1" x14ac:dyDescent="0.25">
      <c r="A302" s="5" t="str">
        <f>HYPERLINK("https://app.vivvix.com/360/KMI/IntelliDrive/ApplUI/Pages/CreativePages/CustomReportCreativeDetail.aspx?App=23&amp;ReportView=4&amp;Qid=1711242&amp;Row=294&amp;Col=1","No Title Assigned - #15245675693")</f>
        <v>No Title Assigned - #15245675693</v>
      </c>
      <c r="B302" t="s">
        <v>477</v>
      </c>
      <c r="C302" t="s">
        <v>478</v>
      </c>
      <c r="D302" t="s">
        <v>478</v>
      </c>
      <c r="E302" t="s">
        <v>15</v>
      </c>
      <c r="F302" t="s">
        <v>20</v>
      </c>
      <c r="G302" t="s">
        <v>31</v>
      </c>
      <c r="H302" s="1">
        <v>1455.8647000000001</v>
      </c>
    </row>
    <row r="303" spans="1:8" hidden="1" x14ac:dyDescent="0.25">
      <c r="A303" s="5" t="str">
        <f>HYPERLINK("https://app.vivvix.com/360/KMI/IntelliDrive/ApplUI/Pages/CreativePages/CustomReportCreativeDetail.aspx?App=23&amp;ReportView=4&amp;Qid=1711242&amp;Row=295&amp;Col=1","No Title Assigned - #15247496714")</f>
        <v>No Title Assigned - #15247496714</v>
      </c>
      <c r="B303" t="s">
        <v>479</v>
      </c>
      <c r="C303" t="s">
        <v>480</v>
      </c>
      <c r="D303" t="s">
        <v>480</v>
      </c>
      <c r="E303" t="s">
        <v>15</v>
      </c>
      <c r="F303" t="s">
        <v>15</v>
      </c>
      <c r="G303" t="s">
        <v>120</v>
      </c>
      <c r="H303" s="1">
        <v>820.98400000000004</v>
      </c>
    </row>
    <row r="304" spans="1:8" hidden="1" x14ac:dyDescent="0.25">
      <c r="A304" s="5" t="str">
        <f>HYPERLINK("https://app.vivvix.com/360/KMI/IntelliDrive/ApplUI/Pages/CreativePages/CustomReportCreativeDetail.aspx?App=23&amp;ReportView=4&amp;Qid=1711242&amp;Row=296&amp;Col=1","No Title Assigned - #15247976720")</f>
        <v>No Title Assigned - #15247976720</v>
      </c>
      <c r="B304" t="s">
        <v>481</v>
      </c>
      <c r="C304" t="s">
        <v>478</v>
      </c>
      <c r="D304" t="s">
        <v>478</v>
      </c>
      <c r="E304" t="s">
        <v>15</v>
      </c>
      <c r="F304" t="s">
        <v>20</v>
      </c>
      <c r="G304" t="s">
        <v>31</v>
      </c>
      <c r="H304" s="1">
        <v>603.90319999999997</v>
      </c>
    </row>
    <row r="305" spans="1:8" hidden="1" x14ac:dyDescent="0.25">
      <c r="A305" s="5" t="str">
        <f>HYPERLINK("https://app.vivvix.com/360/KMI/IntelliDrive/ApplUI/Pages/CreativePages/CustomReportCreativeDetail.aspx?App=23&amp;ReportView=4&amp;Qid=1711242&amp;Row=297&amp;Col=1","No Title Assigned - #15250352063")</f>
        <v>No Title Assigned - #15250352063</v>
      </c>
      <c r="B305" t="s">
        <v>482</v>
      </c>
      <c r="C305" t="s">
        <v>483</v>
      </c>
      <c r="D305" t="s">
        <v>483</v>
      </c>
      <c r="E305" t="s">
        <v>15</v>
      </c>
      <c r="F305" t="s">
        <v>133</v>
      </c>
      <c r="G305" t="s">
        <v>187</v>
      </c>
      <c r="H305" s="1">
        <v>10228.182000000001</v>
      </c>
    </row>
    <row r="306" spans="1:8" hidden="1" x14ac:dyDescent="0.25">
      <c r="A306" s="5" t="str">
        <f>HYPERLINK("https://app.vivvix.com/360/KMI/IntelliDrive/ApplUI/Pages/CreativePages/CustomReportCreativeDetail.aspx?App=23&amp;ReportView=4&amp;Qid=1711242&amp;Row=298&amp;Col=1","No Title Assigned - #15250891655")</f>
        <v>No Title Assigned - #15250891655</v>
      </c>
      <c r="B306" t="s">
        <v>484</v>
      </c>
      <c r="C306" t="s">
        <v>485</v>
      </c>
      <c r="D306" t="s">
        <v>485</v>
      </c>
      <c r="E306" t="s">
        <v>15</v>
      </c>
      <c r="F306" t="s">
        <v>181</v>
      </c>
      <c r="G306" t="s">
        <v>182</v>
      </c>
      <c r="H306" s="1">
        <v>455.37369999999999</v>
      </c>
    </row>
    <row r="307" spans="1:8" hidden="1" x14ac:dyDescent="0.25">
      <c r="A307" s="5" t="str">
        <f>HYPERLINK("https://app.vivvix.com/360/KMI/IntelliDrive/ApplUI/Pages/CreativePages/CustomReportCreativeDetail.aspx?App=23&amp;ReportView=4&amp;Qid=1711242&amp;Row=299&amp;Col=1","No Title Assigned - #15250935587")</f>
        <v>No Title Assigned - #15250935587</v>
      </c>
      <c r="B307" t="s">
        <v>486</v>
      </c>
      <c r="E307" t="s">
        <v>15</v>
      </c>
      <c r="F307" t="s">
        <v>20</v>
      </c>
      <c r="G307" t="s">
        <v>31</v>
      </c>
      <c r="H307" s="1">
        <v>138585.7647</v>
      </c>
    </row>
    <row r="308" spans="1:8" hidden="1" x14ac:dyDescent="0.25">
      <c r="A308" s="5" t="str">
        <f>HYPERLINK("https://app.vivvix.com/360/KMI/IntelliDrive/ApplUI/Pages/CreativePages/CustomReportCreativeDetail.aspx?App=23&amp;ReportView=4&amp;Qid=1711242&amp;Row=300&amp;Col=1","No Title Assigned - #15250935587")</f>
        <v>No Title Assigned - #15250935587</v>
      </c>
      <c r="B308" t="s">
        <v>486</v>
      </c>
      <c r="C308" t="s">
        <v>487</v>
      </c>
      <c r="D308" t="s">
        <v>487</v>
      </c>
      <c r="E308" t="s">
        <v>15</v>
      </c>
      <c r="F308" t="s">
        <v>20</v>
      </c>
      <c r="G308" t="s">
        <v>31</v>
      </c>
      <c r="H308" s="1">
        <v>3732.4890999999998</v>
      </c>
    </row>
    <row r="309" spans="1:8" hidden="1" x14ac:dyDescent="0.25">
      <c r="A309" s="5" t="str">
        <f>HYPERLINK("https://app.vivvix.com/360/KMI/IntelliDrive/ApplUI/Pages/CreativePages/CustomReportCreativeDetail.aspx?App=23&amp;ReportView=4&amp;Qid=1711242&amp;Row=301&amp;Col=1","No Title Assigned - #15255324673")</f>
        <v>No Title Assigned - #15255324673</v>
      </c>
      <c r="B309" t="s">
        <v>488</v>
      </c>
      <c r="C309" t="s">
        <v>489</v>
      </c>
      <c r="D309" t="s">
        <v>489</v>
      </c>
      <c r="E309" t="s">
        <v>15</v>
      </c>
      <c r="F309" t="s">
        <v>16</v>
      </c>
      <c r="G309" t="s">
        <v>54</v>
      </c>
      <c r="H309" s="1">
        <v>43083.256699999998</v>
      </c>
    </row>
    <row r="310" spans="1:8" x14ac:dyDescent="0.25">
      <c r="A310" s="5" t="str">
        <f>HYPERLINK("https://app.vivvix.com/360/KMI/IntelliDrive/ApplUI/Pages/CreativePages/CustomReportCreativeDetail.aspx?App=23&amp;ReportView=4&amp;Qid=1711242&amp;Row=302&amp;Col=1","No Title Assigned - #15255489341")</f>
        <v>No Title Assigned - #15255489341</v>
      </c>
      <c r="B310" t="s">
        <v>490</v>
      </c>
      <c r="E310" t="s">
        <v>15</v>
      </c>
      <c r="F310" t="s">
        <v>15</v>
      </c>
      <c r="G310" t="s">
        <v>119</v>
      </c>
      <c r="H310" s="1">
        <v>614.26859999999999</v>
      </c>
    </row>
    <row r="311" spans="1:8" hidden="1" x14ac:dyDescent="0.25">
      <c r="A311" s="5" t="str">
        <f>HYPERLINK("https://app.vivvix.com/360/KMI/IntelliDrive/ApplUI/Pages/CreativePages/CustomReportCreativeDetail.aspx?App=23&amp;ReportView=4&amp;Qid=1711242&amp;Row=303&amp;Col=1","No Title Assigned - #15255504564")</f>
        <v>No Title Assigned - #15255504564</v>
      </c>
      <c r="B311" t="s">
        <v>491</v>
      </c>
      <c r="E311" t="s">
        <v>15</v>
      </c>
      <c r="F311" t="s">
        <v>20</v>
      </c>
      <c r="G311" t="s">
        <v>31</v>
      </c>
      <c r="H311" s="1">
        <v>912.72299999999996</v>
      </c>
    </row>
    <row r="312" spans="1:8" hidden="1" x14ac:dyDescent="0.25">
      <c r="A312" s="5" t="str">
        <f>HYPERLINK("https://app.vivvix.com/360/KMI/IntelliDrive/ApplUI/Pages/CreativePages/CustomReportCreativeDetail.aspx?App=23&amp;ReportView=4&amp;Qid=1711242&amp;Row=304&amp;Col=1","No Title Assigned - #15255556212")</f>
        <v>No Title Assigned - #15255556212</v>
      </c>
      <c r="B312" t="s">
        <v>492</v>
      </c>
      <c r="E312" t="s">
        <v>15</v>
      </c>
      <c r="F312" t="s">
        <v>50</v>
      </c>
      <c r="G312" t="s">
        <v>51</v>
      </c>
      <c r="H312" s="1">
        <v>924.14919999999995</v>
      </c>
    </row>
    <row r="313" spans="1:8" hidden="1" x14ac:dyDescent="0.25">
      <c r="A313" s="5" t="str">
        <f>HYPERLINK("https://app.vivvix.com/360/KMI/IntelliDrive/ApplUI/Pages/CreativePages/CustomReportCreativeDetail.aspx?App=23&amp;ReportView=4&amp;Qid=1711242&amp;Row=305&amp;Col=1","No Title Assigned - #15255570627")</f>
        <v>No Title Assigned - #15255570627</v>
      </c>
      <c r="B313" t="s">
        <v>493</v>
      </c>
      <c r="E313" t="s">
        <v>15</v>
      </c>
      <c r="F313" t="s">
        <v>50</v>
      </c>
      <c r="G313" t="s">
        <v>51</v>
      </c>
      <c r="H313" s="1">
        <v>50995.720099999999</v>
      </c>
    </row>
    <row r="314" spans="1:8" hidden="1" x14ac:dyDescent="0.25">
      <c r="A314" s="5" t="str">
        <f>HYPERLINK("https://app.vivvix.com/360/KMI/IntelliDrive/ApplUI/Pages/CreativePages/CustomReportCreativeDetail.aspx?App=23&amp;ReportView=4&amp;Qid=1711242&amp;Row=306&amp;Col=1","No Title Assigned - #15255687773")</f>
        <v>No Title Assigned - #15255687773</v>
      </c>
      <c r="B314" t="s">
        <v>494</v>
      </c>
      <c r="C314" t="s">
        <v>495</v>
      </c>
      <c r="D314" t="s">
        <v>495</v>
      </c>
      <c r="E314" t="s">
        <v>15</v>
      </c>
      <c r="F314" t="s">
        <v>50</v>
      </c>
      <c r="G314" t="s">
        <v>51</v>
      </c>
      <c r="H314" s="1">
        <v>81531.332699999999</v>
      </c>
    </row>
    <row r="315" spans="1:8" hidden="1" x14ac:dyDescent="0.25">
      <c r="A315" s="5" t="str">
        <f>HYPERLINK("https://app.vivvix.com/360/KMI/IntelliDrive/ApplUI/Pages/CreativePages/CustomReportCreativeDetail.aspx?App=23&amp;ReportView=4&amp;Qid=1711242&amp;Row=307&amp;Col=1","No Title Assigned - #15256244295")</f>
        <v>No Title Assigned - #15256244295</v>
      </c>
      <c r="B315" t="s">
        <v>496</v>
      </c>
      <c r="C315" t="s">
        <v>497</v>
      </c>
      <c r="D315" t="s">
        <v>497</v>
      </c>
      <c r="E315" t="s">
        <v>15</v>
      </c>
      <c r="F315" t="s">
        <v>50</v>
      </c>
      <c r="G315" t="s">
        <v>51</v>
      </c>
      <c r="H315" s="1">
        <v>82155.070600000006</v>
      </c>
    </row>
    <row r="316" spans="1:8" hidden="1" x14ac:dyDescent="0.25">
      <c r="A316" s="5" t="str">
        <f>HYPERLINK("https://app.vivvix.com/360/KMI/IntelliDrive/ApplUI/Pages/CreativePages/CustomReportCreativeDetail.aspx?App=23&amp;ReportView=4&amp;Qid=1711242&amp;Row=308&amp;Col=1","No Title Assigned - #15256548396")</f>
        <v>No Title Assigned - #15256548396</v>
      </c>
      <c r="B316" t="s">
        <v>498</v>
      </c>
      <c r="C316" t="s">
        <v>499</v>
      </c>
      <c r="D316" t="s">
        <v>499</v>
      </c>
      <c r="E316" t="s">
        <v>15</v>
      </c>
      <c r="F316" t="s">
        <v>16</v>
      </c>
      <c r="G316" t="s">
        <v>54</v>
      </c>
      <c r="H316" s="1">
        <v>912159.27430000005</v>
      </c>
    </row>
    <row r="317" spans="1:8" hidden="1" x14ac:dyDescent="0.25">
      <c r="A317" s="5" t="str">
        <f>HYPERLINK("https://app.vivvix.com/360/KMI/IntelliDrive/ApplUI/Pages/CreativePages/CustomReportCreativeDetail.aspx?App=23&amp;ReportView=4&amp;Qid=1711242&amp;Row=309&amp;Col=1","No Title Assigned - #15256548396")</f>
        <v>No Title Assigned - #15256548396</v>
      </c>
      <c r="B317" t="s">
        <v>498</v>
      </c>
      <c r="E317" t="s">
        <v>15</v>
      </c>
      <c r="F317" t="s">
        <v>16</v>
      </c>
      <c r="G317" t="s">
        <v>54</v>
      </c>
      <c r="H317" s="1">
        <v>1446.124</v>
      </c>
    </row>
    <row r="318" spans="1:8" hidden="1" x14ac:dyDescent="0.25">
      <c r="A318" s="5" t="str">
        <f>HYPERLINK("https://app.vivvix.com/360/KMI/IntelliDrive/ApplUI/Pages/CreativePages/CustomReportCreativeDetail.aspx?App=23&amp;ReportView=4&amp;Qid=1711242&amp;Row=310&amp;Col=1","No Title Assigned - #15256702808")</f>
        <v>No Title Assigned - #15256702808</v>
      </c>
      <c r="B318" t="s">
        <v>500</v>
      </c>
      <c r="C318" t="s">
        <v>501</v>
      </c>
      <c r="D318" t="s">
        <v>501</v>
      </c>
      <c r="E318" t="s">
        <v>15</v>
      </c>
      <c r="F318" t="s">
        <v>50</v>
      </c>
      <c r="G318" t="s">
        <v>51</v>
      </c>
      <c r="H318" s="1">
        <v>307.92840000000001</v>
      </c>
    </row>
    <row r="319" spans="1:8" hidden="1" x14ac:dyDescent="0.25">
      <c r="A319" s="5" t="str">
        <f>HYPERLINK("https://app.vivvix.com/360/KMI/IntelliDrive/ApplUI/Pages/CreativePages/CustomReportCreativeDetail.aspx?App=23&amp;ReportView=4&amp;Qid=1711242&amp;Row=311&amp;Col=1","No Title Assigned - #15258108908")</f>
        <v>No Title Assigned - #15258108908</v>
      </c>
      <c r="B319" t="s">
        <v>502</v>
      </c>
      <c r="C319" t="s">
        <v>503</v>
      </c>
      <c r="D319" t="s">
        <v>503</v>
      </c>
      <c r="E319" t="s">
        <v>15</v>
      </c>
      <c r="F319" t="s">
        <v>133</v>
      </c>
      <c r="G319" t="s">
        <v>187</v>
      </c>
      <c r="H319" s="1">
        <v>23.021000000000001</v>
      </c>
    </row>
    <row r="320" spans="1:8" hidden="1" x14ac:dyDescent="0.25">
      <c r="A320" s="5" t="str">
        <f>HYPERLINK("https://app.vivvix.com/360/KMI/IntelliDrive/ApplUI/Pages/CreativePages/CustomReportCreativeDetail.aspx?App=23&amp;ReportView=4&amp;Qid=1711242&amp;Row=312&amp;Col=1","No Title Assigned - #15258111697")</f>
        <v>No Title Assigned - #15258111697</v>
      </c>
      <c r="B320" t="s">
        <v>504</v>
      </c>
      <c r="C320" t="s">
        <v>505</v>
      </c>
      <c r="D320" t="s">
        <v>505</v>
      </c>
      <c r="E320" t="s">
        <v>15</v>
      </c>
      <c r="F320" t="s">
        <v>50</v>
      </c>
      <c r="G320" t="s">
        <v>51</v>
      </c>
      <c r="H320" s="1">
        <v>20061.579300000001</v>
      </c>
    </row>
    <row r="321" spans="1:8" hidden="1" x14ac:dyDescent="0.25">
      <c r="A321" s="5" t="str">
        <f>HYPERLINK("https://app.vivvix.com/360/KMI/IntelliDrive/ApplUI/Pages/CreativePages/CustomReportCreativeDetail.aspx?App=23&amp;ReportView=4&amp;Qid=1711242&amp;Row=313&amp;Col=1","No Title Assigned - #15258569106")</f>
        <v>No Title Assigned - #15258569106</v>
      </c>
      <c r="B321" t="s">
        <v>506</v>
      </c>
      <c r="C321" t="s">
        <v>507</v>
      </c>
      <c r="D321" t="s">
        <v>507</v>
      </c>
      <c r="E321" t="s">
        <v>15</v>
      </c>
      <c r="F321" t="s">
        <v>50</v>
      </c>
      <c r="G321" t="s">
        <v>51</v>
      </c>
      <c r="H321" s="1">
        <v>867.61429999999996</v>
      </c>
    </row>
    <row r="322" spans="1:8" hidden="1" x14ac:dyDescent="0.25">
      <c r="A322" s="5" t="str">
        <f>HYPERLINK("https://app.vivvix.com/360/KMI/IntelliDrive/ApplUI/Pages/CreativePages/CustomReportCreativeDetail.aspx?App=23&amp;ReportView=4&amp;Qid=1711242&amp;Row=314&amp;Col=1","No Title Assigned - #15258616255")</f>
        <v>No Title Assigned - #15258616255</v>
      </c>
      <c r="B322" t="s">
        <v>508</v>
      </c>
      <c r="C322" t="s">
        <v>509</v>
      </c>
      <c r="D322" t="s">
        <v>509</v>
      </c>
      <c r="E322" t="s">
        <v>15</v>
      </c>
      <c r="F322" t="s">
        <v>16</v>
      </c>
      <c r="G322" t="s">
        <v>54</v>
      </c>
      <c r="H322" s="1">
        <v>463.13200000000001</v>
      </c>
    </row>
    <row r="323" spans="1:8" hidden="1" x14ac:dyDescent="0.25">
      <c r="A323" s="5" t="str">
        <f>HYPERLINK("https://app.vivvix.com/360/KMI/IntelliDrive/ApplUI/Pages/CreativePages/CustomReportCreativeDetail.aspx?App=23&amp;ReportView=4&amp;Qid=1711242&amp;Row=315&amp;Col=1","No Title Assigned - #15258687908")</f>
        <v>No Title Assigned - #15258687908</v>
      </c>
      <c r="B323" t="s">
        <v>510</v>
      </c>
      <c r="E323" t="s">
        <v>15</v>
      </c>
      <c r="F323" t="s">
        <v>15</v>
      </c>
      <c r="G323" t="s">
        <v>137</v>
      </c>
      <c r="H323" s="1">
        <v>26802.3295</v>
      </c>
    </row>
    <row r="324" spans="1:8" hidden="1" x14ac:dyDescent="0.25">
      <c r="A324" s="5" t="str">
        <f>HYPERLINK("https://app.vivvix.com/360/KMI/IntelliDrive/ApplUI/Pages/CreativePages/CustomReportCreativeDetail.aspx?App=23&amp;ReportView=4&amp;Qid=1711242&amp;Row=316&amp;Col=1","No Title Assigned - #15258699751")</f>
        <v>No Title Assigned - #15258699751</v>
      </c>
      <c r="B324" t="s">
        <v>511</v>
      </c>
      <c r="C324" t="s">
        <v>512</v>
      </c>
      <c r="D324" t="s">
        <v>512</v>
      </c>
      <c r="E324" t="s">
        <v>15</v>
      </c>
      <c r="F324" t="s">
        <v>133</v>
      </c>
      <c r="G324" t="s">
        <v>187</v>
      </c>
      <c r="H324" s="1">
        <v>9303.4902999999995</v>
      </c>
    </row>
    <row r="325" spans="1:8" hidden="1" x14ac:dyDescent="0.25">
      <c r="A325" s="5" t="str">
        <f>HYPERLINK("https://app.vivvix.com/360/KMI/IntelliDrive/ApplUI/Pages/CreativePages/CustomReportCreativeDetail.aspx?App=23&amp;ReportView=4&amp;Qid=1711242&amp;Row=317&amp;Col=1","No Title Assigned - #15259420136")</f>
        <v>No Title Assigned - #15259420136</v>
      </c>
      <c r="B325" t="s">
        <v>513</v>
      </c>
      <c r="E325" t="s">
        <v>15</v>
      </c>
      <c r="F325" t="s">
        <v>15</v>
      </c>
      <c r="G325" t="s">
        <v>137</v>
      </c>
    </row>
    <row r="326" spans="1:8" hidden="1" x14ac:dyDescent="0.25">
      <c r="A326" s="5" t="str">
        <f>HYPERLINK("https://app.vivvix.com/360/KMI/IntelliDrive/ApplUI/Pages/CreativePages/CustomReportCreativeDetail.aspx?App=23&amp;ReportView=4&amp;Qid=1711242&amp;Row=318&amp;Col=1","No Title Assigned - #15260617759")</f>
        <v>No Title Assigned - #15260617759</v>
      </c>
      <c r="B326" t="s">
        <v>514</v>
      </c>
      <c r="C326" t="s">
        <v>515</v>
      </c>
      <c r="D326" t="s">
        <v>515</v>
      </c>
      <c r="E326" t="s">
        <v>15</v>
      </c>
      <c r="F326" t="s">
        <v>50</v>
      </c>
      <c r="G326" t="s">
        <v>51</v>
      </c>
      <c r="H326" s="1">
        <v>4816.6688000000004</v>
      </c>
    </row>
    <row r="327" spans="1:8" hidden="1" x14ac:dyDescent="0.25">
      <c r="A327" s="5" t="str">
        <f>HYPERLINK("https://app.vivvix.com/360/KMI/IntelliDrive/ApplUI/Pages/CreativePages/CustomReportCreativeDetail.aspx?App=23&amp;ReportView=4&amp;Qid=1711242&amp;Row=319&amp;Col=1","No Title Assigned - #15261224443")</f>
        <v>No Title Assigned - #15261224443</v>
      </c>
      <c r="B327" t="s">
        <v>516</v>
      </c>
      <c r="C327" t="s">
        <v>517</v>
      </c>
      <c r="D327" t="s">
        <v>517</v>
      </c>
      <c r="E327" t="s">
        <v>15</v>
      </c>
      <c r="F327" t="s">
        <v>133</v>
      </c>
      <c r="G327" t="s">
        <v>187</v>
      </c>
      <c r="H327" s="1">
        <v>432.56150000000002</v>
      </c>
    </row>
    <row r="328" spans="1:8" hidden="1" x14ac:dyDescent="0.25">
      <c r="A328" s="5" t="str">
        <f>HYPERLINK("https://app.vivvix.com/360/KMI/IntelliDrive/ApplUI/Pages/CreativePages/CustomReportCreativeDetail.aspx?App=23&amp;ReportView=4&amp;Qid=1711242&amp;Row=320&amp;Col=1","No Title Assigned - #15261579768")</f>
        <v>No Title Assigned - #15261579768</v>
      </c>
      <c r="B328" t="s">
        <v>518</v>
      </c>
      <c r="C328" t="s">
        <v>519</v>
      </c>
      <c r="D328" t="s">
        <v>519</v>
      </c>
      <c r="E328" t="s">
        <v>15</v>
      </c>
      <c r="F328" t="s">
        <v>50</v>
      </c>
      <c r="G328" t="s">
        <v>51</v>
      </c>
      <c r="H328" s="1">
        <v>6885.7217000000001</v>
      </c>
    </row>
    <row r="329" spans="1:8" hidden="1" x14ac:dyDescent="0.25">
      <c r="A329" s="5" t="str">
        <f>HYPERLINK("https://app.vivvix.com/360/KMI/IntelliDrive/ApplUI/Pages/CreativePages/CustomReportCreativeDetail.aspx?App=23&amp;ReportView=4&amp;Qid=1711242&amp;Row=321&amp;Col=1","No Title Assigned - #15261798314")</f>
        <v>No Title Assigned - #15261798314</v>
      </c>
      <c r="B329" t="s">
        <v>520</v>
      </c>
      <c r="C329" t="s">
        <v>521</v>
      </c>
      <c r="D329" t="s">
        <v>521</v>
      </c>
      <c r="E329" t="s">
        <v>15</v>
      </c>
      <c r="F329" t="s">
        <v>15</v>
      </c>
      <c r="G329" t="s">
        <v>522</v>
      </c>
      <c r="H329" s="1">
        <v>868.16279999999995</v>
      </c>
    </row>
    <row r="330" spans="1:8" hidden="1" x14ac:dyDescent="0.25">
      <c r="A330" s="5" t="str">
        <f>HYPERLINK("https://app.vivvix.com/360/KMI/IntelliDrive/ApplUI/Pages/CreativePages/CustomReportCreativeDetail.aspx?App=23&amp;ReportView=4&amp;Qid=1711242&amp;Row=322&amp;Col=1","No Title Assigned - #15262703781")</f>
        <v>No Title Assigned - #15262703781</v>
      </c>
      <c r="B330" t="s">
        <v>523</v>
      </c>
      <c r="E330" t="s">
        <v>15</v>
      </c>
      <c r="F330" t="s">
        <v>15</v>
      </c>
      <c r="G330" t="s">
        <v>137</v>
      </c>
      <c r="H330" s="1">
        <v>1467.4148</v>
      </c>
    </row>
    <row r="331" spans="1:8" hidden="1" x14ac:dyDescent="0.25">
      <c r="A331" s="5" t="str">
        <f>HYPERLINK("https://app.vivvix.com/360/KMI/IntelliDrive/ApplUI/Pages/CreativePages/CustomReportCreativeDetail.aspx?App=23&amp;ReportView=4&amp;Qid=1711242&amp;Row=323&amp;Col=1","No Title Assigned - #15263003466")</f>
        <v>No Title Assigned - #15263003466</v>
      </c>
      <c r="B331" t="s">
        <v>524</v>
      </c>
      <c r="E331" t="s">
        <v>15</v>
      </c>
      <c r="F331" t="s">
        <v>133</v>
      </c>
      <c r="G331" t="s">
        <v>187</v>
      </c>
      <c r="H331" s="1">
        <v>1907.943</v>
      </c>
    </row>
    <row r="332" spans="1:8" hidden="1" x14ac:dyDescent="0.25">
      <c r="A332" s="5" t="str">
        <f>HYPERLINK("https://app.vivvix.com/360/KMI/IntelliDrive/ApplUI/Pages/CreativePages/CustomReportCreativeDetail.aspx?App=23&amp;ReportView=4&amp;Qid=1711242&amp;Row=324&amp;Col=1","No Title Assigned - #15263049185")</f>
        <v>No Title Assigned - #15263049185</v>
      </c>
      <c r="B332" t="s">
        <v>525</v>
      </c>
      <c r="E332" t="s">
        <v>15</v>
      </c>
      <c r="F332" t="s">
        <v>15</v>
      </c>
      <c r="G332" t="s">
        <v>137</v>
      </c>
      <c r="H332" s="1">
        <v>1746.7072000000001</v>
      </c>
    </row>
    <row r="333" spans="1:8" hidden="1" x14ac:dyDescent="0.25">
      <c r="A333" s="5" t="str">
        <f>HYPERLINK("https://app.vivvix.com/360/KMI/IntelliDrive/ApplUI/Pages/CreativePages/CustomReportCreativeDetail.aspx?App=23&amp;ReportView=4&amp;Qid=1711242&amp;Row=325&amp;Col=1","No Title Assigned - #15263069014")</f>
        <v>No Title Assigned - #15263069014</v>
      </c>
      <c r="B333" t="s">
        <v>526</v>
      </c>
      <c r="C333" t="s">
        <v>527</v>
      </c>
      <c r="D333" t="s">
        <v>527</v>
      </c>
      <c r="E333" t="s">
        <v>15</v>
      </c>
      <c r="F333" t="s">
        <v>16</v>
      </c>
      <c r="G333" t="s">
        <v>54</v>
      </c>
      <c r="H333" s="1">
        <v>4742.7268999999997</v>
      </c>
    </row>
    <row r="334" spans="1:8" hidden="1" x14ac:dyDescent="0.25">
      <c r="A334" s="5" t="str">
        <f>HYPERLINK("https://app.vivvix.com/360/KMI/IntelliDrive/ApplUI/Pages/CreativePages/CustomReportCreativeDetail.aspx?App=23&amp;ReportView=4&amp;Qid=1711242&amp;Row=326&amp;Col=1","No Title Assigned - #15263122220")</f>
        <v>No Title Assigned - #15263122220</v>
      </c>
      <c r="B334" t="s">
        <v>528</v>
      </c>
      <c r="E334" t="s">
        <v>15</v>
      </c>
      <c r="F334" t="s">
        <v>15</v>
      </c>
      <c r="G334" t="s">
        <v>529</v>
      </c>
      <c r="H334" s="1">
        <v>4951.8270000000002</v>
      </c>
    </row>
    <row r="335" spans="1:8" hidden="1" x14ac:dyDescent="0.25">
      <c r="A335" s="5" t="str">
        <f>HYPERLINK("https://app.vivvix.com/360/KMI/IntelliDrive/ApplUI/Pages/CreativePages/CustomReportCreativeDetail.aspx?App=23&amp;ReportView=4&amp;Qid=1711242&amp;Row=327&amp;Col=1","No Title Assigned - #15263453296")</f>
        <v>No Title Assigned - #15263453296</v>
      </c>
      <c r="B335" t="s">
        <v>530</v>
      </c>
      <c r="E335" t="s">
        <v>15</v>
      </c>
      <c r="F335" t="s">
        <v>15</v>
      </c>
      <c r="G335" t="s">
        <v>137</v>
      </c>
    </row>
    <row r="336" spans="1:8" hidden="1" x14ac:dyDescent="0.25">
      <c r="A336" s="5" t="str">
        <f>HYPERLINK("https://app.vivvix.com/360/KMI/IntelliDrive/ApplUI/Pages/CreativePages/CustomReportCreativeDetail.aspx?App=23&amp;ReportView=4&amp;Qid=1711242&amp;Row=328&amp;Col=1","No Title Assigned - #15263657286")</f>
        <v>No Title Assigned - #15263657286</v>
      </c>
      <c r="B336" t="s">
        <v>531</v>
      </c>
      <c r="C336" t="s">
        <v>532</v>
      </c>
      <c r="D336" t="s">
        <v>532</v>
      </c>
      <c r="E336" t="s">
        <v>15</v>
      </c>
      <c r="F336" t="s">
        <v>16</v>
      </c>
      <c r="G336" t="s">
        <v>54</v>
      </c>
      <c r="H336" s="1">
        <v>514.55809999999997</v>
      </c>
    </row>
    <row r="337" spans="1:8" hidden="1" x14ac:dyDescent="0.25">
      <c r="A337" s="5" t="str">
        <f>HYPERLINK("https://app.vivvix.com/360/KMI/IntelliDrive/ApplUI/Pages/CreativePages/CustomReportCreativeDetail.aspx?App=23&amp;ReportView=4&amp;Qid=1711242&amp;Row=329&amp;Col=1","No Title Assigned - #15263706638")</f>
        <v>No Title Assigned - #15263706638</v>
      </c>
      <c r="B337" t="s">
        <v>533</v>
      </c>
      <c r="C337" t="s">
        <v>534</v>
      </c>
      <c r="D337" t="s">
        <v>534</v>
      </c>
      <c r="E337" t="s">
        <v>15</v>
      </c>
      <c r="F337" t="s">
        <v>50</v>
      </c>
      <c r="G337" t="s">
        <v>51</v>
      </c>
      <c r="H337" s="1">
        <v>3185.0734000000002</v>
      </c>
    </row>
    <row r="338" spans="1:8" hidden="1" x14ac:dyDescent="0.25">
      <c r="A338" s="5" t="str">
        <f>HYPERLINK("https://app.vivvix.com/360/KMI/IntelliDrive/ApplUI/Pages/CreativePages/CustomReportCreativeDetail.aspx?App=23&amp;ReportView=4&amp;Qid=1711242&amp;Row=330&amp;Col=1","No Title Assigned - #15263854665")</f>
        <v>No Title Assigned - #15263854665</v>
      </c>
      <c r="B338" t="s">
        <v>535</v>
      </c>
      <c r="C338" t="s">
        <v>536</v>
      </c>
      <c r="D338" t="s">
        <v>536</v>
      </c>
      <c r="E338" t="s">
        <v>15</v>
      </c>
      <c r="F338" t="s">
        <v>20</v>
      </c>
      <c r="G338" t="s">
        <v>31</v>
      </c>
      <c r="H338" s="1">
        <v>116934.3616</v>
      </c>
    </row>
    <row r="339" spans="1:8" hidden="1" x14ac:dyDescent="0.25">
      <c r="A339" s="5" t="str">
        <f>HYPERLINK("https://app.vivvix.com/360/KMI/IntelliDrive/ApplUI/Pages/CreativePages/CustomReportCreativeDetail.aspx?App=23&amp;ReportView=4&amp;Qid=1711242&amp;Row=331&amp;Col=1","No Title Assigned - #15263923758")</f>
        <v>No Title Assigned - #15263923758</v>
      </c>
      <c r="B339" t="s">
        <v>537</v>
      </c>
      <c r="C339" t="s">
        <v>538</v>
      </c>
      <c r="D339" t="s">
        <v>538</v>
      </c>
      <c r="E339" t="s">
        <v>15</v>
      </c>
      <c r="F339" t="s">
        <v>50</v>
      </c>
      <c r="G339" t="s">
        <v>51</v>
      </c>
      <c r="H339" s="1">
        <v>17847.7268</v>
      </c>
    </row>
    <row r="340" spans="1:8" hidden="1" x14ac:dyDescent="0.25">
      <c r="A340" s="5" t="str">
        <f>HYPERLINK("https://app.vivvix.com/360/KMI/IntelliDrive/ApplUI/Pages/CreativePages/CustomReportCreativeDetail.aspx?App=23&amp;ReportView=4&amp;Qid=1711242&amp;Row=332&amp;Col=1","No Title Assigned - #15263995930")</f>
        <v>No Title Assigned - #15263995930</v>
      </c>
      <c r="B340" t="s">
        <v>539</v>
      </c>
      <c r="C340" t="s">
        <v>540</v>
      </c>
      <c r="D340" t="s">
        <v>540</v>
      </c>
      <c r="E340" t="s">
        <v>15</v>
      </c>
      <c r="F340" t="s">
        <v>16</v>
      </c>
      <c r="G340" t="s">
        <v>54</v>
      </c>
      <c r="H340" s="1">
        <v>14066.1536</v>
      </c>
    </row>
    <row r="341" spans="1:8" hidden="1" x14ac:dyDescent="0.25">
      <c r="A341" s="5" t="str">
        <f>HYPERLINK("https://app.vivvix.com/360/KMI/IntelliDrive/ApplUI/Pages/CreativePages/CustomReportCreativeDetail.aspx?App=23&amp;ReportView=4&amp;Qid=1711242&amp;Row=333&amp;Col=1","No Title Assigned - #15264024496")</f>
        <v>No Title Assigned - #15264024496</v>
      </c>
      <c r="B341" t="s">
        <v>541</v>
      </c>
      <c r="C341" t="s">
        <v>542</v>
      </c>
      <c r="D341" t="s">
        <v>542</v>
      </c>
      <c r="E341" t="s">
        <v>15</v>
      </c>
      <c r="F341" t="s">
        <v>20</v>
      </c>
      <c r="G341" t="s">
        <v>31</v>
      </c>
      <c r="H341" s="1">
        <v>10702.575199999999</v>
      </c>
    </row>
    <row r="342" spans="1:8" hidden="1" x14ac:dyDescent="0.25">
      <c r="A342" s="5" t="str">
        <f>HYPERLINK("https://app.vivvix.com/360/KMI/IntelliDrive/ApplUI/Pages/CreativePages/CustomReportCreativeDetail.aspx?App=23&amp;ReportView=4&amp;Qid=1711242&amp;Row=334&amp;Col=1","No Title Assigned - #15264082088")</f>
        <v>No Title Assigned - #15264082088</v>
      </c>
      <c r="B342" t="s">
        <v>543</v>
      </c>
      <c r="C342" t="s">
        <v>544</v>
      </c>
      <c r="D342" t="s">
        <v>544</v>
      </c>
      <c r="E342" t="s">
        <v>15</v>
      </c>
      <c r="F342" t="s">
        <v>16</v>
      </c>
      <c r="G342" t="s">
        <v>54</v>
      </c>
      <c r="H342" s="1">
        <v>1983.1603</v>
      </c>
    </row>
    <row r="343" spans="1:8" hidden="1" x14ac:dyDescent="0.25">
      <c r="A343" s="5" t="str">
        <f>HYPERLINK("https://app.vivvix.com/360/KMI/IntelliDrive/ApplUI/Pages/CreativePages/CustomReportCreativeDetail.aspx?App=23&amp;ReportView=4&amp;Qid=1711242&amp;Row=335&amp;Col=1","No Title Assigned - #15264172602")</f>
        <v>No Title Assigned - #15264172602</v>
      </c>
      <c r="B343" t="s">
        <v>545</v>
      </c>
      <c r="C343" t="s">
        <v>546</v>
      </c>
      <c r="D343" t="s">
        <v>465</v>
      </c>
      <c r="E343" t="s">
        <v>15</v>
      </c>
      <c r="F343" t="s">
        <v>20</v>
      </c>
      <c r="G343" t="s">
        <v>31</v>
      </c>
      <c r="H343" s="1">
        <v>700.60209999999995</v>
      </c>
    </row>
    <row r="344" spans="1:8" hidden="1" x14ac:dyDescent="0.25">
      <c r="A344" s="5" t="str">
        <f>HYPERLINK("https://app.vivvix.com/360/KMI/IntelliDrive/ApplUI/Pages/CreativePages/CustomReportCreativeDetail.aspx?App=23&amp;ReportView=4&amp;Qid=1711242&amp;Row=336&amp;Col=1","No Title Assigned - #15264239109")</f>
        <v>No Title Assigned - #15264239109</v>
      </c>
      <c r="B344" t="s">
        <v>547</v>
      </c>
      <c r="E344" t="s">
        <v>15</v>
      </c>
      <c r="F344" t="s">
        <v>15</v>
      </c>
      <c r="G344" t="s">
        <v>119</v>
      </c>
      <c r="H344" s="1">
        <v>16981.559300000001</v>
      </c>
    </row>
    <row r="345" spans="1:8" hidden="1" x14ac:dyDescent="0.25">
      <c r="A345" s="5" t="str">
        <f>HYPERLINK("https://app.vivvix.com/360/KMI/IntelliDrive/ApplUI/Pages/CreativePages/CustomReportCreativeDetail.aspx?App=23&amp;ReportView=4&amp;Qid=1711242&amp;Row=337&amp;Col=1","No Title Assigned - #15264253624")</f>
        <v>No Title Assigned - #15264253624</v>
      </c>
      <c r="B345" t="s">
        <v>548</v>
      </c>
      <c r="C345" t="s">
        <v>549</v>
      </c>
      <c r="D345" t="s">
        <v>549</v>
      </c>
      <c r="E345" t="s">
        <v>15</v>
      </c>
      <c r="F345" t="s">
        <v>16</v>
      </c>
      <c r="G345" t="s">
        <v>54</v>
      </c>
      <c r="H345" s="1">
        <v>1699.9197999999999</v>
      </c>
    </row>
    <row r="346" spans="1:8" hidden="1" x14ac:dyDescent="0.25">
      <c r="A346" s="5" t="str">
        <f>HYPERLINK("https://app.vivvix.com/360/KMI/IntelliDrive/ApplUI/Pages/CreativePages/CustomReportCreativeDetail.aspx?App=23&amp;ReportView=4&amp;Qid=1711242&amp;Row=338&amp;Col=1","No Title Assigned - #15264315910")</f>
        <v>No Title Assigned - #15264315910</v>
      </c>
      <c r="B346" t="s">
        <v>550</v>
      </c>
      <c r="C346" t="s">
        <v>551</v>
      </c>
      <c r="D346" t="s">
        <v>551</v>
      </c>
      <c r="E346" t="s">
        <v>15</v>
      </c>
      <c r="F346" t="s">
        <v>15</v>
      </c>
      <c r="G346" t="s">
        <v>552</v>
      </c>
      <c r="H346" s="1">
        <v>3149.7597999999998</v>
      </c>
    </row>
    <row r="347" spans="1:8" hidden="1" x14ac:dyDescent="0.25">
      <c r="A347" s="5" t="str">
        <f>HYPERLINK("https://app.vivvix.com/360/KMI/IntelliDrive/ApplUI/Pages/CreativePages/CustomReportCreativeDetail.aspx?App=23&amp;ReportView=4&amp;Qid=1711242&amp;Row=339&amp;Col=1","No Title Assigned - #15264336192")</f>
        <v>No Title Assigned - #15264336192</v>
      </c>
      <c r="B347" t="s">
        <v>553</v>
      </c>
      <c r="E347" t="s">
        <v>15</v>
      </c>
      <c r="F347" t="s">
        <v>181</v>
      </c>
      <c r="G347" t="s">
        <v>182</v>
      </c>
      <c r="H347" s="1">
        <v>37378.382100000003</v>
      </c>
    </row>
    <row r="348" spans="1:8" hidden="1" x14ac:dyDescent="0.25">
      <c r="A348" s="5" t="str">
        <f>HYPERLINK("https://app.vivvix.com/360/KMI/IntelliDrive/ApplUI/Pages/CreativePages/CustomReportCreativeDetail.aspx?App=23&amp;ReportView=4&amp;Qid=1711242&amp;Row=340&amp;Col=1","No Title Assigned - #15264336192")</f>
        <v>No Title Assigned - #15264336192</v>
      </c>
      <c r="B348" t="s">
        <v>553</v>
      </c>
      <c r="C348" t="s">
        <v>554</v>
      </c>
      <c r="D348" t="s">
        <v>554</v>
      </c>
      <c r="E348" t="s">
        <v>15</v>
      </c>
      <c r="F348" t="s">
        <v>181</v>
      </c>
      <c r="G348" t="s">
        <v>182</v>
      </c>
      <c r="H348" s="1">
        <v>33693.783300000003</v>
      </c>
    </row>
    <row r="349" spans="1:8" hidden="1" x14ac:dyDescent="0.25">
      <c r="A349" s="5" t="str">
        <f>HYPERLINK("https://app.vivvix.com/360/KMI/IntelliDrive/ApplUI/Pages/CreativePages/CustomReportCreativeDetail.aspx?App=23&amp;ReportView=4&amp;Qid=1711242&amp;Row=341&amp;Col=1","No Title Assigned - #15264350142")</f>
        <v>No Title Assigned - #15264350142</v>
      </c>
      <c r="B349" t="s">
        <v>555</v>
      </c>
      <c r="C349" t="s">
        <v>556</v>
      </c>
      <c r="D349" t="s">
        <v>556</v>
      </c>
      <c r="E349" t="s">
        <v>15</v>
      </c>
      <c r="F349" t="s">
        <v>133</v>
      </c>
      <c r="G349" t="s">
        <v>187</v>
      </c>
      <c r="H349" s="1">
        <v>676.14269999999999</v>
      </c>
    </row>
    <row r="350" spans="1:8" hidden="1" x14ac:dyDescent="0.25">
      <c r="A350" s="5" t="str">
        <f>HYPERLINK("https://app.vivvix.com/360/KMI/IntelliDrive/ApplUI/Pages/CreativePages/CustomReportCreativeDetail.aspx?App=23&amp;ReportView=4&amp;Qid=1711242&amp;Row=342&amp;Col=1","No Title Assigned - #15264354897")</f>
        <v>No Title Assigned - #15264354897</v>
      </c>
      <c r="B350" t="s">
        <v>557</v>
      </c>
      <c r="C350" t="s">
        <v>558</v>
      </c>
      <c r="D350" t="s">
        <v>558</v>
      </c>
      <c r="E350" t="s">
        <v>15</v>
      </c>
      <c r="F350" t="s">
        <v>50</v>
      </c>
      <c r="G350" t="s">
        <v>51</v>
      </c>
      <c r="H350" s="1">
        <v>542.12300000000005</v>
      </c>
    </row>
    <row r="351" spans="1:8" hidden="1" x14ac:dyDescent="0.25">
      <c r="A351" s="5" t="str">
        <f>HYPERLINK("https://app.vivvix.com/360/KMI/IntelliDrive/ApplUI/Pages/CreativePages/CustomReportCreativeDetail.aspx?App=23&amp;ReportView=4&amp;Qid=1711242&amp;Row=343&amp;Col=1","No Title Assigned - #15264387095")</f>
        <v>No Title Assigned - #15264387095</v>
      </c>
      <c r="B351" t="s">
        <v>559</v>
      </c>
      <c r="E351" t="s">
        <v>15</v>
      </c>
      <c r="F351" t="s">
        <v>15</v>
      </c>
      <c r="G351" t="s">
        <v>119</v>
      </c>
      <c r="H351" s="1">
        <v>86645.886400000003</v>
      </c>
    </row>
    <row r="352" spans="1:8" hidden="1" x14ac:dyDescent="0.25">
      <c r="A352" s="5" t="str">
        <f>HYPERLINK("https://app.vivvix.com/360/KMI/IntelliDrive/ApplUI/Pages/CreativePages/CustomReportCreativeDetail.aspx?App=23&amp;ReportView=4&amp;Qid=1711242&amp;Row=344&amp;Col=1","No Title Assigned - #15264508314")</f>
        <v>No Title Assigned - #15264508314</v>
      </c>
      <c r="B352" t="s">
        <v>560</v>
      </c>
      <c r="C352" t="s">
        <v>561</v>
      </c>
      <c r="D352" t="s">
        <v>561</v>
      </c>
      <c r="E352" t="s">
        <v>15</v>
      </c>
      <c r="F352" t="s">
        <v>20</v>
      </c>
      <c r="G352" t="s">
        <v>31</v>
      </c>
      <c r="H352" s="1">
        <v>514.55809999999997</v>
      </c>
    </row>
    <row r="353" spans="1:8" hidden="1" x14ac:dyDescent="0.25">
      <c r="A353" s="5" t="str">
        <f>HYPERLINK("https://app.vivvix.com/360/KMI/IntelliDrive/ApplUI/Pages/CreativePages/CustomReportCreativeDetail.aspx?App=23&amp;ReportView=4&amp;Qid=1711242&amp;Row=345&amp;Col=1","No Title Assigned - #15264591122")</f>
        <v>No Title Assigned - #15264591122</v>
      </c>
      <c r="B353" t="s">
        <v>562</v>
      </c>
      <c r="C353" t="s">
        <v>563</v>
      </c>
      <c r="D353" t="s">
        <v>563</v>
      </c>
      <c r="E353" t="s">
        <v>15</v>
      </c>
      <c r="F353" t="s">
        <v>50</v>
      </c>
      <c r="G353" t="s">
        <v>51</v>
      </c>
      <c r="H353" s="1">
        <v>2293.4666999999999</v>
      </c>
    </row>
    <row r="354" spans="1:8" hidden="1" x14ac:dyDescent="0.25">
      <c r="A354" s="5" t="str">
        <f>HYPERLINK("https://app.vivvix.com/360/KMI/IntelliDrive/ApplUI/Pages/CreativePages/CustomReportCreativeDetail.aspx?App=23&amp;ReportView=4&amp;Qid=1711242&amp;Row=346&amp;Col=1","No Title Assigned - #15264711533")</f>
        <v>No Title Assigned - #15264711533</v>
      </c>
      <c r="B354" t="s">
        <v>564</v>
      </c>
      <c r="C354" t="s">
        <v>565</v>
      </c>
      <c r="D354" t="s">
        <v>565</v>
      </c>
      <c r="E354" t="s">
        <v>15</v>
      </c>
      <c r="F354" t="s">
        <v>15</v>
      </c>
      <c r="G354" t="s">
        <v>119</v>
      </c>
      <c r="H354" s="1">
        <v>8389.3163999999997</v>
      </c>
    </row>
    <row r="355" spans="1:8" hidden="1" x14ac:dyDescent="0.25">
      <c r="A355" s="5" t="str">
        <f>HYPERLINK("https://app.vivvix.com/360/KMI/IntelliDrive/ApplUI/Pages/CreativePages/CustomReportCreativeDetail.aspx?App=23&amp;ReportView=4&amp;Qid=1711242&amp;Row=347&amp;Col=1","No Title Assigned - #15264713673")</f>
        <v>No Title Assigned - #15264713673</v>
      </c>
      <c r="B355" t="s">
        <v>566</v>
      </c>
      <c r="C355" t="s">
        <v>567</v>
      </c>
      <c r="D355" t="s">
        <v>567</v>
      </c>
      <c r="E355" t="s">
        <v>15</v>
      </c>
      <c r="F355" t="s">
        <v>15</v>
      </c>
      <c r="G355" t="s">
        <v>119</v>
      </c>
      <c r="H355" s="1">
        <v>35168.221299999997</v>
      </c>
    </row>
    <row r="356" spans="1:8" hidden="1" x14ac:dyDescent="0.25">
      <c r="A356" s="5" t="str">
        <f>HYPERLINK("https://app.vivvix.com/360/KMI/IntelliDrive/ApplUI/Pages/CreativePages/CustomReportCreativeDetail.aspx?App=23&amp;ReportView=4&amp;Qid=1711242&amp;Row=348&amp;Col=1","No Title Assigned - #15264714529")</f>
        <v>No Title Assigned - #15264714529</v>
      </c>
      <c r="B356" t="s">
        <v>568</v>
      </c>
      <c r="E356" t="s">
        <v>15</v>
      </c>
      <c r="F356" t="s">
        <v>20</v>
      </c>
      <c r="G356" t="s">
        <v>31</v>
      </c>
      <c r="H356" s="1">
        <v>11866.495699999999</v>
      </c>
    </row>
    <row r="357" spans="1:8" hidden="1" x14ac:dyDescent="0.25">
      <c r="A357" s="5" t="str">
        <f>HYPERLINK("https://app.vivvix.com/360/KMI/IntelliDrive/ApplUI/Pages/CreativePages/CustomReportCreativeDetail.aspx?App=23&amp;ReportView=4&amp;Qid=1711242&amp;Row=349&amp;Col=1","No Title Assigned - #15264715284")</f>
        <v>No Title Assigned - #15264715284</v>
      </c>
      <c r="B357" t="s">
        <v>569</v>
      </c>
      <c r="C357" t="s">
        <v>570</v>
      </c>
      <c r="D357" t="s">
        <v>570</v>
      </c>
      <c r="E357" t="s">
        <v>15</v>
      </c>
      <c r="F357" t="s">
        <v>20</v>
      </c>
      <c r="G357" t="s">
        <v>31</v>
      </c>
      <c r="H357" s="1">
        <v>818.81370000000004</v>
      </c>
    </row>
    <row r="358" spans="1:8" hidden="1" x14ac:dyDescent="0.25">
      <c r="A358" s="5" t="str">
        <f>HYPERLINK("https://app.vivvix.com/360/KMI/IntelliDrive/ApplUI/Pages/CreativePages/CustomReportCreativeDetail.aspx?App=23&amp;ReportView=4&amp;Qid=1711242&amp;Row=350&amp;Col=1","No Title Assigned - #15264727089")</f>
        <v>No Title Assigned - #15264727089</v>
      </c>
      <c r="B358" t="s">
        <v>571</v>
      </c>
      <c r="C358" t="s">
        <v>572</v>
      </c>
      <c r="D358" t="s">
        <v>572</v>
      </c>
      <c r="E358" t="s">
        <v>15</v>
      </c>
      <c r="F358" t="s">
        <v>20</v>
      </c>
      <c r="G358" t="s">
        <v>31</v>
      </c>
      <c r="H358" s="1">
        <v>628.50919999999996</v>
      </c>
    </row>
    <row r="359" spans="1:8" hidden="1" x14ac:dyDescent="0.25">
      <c r="A359" s="5" t="str">
        <f>HYPERLINK("https://app.vivvix.com/360/KMI/IntelliDrive/ApplUI/Pages/CreativePages/CustomReportCreativeDetail.aspx?App=23&amp;ReportView=4&amp;Qid=1711242&amp;Row=351&amp;Col=1","No Title Assigned - #15264765685")</f>
        <v>No Title Assigned - #15264765685</v>
      </c>
      <c r="B359" t="s">
        <v>573</v>
      </c>
      <c r="E359" t="s">
        <v>15</v>
      </c>
      <c r="F359" t="s">
        <v>15</v>
      </c>
      <c r="G359" t="s">
        <v>137</v>
      </c>
    </row>
    <row r="360" spans="1:8" hidden="1" x14ac:dyDescent="0.25">
      <c r="A360" s="5" t="str">
        <f>HYPERLINK("https://app.vivvix.com/360/KMI/IntelliDrive/ApplUI/Pages/CreativePages/CustomReportCreativeDetail.aspx?App=23&amp;ReportView=4&amp;Qid=1711242&amp;Row=352&amp;Col=1","No Title Assigned - #15264766769")</f>
        <v>No Title Assigned - #15264766769</v>
      </c>
      <c r="B360" t="s">
        <v>574</v>
      </c>
      <c r="C360" t="s">
        <v>575</v>
      </c>
      <c r="D360" t="s">
        <v>575</v>
      </c>
      <c r="E360" t="s">
        <v>15</v>
      </c>
      <c r="F360" t="s">
        <v>20</v>
      </c>
      <c r="G360" t="s">
        <v>31</v>
      </c>
      <c r="H360" s="1">
        <v>4435.8320000000003</v>
      </c>
    </row>
    <row r="361" spans="1:8" hidden="1" x14ac:dyDescent="0.25">
      <c r="A361" s="5" t="str">
        <f>HYPERLINK("https://app.vivvix.com/360/KMI/IntelliDrive/ApplUI/Pages/CreativePages/CustomReportCreativeDetail.aspx?App=23&amp;ReportView=4&amp;Qid=1711242&amp;Row=353&amp;Col=1","No Title Assigned - #15264767072")</f>
        <v>No Title Assigned - #15264767072</v>
      </c>
      <c r="B361" t="s">
        <v>576</v>
      </c>
      <c r="C361" t="s">
        <v>577</v>
      </c>
      <c r="D361" t="s">
        <v>577</v>
      </c>
      <c r="E361" t="s">
        <v>15</v>
      </c>
      <c r="F361" t="s">
        <v>50</v>
      </c>
      <c r="G361" t="s">
        <v>51</v>
      </c>
      <c r="H361" s="1">
        <v>20769.181400000001</v>
      </c>
    </row>
    <row r="362" spans="1:8" hidden="1" x14ac:dyDescent="0.25">
      <c r="A362" s="5" t="str">
        <f>HYPERLINK("https://app.vivvix.com/360/KMI/IntelliDrive/ApplUI/Pages/CreativePages/CustomReportCreativeDetail.aspx?App=23&amp;ReportView=4&amp;Qid=1711242&amp;Row=354&amp;Col=1","No Title Assigned - #15264774117")</f>
        <v>No Title Assigned - #15264774117</v>
      </c>
      <c r="B362" t="s">
        <v>578</v>
      </c>
      <c r="C362" t="s">
        <v>579</v>
      </c>
      <c r="D362" t="s">
        <v>579</v>
      </c>
      <c r="E362" t="s">
        <v>15</v>
      </c>
      <c r="F362" t="s">
        <v>20</v>
      </c>
      <c r="G362" t="s">
        <v>31</v>
      </c>
      <c r="H362" s="1">
        <v>2118.8917000000001</v>
      </c>
    </row>
    <row r="363" spans="1:8" hidden="1" x14ac:dyDescent="0.25">
      <c r="A363" s="5" t="str">
        <f>HYPERLINK("https://app.vivvix.com/360/KMI/IntelliDrive/ApplUI/Pages/CreativePages/CustomReportCreativeDetail.aspx?App=23&amp;ReportView=4&amp;Qid=1711242&amp;Row=355&amp;Col=1","No Title Assigned - #15264776845")</f>
        <v>No Title Assigned - #15264776845</v>
      </c>
      <c r="B363" t="s">
        <v>580</v>
      </c>
      <c r="C363" t="s">
        <v>581</v>
      </c>
      <c r="D363" t="s">
        <v>581</v>
      </c>
      <c r="E363" t="s">
        <v>15</v>
      </c>
      <c r="F363" t="s">
        <v>20</v>
      </c>
      <c r="G363" t="s">
        <v>31</v>
      </c>
      <c r="H363" s="1">
        <v>98555.451799999995</v>
      </c>
    </row>
    <row r="364" spans="1:8" hidden="1" x14ac:dyDescent="0.25">
      <c r="A364" s="5" t="str">
        <f>HYPERLINK("https://app.vivvix.com/360/KMI/IntelliDrive/ApplUI/Pages/CreativePages/CustomReportCreativeDetail.aspx?App=23&amp;ReportView=4&amp;Qid=1711242&amp;Row=356&amp;Col=1","No Title Assigned - #15264776920")</f>
        <v>No Title Assigned - #15264776920</v>
      </c>
      <c r="B364" t="s">
        <v>582</v>
      </c>
      <c r="C364" t="s">
        <v>583</v>
      </c>
      <c r="D364" t="s">
        <v>583</v>
      </c>
      <c r="E364" t="s">
        <v>15</v>
      </c>
      <c r="F364" t="s">
        <v>50</v>
      </c>
      <c r="G364" t="s">
        <v>51</v>
      </c>
      <c r="H364" s="1">
        <v>14908.340399999999</v>
      </c>
    </row>
    <row r="365" spans="1:8" hidden="1" x14ac:dyDescent="0.25">
      <c r="A365" s="5" t="str">
        <f>HYPERLINK("https://app.vivvix.com/360/KMI/IntelliDrive/ApplUI/Pages/CreativePages/CustomReportCreativeDetail.aspx?App=23&amp;ReportView=4&amp;Qid=1711242&amp;Row=357&amp;Col=1","No Title Assigned - #15264776966")</f>
        <v>No Title Assigned - #15264776966</v>
      </c>
      <c r="B365" t="s">
        <v>584</v>
      </c>
      <c r="C365" t="s">
        <v>585</v>
      </c>
      <c r="D365" t="s">
        <v>585</v>
      </c>
      <c r="E365" t="s">
        <v>15</v>
      </c>
      <c r="F365" t="s">
        <v>15</v>
      </c>
      <c r="G365" t="s">
        <v>119</v>
      </c>
      <c r="H365" s="1">
        <v>6845.3491000000004</v>
      </c>
    </row>
    <row r="366" spans="1:8" hidden="1" x14ac:dyDescent="0.25">
      <c r="A366" s="5" t="str">
        <f>HYPERLINK("https://app.vivvix.com/360/KMI/IntelliDrive/ApplUI/Pages/CreativePages/CustomReportCreativeDetail.aspx?App=23&amp;ReportView=4&amp;Qid=1711242&amp;Row=358&amp;Col=1","No Title Assigned - #15264796810")</f>
        <v>No Title Assigned - #15264796810</v>
      </c>
      <c r="B366" t="s">
        <v>586</v>
      </c>
      <c r="C366" t="s">
        <v>587</v>
      </c>
      <c r="D366" t="s">
        <v>587</v>
      </c>
      <c r="E366" t="s">
        <v>15</v>
      </c>
      <c r="F366" t="s">
        <v>20</v>
      </c>
      <c r="G366" t="s">
        <v>31</v>
      </c>
      <c r="H366" s="1">
        <v>3451.4097000000002</v>
      </c>
    </row>
    <row r="367" spans="1:8" hidden="1" x14ac:dyDescent="0.25">
      <c r="A367" s="5" t="str">
        <f>HYPERLINK("https://app.vivvix.com/360/KMI/IntelliDrive/ApplUI/Pages/CreativePages/CustomReportCreativeDetail.aspx?App=23&amp;ReportView=4&amp;Qid=1711242&amp;Row=359&amp;Col=1","No Title Assigned - #15264820414")</f>
        <v>No Title Assigned - #15264820414</v>
      </c>
      <c r="B367" t="s">
        <v>588</v>
      </c>
      <c r="C367" t="s">
        <v>589</v>
      </c>
      <c r="D367" t="s">
        <v>589</v>
      </c>
      <c r="E367" t="s">
        <v>15</v>
      </c>
      <c r="F367" t="s">
        <v>15</v>
      </c>
      <c r="G367" t="s">
        <v>137</v>
      </c>
    </row>
    <row r="368" spans="1:8" hidden="1" x14ac:dyDescent="0.25">
      <c r="A368" s="5" t="str">
        <f>HYPERLINK("https://app.vivvix.com/360/KMI/IntelliDrive/ApplUI/Pages/CreativePages/CustomReportCreativeDetail.aspx?App=23&amp;ReportView=4&amp;Qid=1711242&amp;Row=360&amp;Col=1","No Title Assigned - #15264874502")</f>
        <v>No Title Assigned - #15264874502</v>
      </c>
      <c r="B368" t="s">
        <v>590</v>
      </c>
      <c r="C368" t="s">
        <v>591</v>
      </c>
      <c r="D368" t="s">
        <v>591</v>
      </c>
      <c r="E368" t="s">
        <v>15</v>
      </c>
      <c r="F368" t="s">
        <v>20</v>
      </c>
      <c r="G368" t="s">
        <v>31</v>
      </c>
      <c r="H368" s="1">
        <v>1563.4646</v>
      </c>
    </row>
    <row r="369" spans="1:8" hidden="1" x14ac:dyDescent="0.25">
      <c r="A369" s="5" t="str">
        <f>HYPERLINK("https://app.vivvix.com/360/KMI/IntelliDrive/ApplUI/Pages/CreativePages/CustomReportCreativeDetail.aspx?App=23&amp;ReportView=4&amp;Qid=1711242&amp;Row=361&amp;Col=1","No Title Assigned - #15264953734")</f>
        <v>No Title Assigned - #15264953734</v>
      </c>
      <c r="B369" t="s">
        <v>592</v>
      </c>
      <c r="E369" t="s">
        <v>15</v>
      </c>
      <c r="F369" t="s">
        <v>15</v>
      </c>
      <c r="G369" t="s">
        <v>137</v>
      </c>
      <c r="H369" s="1">
        <v>956.01930000000004</v>
      </c>
    </row>
    <row r="370" spans="1:8" hidden="1" x14ac:dyDescent="0.25">
      <c r="A370" s="5" t="str">
        <f>HYPERLINK("https://app.vivvix.com/360/KMI/IntelliDrive/ApplUI/Pages/CreativePages/CustomReportCreativeDetail.aspx?App=23&amp;ReportView=4&amp;Qid=1711242&amp;Row=362&amp;Col=1","No Title Assigned - #15265005841")</f>
        <v>No Title Assigned - #15265005841</v>
      </c>
      <c r="B370" t="s">
        <v>593</v>
      </c>
      <c r="C370" t="s">
        <v>594</v>
      </c>
      <c r="D370" t="s">
        <v>594</v>
      </c>
      <c r="E370" t="s">
        <v>15</v>
      </c>
      <c r="F370" t="s">
        <v>20</v>
      </c>
      <c r="G370" t="s">
        <v>31</v>
      </c>
      <c r="H370" s="1">
        <v>597.62649999999996</v>
      </c>
    </row>
    <row r="371" spans="1:8" hidden="1" x14ac:dyDescent="0.25">
      <c r="A371" s="5" t="str">
        <f>HYPERLINK("https://app.vivvix.com/360/KMI/IntelliDrive/ApplUI/Pages/CreativePages/CustomReportCreativeDetail.aspx?App=23&amp;ReportView=4&amp;Qid=1711242&amp;Row=363&amp;Col=1","No Title Assigned - #15265062867")</f>
        <v>No Title Assigned - #15265062867</v>
      </c>
      <c r="B371" t="s">
        <v>595</v>
      </c>
      <c r="C371" t="s">
        <v>596</v>
      </c>
      <c r="D371" t="s">
        <v>596</v>
      </c>
      <c r="E371" t="s">
        <v>15</v>
      </c>
      <c r="F371" t="s">
        <v>15</v>
      </c>
      <c r="G371" t="s">
        <v>137</v>
      </c>
    </row>
    <row r="372" spans="1:8" hidden="1" x14ac:dyDescent="0.25">
      <c r="A372" s="5" t="str">
        <f>HYPERLINK("https://app.vivvix.com/360/KMI/IntelliDrive/ApplUI/Pages/CreativePages/CustomReportCreativeDetail.aspx?App=23&amp;ReportView=4&amp;Qid=1711242&amp;Row=364&amp;Col=1","No Title Assigned - #15265077463")</f>
        <v>No Title Assigned - #15265077463</v>
      </c>
      <c r="B372" t="s">
        <v>597</v>
      </c>
      <c r="E372" t="s">
        <v>15</v>
      </c>
      <c r="F372" t="s">
        <v>15</v>
      </c>
      <c r="G372" t="s">
        <v>119</v>
      </c>
      <c r="H372" s="1">
        <v>47074.356399999997</v>
      </c>
    </row>
    <row r="373" spans="1:8" hidden="1" x14ac:dyDescent="0.25">
      <c r="A373" s="5" t="str">
        <f>HYPERLINK("https://app.vivvix.com/360/KMI/IntelliDrive/ApplUI/Pages/CreativePages/CustomReportCreativeDetail.aspx?App=23&amp;ReportView=4&amp;Qid=1711242&amp;Row=365&amp;Col=1","No Title Assigned - #15265127157")</f>
        <v>No Title Assigned - #15265127157</v>
      </c>
      <c r="B373" t="s">
        <v>598</v>
      </c>
      <c r="E373" t="s">
        <v>15</v>
      </c>
      <c r="F373" t="s">
        <v>15</v>
      </c>
      <c r="G373" t="s">
        <v>137</v>
      </c>
      <c r="H373" s="1">
        <v>1060.7483999999999</v>
      </c>
    </row>
    <row r="374" spans="1:8" hidden="1" x14ac:dyDescent="0.25">
      <c r="A374" s="5" t="str">
        <f>HYPERLINK("https://app.vivvix.com/360/KMI/IntelliDrive/ApplUI/Pages/CreativePages/CustomReportCreativeDetail.aspx?App=23&amp;ReportView=4&amp;Qid=1711242&amp;Row=366&amp;Col=1","No Title Assigned - #15265130745")</f>
        <v>No Title Assigned - #15265130745</v>
      </c>
      <c r="B374" t="s">
        <v>599</v>
      </c>
      <c r="C374" t="s">
        <v>600</v>
      </c>
      <c r="D374" t="s">
        <v>600</v>
      </c>
      <c r="E374" t="s">
        <v>15</v>
      </c>
      <c r="F374" t="s">
        <v>15</v>
      </c>
      <c r="G374" t="s">
        <v>137</v>
      </c>
    </row>
    <row r="375" spans="1:8" hidden="1" x14ac:dyDescent="0.25">
      <c r="A375" s="5" t="str">
        <f>HYPERLINK("https://app.vivvix.com/360/KMI/IntelliDrive/ApplUI/Pages/CreativePages/CustomReportCreativeDetail.aspx?App=23&amp;ReportView=4&amp;Qid=1711242&amp;Row=367&amp;Col=1","No Title Assigned - #15265317855")</f>
        <v>No Title Assigned - #15265317855</v>
      </c>
      <c r="B375" t="s">
        <v>601</v>
      </c>
      <c r="C375" t="s">
        <v>602</v>
      </c>
      <c r="D375" t="s">
        <v>602</v>
      </c>
      <c r="E375" t="s">
        <v>15</v>
      </c>
      <c r="F375" t="s">
        <v>133</v>
      </c>
      <c r="G375" t="s">
        <v>187</v>
      </c>
      <c r="H375" s="1">
        <v>18018.4022</v>
      </c>
    </row>
    <row r="376" spans="1:8" hidden="1" x14ac:dyDescent="0.25">
      <c r="A376" s="5" t="str">
        <f>HYPERLINK("https://app.vivvix.com/360/KMI/IntelliDrive/ApplUI/Pages/CreativePages/CustomReportCreativeDetail.aspx?App=23&amp;ReportView=4&amp;Qid=1711242&amp;Row=368&amp;Col=1","No Title Assigned - #15265458159")</f>
        <v>No Title Assigned - #15265458159</v>
      </c>
      <c r="B376" t="s">
        <v>603</v>
      </c>
      <c r="C376" t="s">
        <v>604</v>
      </c>
      <c r="D376" t="s">
        <v>604</v>
      </c>
      <c r="E376" t="s">
        <v>15</v>
      </c>
      <c r="F376" t="s">
        <v>15</v>
      </c>
      <c r="G376" t="s">
        <v>137</v>
      </c>
    </row>
    <row r="377" spans="1:8" hidden="1" x14ac:dyDescent="0.25">
      <c r="A377" s="5" t="str">
        <f>HYPERLINK("https://app.vivvix.com/360/KMI/IntelliDrive/ApplUI/Pages/CreativePages/CustomReportCreativeDetail.aspx?App=23&amp;ReportView=4&amp;Qid=1711242&amp;Row=369&amp;Col=1","No Title Assigned - #15265500010")</f>
        <v>No Title Assigned - #15265500010</v>
      </c>
      <c r="B377" t="s">
        <v>605</v>
      </c>
      <c r="C377" t="s">
        <v>606</v>
      </c>
      <c r="D377" t="s">
        <v>606</v>
      </c>
      <c r="E377" t="s">
        <v>15</v>
      </c>
      <c r="F377" t="s">
        <v>20</v>
      </c>
      <c r="G377" t="s">
        <v>31</v>
      </c>
      <c r="H377" s="1">
        <v>337.13069999999999</v>
      </c>
    </row>
    <row r="378" spans="1:8" hidden="1" x14ac:dyDescent="0.25">
      <c r="A378" s="5" t="str">
        <f>HYPERLINK("https://app.vivvix.com/360/KMI/IntelliDrive/ApplUI/Pages/CreativePages/CustomReportCreativeDetail.aspx?App=23&amp;ReportView=4&amp;Qid=1711242&amp;Row=370&amp;Col=1","No Title Assigned - #15265571087")</f>
        <v>No Title Assigned - #15265571087</v>
      </c>
      <c r="B378" t="s">
        <v>607</v>
      </c>
      <c r="C378" t="s">
        <v>608</v>
      </c>
      <c r="D378" t="s">
        <v>608</v>
      </c>
      <c r="E378" t="s">
        <v>15</v>
      </c>
      <c r="F378" t="s">
        <v>181</v>
      </c>
      <c r="G378" t="s">
        <v>182</v>
      </c>
      <c r="H378" s="1">
        <v>905.71140000000003</v>
      </c>
    </row>
    <row r="379" spans="1:8" hidden="1" x14ac:dyDescent="0.25">
      <c r="A379" s="5" t="str">
        <f>HYPERLINK("https://app.vivvix.com/360/KMI/IntelliDrive/ApplUI/Pages/CreativePages/CustomReportCreativeDetail.aspx?App=23&amp;ReportView=4&amp;Qid=1711242&amp;Row=371&amp;Col=1","No Title Assigned - #15265664008")</f>
        <v>No Title Assigned - #15265664008</v>
      </c>
      <c r="B379" t="s">
        <v>609</v>
      </c>
      <c r="C379" t="s">
        <v>610</v>
      </c>
      <c r="D379" t="s">
        <v>610</v>
      </c>
      <c r="E379" t="s">
        <v>15</v>
      </c>
      <c r="F379" t="s">
        <v>20</v>
      </c>
      <c r="G379" t="s">
        <v>31</v>
      </c>
      <c r="H379" s="1">
        <v>1023.2205</v>
      </c>
    </row>
    <row r="380" spans="1:8" hidden="1" x14ac:dyDescent="0.25">
      <c r="A380" s="5" t="str">
        <f>HYPERLINK("https://app.vivvix.com/360/KMI/IntelliDrive/ApplUI/Pages/CreativePages/CustomReportCreativeDetail.aspx?App=23&amp;ReportView=4&amp;Qid=1711242&amp;Row=372&amp;Col=1","No Title Assigned - #15265711952")</f>
        <v>No Title Assigned - #15265711952</v>
      </c>
      <c r="B380" t="s">
        <v>611</v>
      </c>
      <c r="E380" t="s">
        <v>15</v>
      </c>
      <c r="F380" t="s">
        <v>15</v>
      </c>
      <c r="G380" t="s">
        <v>137</v>
      </c>
      <c r="H380" s="1">
        <v>8582.8613000000005</v>
      </c>
    </row>
    <row r="381" spans="1:8" hidden="1" x14ac:dyDescent="0.25">
      <c r="A381" s="5" t="str">
        <f>HYPERLINK("https://app.vivvix.com/360/KMI/IntelliDrive/ApplUI/Pages/CreativePages/CustomReportCreativeDetail.aspx?App=23&amp;ReportView=4&amp;Qid=1711242&amp;Row=373&amp;Col=1","No Title Assigned - #15265780663")</f>
        <v>No Title Assigned - #15265780663</v>
      </c>
      <c r="B381" t="s">
        <v>612</v>
      </c>
      <c r="C381" t="s">
        <v>613</v>
      </c>
      <c r="D381" t="s">
        <v>613</v>
      </c>
      <c r="E381" t="s">
        <v>15</v>
      </c>
      <c r="F381" t="s">
        <v>16</v>
      </c>
      <c r="G381" t="s">
        <v>54</v>
      </c>
      <c r="H381" s="1">
        <v>20082.4535</v>
      </c>
    </row>
    <row r="382" spans="1:8" hidden="1" x14ac:dyDescent="0.25">
      <c r="A382" s="5" t="str">
        <f>HYPERLINK("https://app.vivvix.com/360/KMI/IntelliDrive/ApplUI/Pages/CreativePages/CustomReportCreativeDetail.aspx?App=23&amp;ReportView=4&amp;Qid=1711242&amp;Row=374&amp;Col=1","No Title Assigned - #15265791860")</f>
        <v>No Title Assigned - #15265791860</v>
      </c>
      <c r="B382" t="s">
        <v>614</v>
      </c>
      <c r="C382" t="s">
        <v>615</v>
      </c>
      <c r="D382" t="s">
        <v>615</v>
      </c>
      <c r="E382" t="s">
        <v>15</v>
      </c>
      <c r="F382" t="s">
        <v>16</v>
      </c>
      <c r="G382" t="s">
        <v>54</v>
      </c>
      <c r="H382" s="1">
        <v>2637.8208</v>
      </c>
    </row>
    <row r="383" spans="1:8" hidden="1" x14ac:dyDescent="0.25">
      <c r="A383" s="5" t="str">
        <f>HYPERLINK("https://app.vivvix.com/360/KMI/IntelliDrive/ApplUI/Pages/CreativePages/CustomReportCreativeDetail.aspx?App=23&amp;ReportView=4&amp;Qid=1711242&amp;Row=375&amp;Col=1","No Title Assigned - #15265800258")</f>
        <v>No Title Assigned - #15265800258</v>
      </c>
      <c r="B383" t="s">
        <v>616</v>
      </c>
      <c r="C383" t="s">
        <v>617</v>
      </c>
      <c r="D383" t="s">
        <v>617</v>
      </c>
      <c r="E383" t="s">
        <v>15</v>
      </c>
      <c r="F383" t="s">
        <v>16</v>
      </c>
      <c r="G383" t="s">
        <v>54</v>
      </c>
      <c r="H383" s="1">
        <v>61129.415000000001</v>
      </c>
    </row>
    <row r="384" spans="1:8" hidden="1" x14ac:dyDescent="0.25">
      <c r="A384" s="5" t="str">
        <f>HYPERLINK("https://app.vivvix.com/360/KMI/IntelliDrive/ApplUI/Pages/CreativePages/CustomReportCreativeDetail.aspx?App=23&amp;ReportView=4&amp;Qid=1711242&amp;Row=376&amp;Col=1","No Title Assigned - #15265800258")</f>
        <v>No Title Assigned - #15265800258</v>
      </c>
      <c r="B384" t="s">
        <v>616</v>
      </c>
      <c r="E384" t="s">
        <v>15</v>
      </c>
      <c r="F384" t="s">
        <v>16</v>
      </c>
      <c r="G384" t="s">
        <v>54</v>
      </c>
      <c r="H384" s="1">
        <v>1313.5081</v>
      </c>
    </row>
    <row r="385" spans="1:8" hidden="1" x14ac:dyDescent="0.25">
      <c r="A385" s="5" t="str">
        <f>HYPERLINK("https://app.vivvix.com/360/KMI/IntelliDrive/ApplUI/Pages/CreativePages/CustomReportCreativeDetail.aspx?App=23&amp;ReportView=4&amp;Qid=1711242&amp;Row=377&amp;Col=1","No Title Assigned - #15265811325")</f>
        <v>No Title Assigned - #15265811325</v>
      </c>
      <c r="B385" t="s">
        <v>618</v>
      </c>
      <c r="E385" t="s">
        <v>15</v>
      </c>
      <c r="F385" t="s">
        <v>16</v>
      </c>
      <c r="G385" t="s">
        <v>54</v>
      </c>
      <c r="H385" s="1">
        <v>6816.3752000000004</v>
      </c>
    </row>
    <row r="386" spans="1:8" hidden="1" x14ac:dyDescent="0.25">
      <c r="A386" s="5" t="str">
        <f>HYPERLINK("https://app.vivvix.com/360/KMI/IntelliDrive/ApplUI/Pages/CreativePages/CustomReportCreativeDetail.aspx?App=23&amp;ReportView=4&amp;Qid=1711242&amp;Row=378&amp;Col=1","No Title Assigned - #15265811325")</f>
        <v>No Title Assigned - #15265811325</v>
      </c>
      <c r="B386" t="s">
        <v>618</v>
      </c>
      <c r="C386" t="s">
        <v>619</v>
      </c>
      <c r="D386" t="s">
        <v>619</v>
      </c>
      <c r="E386" t="s">
        <v>15</v>
      </c>
      <c r="F386" t="s">
        <v>16</v>
      </c>
      <c r="G386" t="s">
        <v>54</v>
      </c>
      <c r="H386" s="1">
        <v>19207.246599999999</v>
      </c>
    </row>
    <row r="387" spans="1:8" hidden="1" x14ac:dyDescent="0.25">
      <c r="A387" s="5" t="str">
        <f>HYPERLINK("https://app.vivvix.com/360/KMI/IntelliDrive/ApplUI/Pages/CreativePages/CustomReportCreativeDetail.aspx?App=23&amp;ReportView=4&amp;Qid=1711242&amp;Row=379&amp;Col=1","No Title Assigned - #15265818034")</f>
        <v>No Title Assigned - #15265818034</v>
      </c>
      <c r="B387" t="s">
        <v>620</v>
      </c>
      <c r="C387" t="s">
        <v>621</v>
      </c>
      <c r="D387" t="s">
        <v>622</v>
      </c>
      <c r="E387" t="s">
        <v>15</v>
      </c>
      <c r="F387" t="s">
        <v>16</v>
      </c>
      <c r="G387" t="s">
        <v>54</v>
      </c>
      <c r="H387" s="1">
        <v>5482.7673999999997</v>
      </c>
    </row>
    <row r="388" spans="1:8" hidden="1" x14ac:dyDescent="0.25">
      <c r="A388" s="5" t="str">
        <f>HYPERLINK("https://app.vivvix.com/360/KMI/IntelliDrive/ApplUI/Pages/CreativePages/CustomReportCreativeDetail.aspx?App=23&amp;ReportView=4&amp;Qid=1711242&amp;Row=380&amp;Col=1","No Title Assigned - #15265818034")</f>
        <v>No Title Assigned - #15265818034</v>
      </c>
      <c r="B388" t="s">
        <v>620</v>
      </c>
      <c r="E388" t="s">
        <v>15</v>
      </c>
      <c r="F388" t="s">
        <v>16</v>
      </c>
      <c r="G388" t="s">
        <v>54</v>
      </c>
      <c r="H388" s="1">
        <v>30452.3122</v>
      </c>
    </row>
    <row r="389" spans="1:8" hidden="1" x14ac:dyDescent="0.25">
      <c r="A389" s="5" t="str">
        <f>HYPERLINK("https://app.vivvix.com/360/KMI/IntelliDrive/ApplUI/Pages/CreativePages/CustomReportCreativeDetail.aspx?App=23&amp;ReportView=4&amp;Qid=1711242&amp;Row=381&amp;Col=1","No Title Assigned - #15265824060")</f>
        <v>No Title Assigned - #15265824060</v>
      </c>
      <c r="B389" t="s">
        <v>623</v>
      </c>
      <c r="E389" t="s">
        <v>15</v>
      </c>
      <c r="F389" t="s">
        <v>16</v>
      </c>
      <c r="G389" t="s">
        <v>54</v>
      </c>
      <c r="H389" s="1">
        <v>39068.266100000001</v>
      </c>
    </row>
    <row r="390" spans="1:8" hidden="1" x14ac:dyDescent="0.25">
      <c r="A390" s="5" t="str">
        <f>HYPERLINK("https://app.vivvix.com/360/KMI/IntelliDrive/ApplUI/Pages/CreativePages/CustomReportCreativeDetail.aspx?App=23&amp;ReportView=4&amp;Qid=1711242&amp;Row=382&amp;Col=1","No Title Assigned - #15265824060")</f>
        <v>No Title Assigned - #15265824060</v>
      </c>
      <c r="B390" t="s">
        <v>623</v>
      </c>
      <c r="C390" t="s">
        <v>622</v>
      </c>
      <c r="D390" t="s">
        <v>622</v>
      </c>
      <c r="E390" t="s">
        <v>15</v>
      </c>
      <c r="F390" t="s">
        <v>16</v>
      </c>
      <c r="G390" t="s">
        <v>54</v>
      </c>
      <c r="H390" s="1">
        <v>4148.9137000000001</v>
      </c>
    </row>
    <row r="391" spans="1:8" hidden="1" x14ac:dyDescent="0.25">
      <c r="A391" s="5" t="str">
        <f>HYPERLINK("https://app.vivvix.com/360/KMI/IntelliDrive/ApplUI/Pages/CreativePages/CustomReportCreativeDetail.aspx?App=23&amp;ReportView=4&amp;Qid=1711242&amp;Row=383&amp;Col=1","No Title Assigned - #15265852767")</f>
        <v>No Title Assigned - #15265852767</v>
      </c>
      <c r="B391" t="s">
        <v>624</v>
      </c>
      <c r="C391" t="s">
        <v>625</v>
      </c>
      <c r="D391" t="s">
        <v>625</v>
      </c>
      <c r="E391" t="s">
        <v>15</v>
      </c>
      <c r="F391" t="s">
        <v>181</v>
      </c>
      <c r="G391" t="s">
        <v>182</v>
      </c>
      <c r="H391" s="1">
        <v>3244.6788999999999</v>
      </c>
    </row>
    <row r="392" spans="1:8" hidden="1" x14ac:dyDescent="0.25">
      <c r="A392" s="5" t="str">
        <f>HYPERLINK("https://app.vivvix.com/360/KMI/IntelliDrive/ApplUI/Pages/CreativePages/CustomReportCreativeDetail.aspx?App=23&amp;ReportView=4&amp;Qid=1711242&amp;Row=384&amp;Col=1","No Title Assigned - #15265903835")</f>
        <v>No Title Assigned - #15265903835</v>
      </c>
      <c r="B392" t="s">
        <v>626</v>
      </c>
      <c r="C392" t="s">
        <v>627</v>
      </c>
      <c r="D392" t="s">
        <v>627</v>
      </c>
      <c r="E392" t="s">
        <v>15</v>
      </c>
      <c r="F392" t="s">
        <v>15</v>
      </c>
      <c r="G392" t="s">
        <v>120</v>
      </c>
      <c r="H392" s="1">
        <v>651.20699999999999</v>
      </c>
    </row>
    <row r="393" spans="1:8" hidden="1" x14ac:dyDescent="0.25">
      <c r="A393" s="5" t="str">
        <f>HYPERLINK("https://app.vivvix.com/360/KMI/IntelliDrive/ApplUI/Pages/CreativePages/CustomReportCreativeDetail.aspx?App=23&amp;ReportView=4&amp;Qid=1711242&amp;Row=385&amp;Col=1","No Title Assigned - #15265984060")</f>
        <v>No Title Assigned - #15265984060</v>
      </c>
      <c r="B393" t="s">
        <v>628</v>
      </c>
      <c r="C393" t="s">
        <v>629</v>
      </c>
      <c r="D393" t="s">
        <v>629</v>
      </c>
      <c r="E393" t="s">
        <v>15</v>
      </c>
      <c r="F393" t="s">
        <v>50</v>
      </c>
      <c r="G393" t="s">
        <v>51</v>
      </c>
      <c r="H393" s="1">
        <v>320557.92310000001</v>
      </c>
    </row>
    <row r="394" spans="1:8" hidden="1" x14ac:dyDescent="0.25">
      <c r="A394" s="5" t="str">
        <f>HYPERLINK("https://app.vivvix.com/360/KMI/IntelliDrive/ApplUI/Pages/CreativePages/CustomReportCreativeDetail.aspx?App=23&amp;ReportView=4&amp;Qid=1711242&amp;Row=386&amp;Col=1","No Title Assigned - #15266025493")</f>
        <v>No Title Assigned - #15266025493</v>
      </c>
      <c r="B394" t="s">
        <v>630</v>
      </c>
      <c r="C394" t="s">
        <v>608</v>
      </c>
      <c r="D394" t="s">
        <v>608</v>
      </c>
      <c r="E394" t="s">
        <v>15</v>
      </c>
      <c r="F394" t="s">
        <v>181</v>
      </c>
      <c r="G394" t="s">
        <v>182</v>
      </c>
      <c r="H394" s="1">
        <v>1043.5827999999999</v>
      </c>
    </row>
    <row r="395" spans="1:8" hidden="1" x14ac:dyDescent="0.25">
      <c r="A395" s="5" t="str">
        <f>HYPERLINK("https://app.vivvix.com/360/KMI/IntelliDrive/ApplUI/Pages/CreativePages/CustomReportCreativeDetail.aspx?App=23&amp;ReportView=4&amp;Qid=1711242&amp;Row=387&amp;Col=1","No Title Assigned - #15266032934")</f>
        <v>No Title Assigned - #15266032934</v>
      </c>
      <c r="B395" t="s">
        <v>631</v>
      </c>
      <c r="C395" t="s">
        <v>546</v>
      </c>
      <c r="D395" t="s">
        <v>465</v>
      </c>
      <c r="E395" t="s">
        <v>15</v>
      </c>
      <c r="F395" t="s">
        <v>20</v>
      </c>
      <c r="G395" t="s">
        <v>31</v>
      </c>
      <c r="H395" s="1">
        <v>18998.429499999998</v>
      </c>
    </row>
    <row r="396" spans="1:8" hidden="1" x14ac:dyDescent="0.25">
      <c r="A396" s="5" t="str">
        <f>HYPERLINK("https://app.vivvix.com/360/KMI/IntelliDrive/ApplUI/Pages/CreativePages/CustomReportCreativeDetail.aspx?App=23&amp;ReportView=4&amp;Qid=1711242&amp;Row=388&amp;Col=1","No Title Assigned - #15266033389")</f>
        <v>No Title Assigned - #15266033389</v>
      </c>
      <c r="B396" t="s">
        <v>632</v>
      </c>
      <c r="C396" t="s">
        <v>633</v>
      </c>
      <c r="D396" t="s">
        <v>625</v>
      </c>
      <c r="E396" t="s">
        <v>15</v>
      </c>
      <c r="F396" t="s">
        <v>181</v>
      </c>
      <c r="G396" t="s">
        <v>182</v>
      </c>
      <c r="H396" s="1">
        <v>4174.3311999999996</v>
      </c>
    </row>
    <row r="397" spans="1:8" hidden="1" x14ac:dyDescent="0.25">
      <c r="A397" s="5" t="str">
        <f>HYPERLINK("https://app.vivvix.com/360/KMI/IntelliDrive/ApplUI/Pages/CreativePages/CustomReportCreativeDetail.aspx?App=23&amp;ReportView=4&amp;Qid=1711242&amp;Row=389&amp;Col=1","No Title Assigned - #15266036374")</f>
        <v>No Title Assigned - #15266036374</v>
      </c>
      <c r="B397" t="s">
        <v>634</v>
      </c>
      <c r="C397" t="s">
        <v>635</v>
      </c>
      <c r="D397" t="s">
        <v>635</v>
      </c>
      <c r="E397" t="s">
        <v>15</v>
      </c>
      <c r="F397" t="s">
        <v>20</v>
      </c>
      <c r="G397" t="s">
        <v>31</v>
      </c>
      <c r="H397" s="1">
        <v>3071.1149</v>
      </c>
    </row>
    <row r="398" spans="1:8" hidden="1" x14ac:dyDescent="0.25">
      <c r="A398" s="5" t="str">
        <f>HYPERLINK("https://app.vivvix.com/360/KMI/IntelliDrive/ApplUI/Pages/CreativePages/CustomReportCreativeDetail.aspx?App=23&amp;ReportView=4&amp;Qid=1711242&amp;Row=390&amp;Col=1","No Title Assigned - #15266062148")</f>
        <v>No Title Assigned - #15266062148</v>
      </c>
      <c r="B398" t="s">
        <v>636</v>
      </c>
      <c r="C398" t="s">
        <v>637</v>
      </c>
      <c r="D398" t="s">
        <v>637</v>
      </c>
      <c r="E398" t="s">
        <v>15</v>
      </c>
      <c r="F398" t="s">
        <v>20</v>
      </c>
      <c r="G398" t="s">
        <v>31</v>
      </c>
      <c r="H398" s="1">
        <v>16046.990599999999</v>
      </c>
    </row>
    <row r="399" spans="1:8" hidden="1" x14ac:dyDescent="0.25">
      <c r="A399" s="5" t="str">
        <f>HYPERLINK("https://app.vivvix.com/360/KMI/IntelliDrive/ApplUI/Pages/CreativePages/CustomReportCreativeDetail.aspx?App=23&amp;ReportView=4&amp;Qid=1711242&amp;Row=391&amp;Col=1","No Title Assigned - #15266084612")</f>
        <v>No Title Assigned - #15266084612</v>
      </c>
      <c r="B399" t="s">
        <v>638</v>
      </c>
      <c r="C399" t="s">
        <v>639</v>
      </c>
      <c r="D399" t="s">
        <v>639</v>
      </c>
      <c r="E399" t="s">
        <v>15</v>
      </c>
      <c r="F399" t="s">
        <v>133</v>
      </c>
      <c r="G399" t="s">
        <v>187</v>
      </c>
      <c r="H399" s="1">
        <v>525.91700000000003</v>
      </c>
    </row>
    <row r="400" spans="1:8" hidden="1" x14ac:dyDescent="0.25">
      <c r="A400" s="5" t="str">
        <f>HYPERLINK("https://app.vivvix.com/360/KMI/IntelliDrive/ApplUI/Pages/CreativePages/CustomReportCreativeDetail.aspx?App=23&amp;ReportView=4&amp;Qid=1711242&amp;Row=392&amp;Col=1","No Title Assigned - #15266089075")</f>
        <v>No Title Assigned - #15266089075</v>
      </c>
      <c r="B400" t="s">
        <v>640</v>
      </c>
      <c r="C400" t="s">
        <v>641</v>
      </c>
      <c r="D400" t="s">
        <v>641</v>
      </c>
      <c r="E400" t="s">
        <v>15</v>
      </c>
      <c r="F400" t="s">
        <v>20</v>
      </c>
      <c r="G400" t="s">
        <v>31</v>
      </c>
      <c r="H400" s="1">
        <v>61875.4692</v>
      </c>
    </row>
    <row r="401" spans="1:8" hidden="1" x14ac:dyDescent="0.25">
      <c r="A401" s="5" t="str">
        <f>HYPERLINK("https://app.vivvix.com/360/KMI/IntelliDrive/ApplUI/Pages/CreativePages/CustomReportCreativeDetail.aspx?App=23&amp;ReportView=4&amp;Qid=1711242&amp;Row=393&amp;Col=1","No Title Assigned - #15266091557")</f>
        <v>No Title Assigned - #15266091557</v>
      </c>
      <c r="B401" t="s">
        <v>642</v>
      </c>
      <c r="E401" t="s">
        <v>15</v>
      </c>
      <c r="F401" t="s">
        <v>15</v>
      </c>
      <c r="G401" t="s">
        <v>137</v>
      </c>
      <c r="H401" s="1">
        <v>1561.2471</v>
      </c>
    </row>
    <row r="402" spans="1:8" hidden="1" x14ac:dyDescent="0.25">
      <c r="A402" s="5" t="str">
        <f>HYPERLINK("https://app.vivvix.com/360/KMI/IntelliDrive/ApplUI/Pages/CreativePages/CustomReportCreativeDetail.aspx?App=23&amp;ReportView=4&amp;Qid=1711242&amp;Row=394&amp;Col=1","No Title Assigned - #15266106143")</f>
        <v>No Title Assigned - #15266106143</v>
      </c>
      <c r="B402" t="s">
        <v>643</v>
      </c>
      <c r="C402" t="s">
        <v>644</v>
      </c>
      <c r="D402" t="s">
        <v>644</v>
      </c>
      <c r="E402" t="s">
        <v>15</v>
      </c>
      <c r="F402" t="s">
        <v>16</v>
      </c>
      <c r="G402" t="s">
        <v>54</v>
      </c>
      <c r="H402" s="1">
        <v>442.48559999999998</v>
      </c>
    </row>
    <row r="403" spans="1:8" hidden="1" x14ac:dyDescent="0.25">
      <c r="A403" s="5" t="str">
        <f>HYPERLINK("https://app.vivvix.com/360/KMI/IntelliDrive/ApplUI/Pages/CreativePages/CustomReportCreativeDetail.aspx?App=23&amp;ReportView=4&amp;Qid=1711242&amp;Row=395&amp;Col=1","No Title Assigned - #15266106357")</f>
        <v>No Title Assigned - #15266106357</v>
      </c>
      <c r="B403" t="s">
        <v>645</v>
      </c>
      <c r="C403" t="s">
        <v>646</v>
      </c>
      <c r="D403" t="s">
        <v>646</v>
      </c>
      <c r="E403" t="s">
        <v>15</v>
      </c>
      <c r="F403" t="s">
        <v>50</v>
      </c>
      <c r="G403" t="s">
        <v>51</v>
      </c>
      <c r="H403" s="1">
        <v>525.91700000000003</v>
      </c>
    </row>
    <row r="404" spans="1:8" hidden="1" x14ac:dyDescent="0.25">
      <c r="A404" s="5" t="str">
        <f>HYPERLINK("https://app.vivvix.com/360/KMI/IntelliDrive/ApplUI/Pages/CreativePages/CustomReportCreativeDetail.aspx?App=23&amp;ReportView=4&amp;Qid=1711242&amp;Row=396&amp;Col=1","No Title Assigned - #15266157994")</f>
        <v>No Title Assigned - #15266157994</v>
      </c>
      <c r="B404" t="s">
        <v>647</v>
      </c>
      <c r="C404" t="s">
        <v>648</v>
      </c>
      <c r="D404" t="s">
        <v>648</v>
      </c>
      <c r="E404" t="s">
        <v>15</v>
      </c>
      <c r="F404" t="s">
        <v>16</v>
      </c>
      <c r="G404" t="s">
        <v>54</v>
      </c>
      <c r="H404" s="1">
        <v>40247.580199999997</v>
      </c>
    </row>
    <row r="405" spans="1:8" hidden="1" x14ac:dyDescent="0.25">
      <c r="A405" s="5" t="str">
        <f>HYPERLINK("https://app.vivvix.com/360/KMI/IntelliDrive/ApplUI/Pages/CreativePages/CustomReportCreativeDetail.aspx?App=23&amp;ReportView=4&amp;Qid=1711242&amp;Row=397&amp;Col=1","No Title Assigned - #15266179625")</f>
        <v>No Title Assigned - #15266179625</v>
      </c>
      <c r="B405" t="s">
        <v>649</v>
      </c>
      <c r="C405" t="s">
        <v>650</v>
      </c>
      <c r="D405" t="s">
        <v>650</v>
      </c>
      <c r="E405" t="s">
        <v>15</v>
      </c>
      <c r="F405" t="s">
        <v>20</v>
      </c>
      <c r="G405" t="s">
        <v>31</v>
      </c>
      <c r="H405" s="1">
        <v>108826.49219999999</v>
      </c>
    </row>
    <row r="406" spans="1:8" hidden="1" x14ac:dyDescent="0.25">
      <c r="A406" s="5" t="str">
        <f>HYPERLINK("https://app.vivvix.com/360/KMI/IntelliDrive/ApplUI/Pages/CreativePages/CustomReportCreativeDetail.aspx?App=23&amp;ReportView=4&amp;Qid=1711242&amp;Row=398&amp;Col=1","No Title Assigned - #15266191645")</f>
        <v>No Title Assigned - #15266191645</v>
      </c>
      <c r="B406" t="s">
        <v>651</v>
      </c>
      <c r="C406" t="s">
        <v>652</v>
      </c>
      <c r="D406" t="s">
        <v>652</v>
      </c>
      <c r="E406" t="s">
        <v>15</v>
      </c>
      <c r="F406" t="s">
        <v>20</v>
      </c>
      <c r="G406" t="s">
        <v>31</v>
      </c>
      <c r="H406" s="1">
        <v>1588.3426999999999</v>
      </c>
    </row>
    <row r="407" spans="1:8" hidden="1" x14ac:dyDescent="0.25">
      <c r="A407" s="5" t="str">
        <f>HYPERLINK("https://app.vivvix.com/360/KMI/IntelliDrive/ApplUI/Pages/CreativePages/CustomReportCreativeDetail.aspx?App=23&amp;ReportView=4&amp;Qid=1711242&amp;Row=399&amp;Col=1","No Title Assigned - #15266207152")</f>
        <v>No Title Assigned - #15266207152</v>
      </c>
      <c r="B407" t="s">
        <v>653</v>
      </c>
      <c r="C407" t="s">
        <v>654</v>
      </c>
      <c r="D407" t="s">
        <v>654</v>
      </c>
      <c r="E407" t="s">
        <v>15</v>
      </c>
      <c r="F407" t="s">
        <v>181</v>
      </c>
      <c r="G407" t="s">
        <v>182</v>
      </c>
      <c r="H407" s="1">
        <v>10143.428599999999</v>
      </c>
    </row>
    <row r="408" spans="1:8" hidden="1" x14ac:dyDescent="0.25">
      <c r="A408" s="5" t="str">
        <f>HYPERLINK("https://app.vivvix.com/360/KMI/IntelliDrive/ApplUI/Pages/CreativePages/CustomReportCreativeDetail.aspx?App=23&amp;ReportView=4&amp;Qid=1711242&amp;Row=400&amp;Col=1","No Title Assigned - #15266266567")</f>
        <v>No Title Assigned - #15266266567</v>
      </c>
      <c r="B408" t="s">
        <v>655</v>
      </c>
      <c r="C408" t="s">
        <v>656</v>
      </c>
      <c r="D408" t="s">
        <v>656</v>
      </c>
      <c r="E408" t="s">
        <v>15</v>
      </c>
      <c r="F408" t="s">
        <v>20</v>
      </c>
      <c r="G408" t="s">
        <v>31</v>
      </c>
      <c r="H408" s="1">
        <v>8032.8019999999997</v>
      </c>
    </row>
    <row r="409" spans="1:8" hidden="1" x14ac:dyDescent="0.25">
      <c r="A409" s="5" t="str">
        <f>HYPERLINK("https://app.vivvix.com/360/KMI/IntelliDrive/ApplUI/Pages/CreativePages/CustomReportCreativeDetail.aspx?App=23&amp;ReportView=4&amp;Qid=1711242&amp;Row=401&amp;Col=1","No Title Assigned - #15266284895")</f>
        <v>No Title Assigned - #15266284895</v>
      </c>
      <c r="B409" t="s">
        <v>657</v>
      </c>
      <c r="C409" t="s">
        <v>658</v>
      </c>
      <c r="D409" t="s">
        <v>658</v>
      </c>
      <c r="E409" t="s">
        <v>15</v>
      </c>
      <c r="F409" t="s">
        <v>20</v>
      </c>
      <c r="G409" t="s">
        <v>31</v>
      </c>
      <c r="H409" s="1">
        <v>567.75239999999997</v>
      </c>
    </row>
    <row r="410" spans="1:8" hidden="1" x14ac:dyDescent="0.25">
      <c r="A410" s="5" t="str">
        <f>HYPERLINK("https://app.vivvix.com/360/KMI/IntelliDrive/ApplUI/Pages/CreativePages/CustomReportCreativeDetail.aspx?App=23&amp;ReportView=4&amp;Qid=1711242&amp;Row=402&amp;Col=1","No Title Assigned - #15266375494")</f>
        <v>No Title Assigned - #15266375494</v>
      </c>
      <c r="B410" t="s">
        <v>659</v>
      </c>
      <c r="C410" t="s">
        <v>660</v>
      </c>
      <c r="D410" t="s">
        <v>660</v>
      </c>
      <c r="E410" t="s">
        <v>15</v>
      </c>
      <c r="F410" t="s">
        <v>50</v>
      </c>
      <c r="G410" t="s">
        <v>51</v>
      </c>
      <c r="H410" s="1">
        <v>10279.254499999999</v>
      </c>
    </row>
    <row r="411" spans="1:8" hidden="1" x14ac:dyDescent="0.25">
      <c r="A411" s="5" t="str">
        <f>HYPERLINK("https://app.vivvix.com/360/KMI/IntelliDrive/ApplUI/Pages/CreativePages/CustomReportCreativeDetail.aspx?App=23&amp;ReportView=4&amp;Qid=1711242&amp;Row=403&amp;Col=1","No Title Assigned - #15266401492")</f>
        <v>No Title Assigned - #15266401492</v>
      </c>
      <c r="B411" t="s">
        <v>661</v>
      </c>
      <c r="E411" t="s">
        <v>15</v>
      </c>
      <c r="F411" t="s">
        <v>15</v>
      </c>
      <c r="G411" t="s">
        <v>137</v>
      </c>
    </row>
    <row r="412" spans="1:8" hidden="1" x14ac:dyDescent="0.25">
      <c r="A412" s="5" t="str">
        <f>HYPERLINK("https://app.vivvix.com/360/KMI/IntelliDrive/ApplUI/Pages/CreativePages/CustomReportCreativeDetail.aspx?App=23&amp;ReportView=4&amp;Qid=1711242&amp;Row=404&amp;Col=1","No Title Assigned - #15266417533")</f>
        <v>No Title Assigned - #15266417533</v>
      </c>
      <c r="B412" t="s">
        <v>662</v>
      </c>
      <c r="E412" t="s">
        <v>15</v>
      </c>
      <c r="F412" t="s">
        <v>15</v>
      </c>
      <c r="G412" t="s">
        <v>137</v>
      </c>
    </row>
    <row r="413" spans="1:8" hidden="1" x14ac:dyDescent="0.25">
      <c r="A413" s="5" t="str">
        <f>HYPERLINK("https://app.vivvix.com/360/KMI/IntelliDrive/ApplUI/Pages/CreativePages/CustomReportCreativeDetail.aspx?App=23&amp;ReportView=4&amp;Qid=1711242&amp;Row=405&amp;Col=1","No Title Assigned - #15266496083")</f>
        <v>No Title Assigned - #15266496083</v>
      </c>
      <c r="B413" t="s">
        <v>663</v>
      </c>
      <c r="E413" t="s">
        <v>15</v>
      </c>
      <c r="F413" t="s">
        <v>15</v>
      </c>
      <c r="G413" t="s">
        <v>137</v>
      </c>
      <c r="H413" s="1">
        <v>140699.02970000001</v>
      </c>
    </row>
    <row r="414" spans="1:8" hidden="1" x14ac:dyDescent="0.25">
      <c r="A414" s="5" t="str">
        <f>HYPERLINK("https://app.vivvix.com/360/KMI/IntelliDrive/ApplUI/Pages/CreativePages/CustomReportCreativeDetail.aspx?App=23&amp;ReportView=4&amp;Qid=1711242&amp;Row=406&amp;Col=1","No Title Assigned - #15266496152")</f>
        <v>No Title Assigned - #15266496152</v>
      </c>
      <c r="B414" t="s">
        <v>664</v>
      </c>
      <c r="E414" t="s">
        <v>15</v>
      </c>
      <c r="F414" t="s">
        <v>15</v>
      </c>
      <c r="G414" t="s">
        <v>137</v>
      </c>
      <c r="H414" s="1">
        <v>167911.28229999999</v>
      </c>
    </row>
    <row r="415" spans="1:8" hidden="1" x14ac:dyDescent="0.25">
      <c r="A415" s="5" t="str">
        <f>HYPERLINK("https://app.vivvix.com/360/KMI/IntelliDrive/ApplUI/Pages/CreativePages/CustomReportCreativeDetail.aspx?App=23&amp;ReportView=4&amp;Qid=1711242&amp;Row=407&amp;Col=1","No Title Assigned - #15266502702")</f>
        <v>No Title Assigned - #15266502702</v>
      </c>
      <c r="B415" t="s">
        <v>665</v>
      </c>
      <c r="C415" t="s">
        <v>666</v>
      </c>
      <c r="D415" t="s">
        <v>666</v>
      </c>
      <c r="E415" t="s">
        <v>15</v>
      </c>
      <c r="F415" t="s">
        <v>133</v>
      </c>
      <c r="G415" t="s">
        <v>187</v>
      </c>
      <c r="H415" s="1">
        <v>18482.762699999999</v>
      </c>
    </row>
    <row r="416" spans="1:8" hidden="1" x14ac:dyDescent="0.25">
      <c r="A416" s="5" t="str">
        <f>HYPERLINK("https://app.vivvix.com/360/KMI/IntelliDrive/ApplUI/Pages/CreativePages/CustomReportCreativeDetail.aspx?App=23&amp;ReportView=4&amp;Qid=1711242&amp;Row=408&amp;Col=1","No Title Assigned - #15266540852")</f>
        <v>No Title Assigned - #15266540852</v>
      </c>
      <c r="B416" t="s">
        <v>667</v>
      </c>
      <c r="E416" t="s">
        <v>15</v>
      </c>
      <c r="F416" t="s">
        <v>15</v>
      </c>
      <c r="G416" t="s">
        <v>137</v>
      </c>
      <c r="H416" s="1">
        <v>30148.140299999999</v>
      </c>
    </row>
    <row r="417" spans="1:8" hidden="1" x14ac:dyDescent="0.25">
      <c r="A417" s="5" t="str">
        <f>HYPERLINK("https://app.vivvix.com/360/KMI/IntelliDrive/ApplUI/Pages/CreativePages/CustomReportCreativeDetail.aspx?App=23&amp;ReportView=4&amp;Qid=1711242&amp;Row=409&amp;Col=1","No Title Assigned - #15266546689")</f>
        <v>No Title Assigned - #15266546689</v>
      </c>
      <c r="B417" t="s">
        <v>668</v>
      </c>
      <c r="C417" t="s">
        <v>669</v>
      </c>
      <c r="D417" t="s">
        <v>669</v>
      </c>
      <c r="E417" t="s">
        <v>15</v>
      </c>
      <c r="F417" t="s">
        <v>15</v>
      </c>
      <c r="G417" t="s">
        <v>137</v>
      </c>
      <c r="H417" s="1">
        <v>3617.7750000000001</v>
      </c>
    </row>
    <row r="418" spans="1:8" hidden="1" x14ac:dyDescent="0.25">
      <c r="A418" s="5" t="str">
        <f>HYPERLINK("https://app.vivvix.com/360/KMI/IntelliDrive/ApplUI/Pages/CreativePages/CustomReportCreativeDetail.aspx?App=23&amp;ReportView=4&amp;Qid=1711242&amp;Row=410&amp;Col=1","No Title Assigned - #15266557884")</f>
        <v>No Title Assigned - #15266557884</v>
      </c>
      <c r="B418" t="s">
        <v>670</v>
      </c>
      <c r="C418" t="s">
        <v>671</v>
      </c>
      <c r="D418" t="s">
        <v>671</v>
      </c>
      <c r="E418" t="s">
        <v>15</v>
      </c>
      <c r="F418" t="s">
        <v>15</v>
      </c>
      <c r="G418" t="s">
        <v>137</v>
      </c>
      <c r="H418" s="1">
        <v>39186.407800000001</v>
      </c>
    </row>
    <row r="419" spans="1:8" hidden="1" x14ac:dyDescent="0.25">
      <c r="A419" s="5" t="str">
        <f>HYPERLINK("https://app.vivvix.com/360/KMI/IntelliDrive/ApplUI/Pages/CreativePages/CustomReportCreativeDetail.aspx?App=23&amp;ReportView=4&amp;Qid=1711242&amp;Row=411&amp;Col=1","No Title Assigned - #15266607060")</f>
        <v>No Title Assigned - #15266607060</v>
      </c>
      <c r="B419" t="s">
        <v>672</v>
      </c>
      <c r="C419" t="s">
        <v>673</v>
      </c>
      <c r="D419" t="s">
        <v>673</v>
      </c>
      <c r="E419" t="s">
        <v>15</v>
      </c>
      <c r="F419" t="s">
        <v>20</v>
      </c>
      <c r="G419" t="s">
        <v>31</v>
      </c>
      <c r="H419" s="1">
        <v>3027.64</v>
      </c>
    </row>
    <row r="420" spans="1:8" hidden="1" x14ac:dyDescent="0.25">
      <c r="A420" s="5" t="str">
        <f>HYPERLINK("https://app.vivvix.com/360/KMI/IntelliDrive/ApplUI/Pages/CreativePages/CustomReportCreativeDetail.aspx?App=23&amp;ReportView=4&amp;Qid=1711242&amp;Row=412&amp;Col=1","No Title Assigned - #15266616403")</f>
        <v>No Title Assigned - #15266616403</v>
      </c>
      <c r="B420" t="s">
        <v>674</v>
      </c>
      <c r="C420" t="s">
        <v>675</v>
      </c>
      <c r="D420" t="s">
        <v>675</v>
      </c>
      <c r="E420" t="s">
        <v>15</v>
      </c>
      <c r="F420" t="s">
        <v>15</v>
      </c>
      <c r="G420" t="s">
        <v>137</v>
      </c>
      <c r="H420" s="1">
        <v>16543.209699999999</v>
      </c>
    </row>
    <row r="421" spans="1:8" hidden="1" x14ac:dyDescent="0.25">
      <c r="A421" s="5" t="str">
        <f>HYPERLINK("https://app.vivvix.com/360/KMI/IntelliDrive/ApplUI/Pages/CreativePages/CustomReportCreativeDetail.aspx?App=23&amp;ReportView=4&amp;Qid=1711242&amp;Row=413&amp;Col=1","No Title Assigned - #15266744413")</f>
        <v>No Title Assigned - #15266744413</v>
      </c>
      <c r="B421" t="s">
        <v>676</v>
      </c>
      <c r="C421" t="s">
        <v>608</v>
      </c>
      <c r="D421" t="s">
        <v>608</v>
      </c>
      <c r="E421" t="s">
        <v>15</v>
      </c>
      <c r="F421" t="s">
        <v>181</v>
      </c>
      <c r="G421" t="s">
        <v>182</v>
      </c>
      <c r="H421" s="1">
        <v>977.19939999999997</v>
      </c>
    </row>
    <row r="422" spans="1:8" hidden="1" x14ac:dyDescent="0.25">
      <c r="A422" s="5" t="str">
        <f>HYPERLINK("https://app.vivvix.com/360/KMI/IntelliDrive/ApplUI/Pages/CreativePages/CustomReportCreativeDetail.aspx?App=23&amp;ReportView=4&amp;Qid=1711242&amp;Row=414&amp;Col=1","No Title Assigned - #15266750147")</f>
        <v>No Title Assigned - #15266750147</v>
      </c>
      <c r="B422" t="s">
        <v>677</v>
      </c>
      <c r="E422" t="s">
        <v>15</v>
      </c>
      <c r="F422" t="s">
        <v>15</v>
      </c>
      <c r="G422" t="s">
        <v>137</v>
      </c>
      <c r="H422" s="1">
        <v>2739.0547999999999</v>
      </c>
    </row>
    <row r="423" spans="1:8" hidden="1" x14ac:dyDescent="0.25">
      <c r="A423" s="5" t="str">
        <f>HYPERLINK("https://app.vivvix.com/360/KMI/IntelliDrive/ApplUI/Pages/CreativePages/CustomReportCreativeDetail.aspx?App=23&amp;ReportView=4&amp;Qid=1711242&amp;Row=415&amp;Col=1","No Title Assigned - #15266824389")</f>
        <v>No Title Assigned - #15266824389</v>
      </c>
      <c r="B423" t="s">
        <v>678</v>
      </c>
      <c r="C423" t="s">
        <v>679</v>
      </c>
      <c r="D423" t="s">
        <v>679</v>
      </c>
      <c r="E423" t="s">
        <v>15</v>
      </c>
      <c r="F423" t="s">
        <v>16</v>
      </c>
      <c r="G423" t="s">
        <v>54</v>
      </c>
      <c r="H423" s="1">
        <v>28949.3037</v>
      </c>
    </row>
    <row r="424" spans="1:8" hidden="1" x14ac:dyDescent="0.25">
      <c r="A424" s="5" t="str">
        <f>HYPERLINK("https://app.vivvix.com/360/KMI/IntelliDrive/ApplUI/Pages/CreativePages/CustomReportCreativeDetail.aspx?App=23&amp;ReportView=4&amp;Qid=1711242&amp;Row=416&amp;Col=1","No Title Assigned - #15266824412")</f>
        <v>No Title Assigned - #15266824412</v>
      </c>
      <c r="B424" t="s">
        <v>680</v>
      </c>
      <c r="C424" t="s">
        <v>681</v>
      </c>
      <c r="D424" t="s">
        <v>681</v>
      </c>
      <c r="E424" t="s">
        <v>15</v>
      </c>
      <c r="F424" t="s">
        <v>50</v>
      </c>
      <c r="G424" t="s">
        <v>51</v>
      </c>
      <c r="H424" s="1">
        <v>782.58100000000002</v>
      </c>
    </row>
    <row r="425" spans="1:8" hidden="1" x14ac:dyDescent="0.25">
      <c r="A425" s="5" t="str">
        <f>HYPERLINK("https://app.vivvix.com/360/KMI/IntelliDrive/ApplUI/Pages/CreativePages/CustomReportCreativeDetail.aspx?App=23&amp;ReportView=4&amp;Qid=1711242&amp;Row=417&amp;Col=1","No Title Assigned - #15266883456")</f>
        <v>No Title Assigned - #15266883456</v>
      </c>
      <c r="B425" t="s">
        <v>682</v>
      </c>
      <c r="C425" t="s">
        <v>683</v>
      </c>
      <c r="D425" t="s">
        <v>683</v>
      </c>
      <c r="E425" t="s">
        <v>15</v>
      </c>
      <c r="F425" t="s">
        <v>15</v>
      </c>
      <c r="G425" t="s">
        <v>137</v>
      </c>
      <c r="H425" s="1">
        <v>1671.058</v>
      </c>
    </row>
    <row r="426" spans="1:8" hidden="1" x14ac:dyDescent="0.25">
      <c r="A426" s="5" t="str">
        <f>HYPERLINK("https://app.vivvix.com/360/KMI/IntelliDrive/ApplUI/Pages/CreativePages/CustomReportCreativeDetail.aspx?App=23&amp;ReportView=4&amp;Qid=1711242&amp;Row=418&amp;Col=1","No Title Assigned - #15266900122")</f>
        <v>No Title Assigned - #15266900122</v>
      </c>
      <c r="B426" t="s">
        <v>684</v>
      </c>
      <c r="E426" t="s">
        <v>15</v>
      </c>
      <c r="F426" t="s">
        <v>15</v>
      </c>
      <c r="G426" t="s">
        <v>137</v>
      </c>
      <c r="H426" s="1">
        <v>808.68129999999996</v>
      </c>
    </row>
    <row r="427" spans="1:8" hidden="1" x14ac:dyDescent="0.25">
      <c r="A427" s="5" t="str">
        <f>HYPERLINK("https://app.vivvix.com/360/KMI/IntelliDrive/ApplUI/Pages/CreativePages/CustomReportCreativeDetail.aspx?App=23&amp;ReportView=4&amp;Qid=1711242&amp;Row=419&amp;Col=1","No Title Assigned - #15266900146")</f>
        <v>No Title Assigned - #15266900146</v>
      </c>
      <c r="B427" t="s">
        <v>685</v>
      </c>
      <c r="C427" t="s">
        <v>686</v>
      </c>
      <c r="D427" t="s">
        <v>686</v>
      </c>
      <c r="E427" t="s">
        <v>15</v>
      </c>
      <c r="F427" t="s">
        <v>15</v>
      </c>
      <c r="G427" t="s">
        <v>137</v>
      </c>
      <c r="H427" s="1">
        <v>11666.5825</v>
      </c>
    </row>
    <row r="428" spans="1:8" hidden="1" x14ac:dyDescent="0.25">
      <c r="A428" s="5" t="str">
        <f>HYPERLINK("https://app.vivvix.com/360/KMI/IntelliDrive/ApplUI/Pages/CreativePages/CustomReportCreativeDetail.aspx?App=23&amp;ReportView=4&amp;Qid=1711242&amp;Row=420&amp;Col=1","No Title Assigned - #15266951309")</f>
        <v>No Title Assigned - #15266951309</v>
      </c>
      <c r="B428" t="s">
        <v>687</v>
      </c>
      <c r="C428" t="s">
        <v>688</v>
      </c>
      <c r="D428" t="s">
        <v>688</v>
      </c>
      <c r="E428" t="s">
        <v>15</v>
      </c>
      <c r="F428" t="s">
        <v>16</v>
      </c>
      <c r="G428" t="s">
        <v>54</v>
      </c>
      <c r="H428" s="1">
        <v>2791.1729999999998</v>
      </c>
    </row>
    <row r="429" spans="1:8" hidden="1" x14ac:dyDescent="0.25">
      <c r="A429" s="5" t="str">
        <f>HYPERLINK("https://app.vivvix.com/360/KMI/IntelliDrive/ApplUI/Pages/CreativePages/CustomReportCreativeDetail.aspx?App=23&amp;ReportView=4&amp;Qid=1711242&amp;Row=421&amp;Col=1","No Title Assigned - #15267049476")</f>
        <v>No Title Assigned - #15267049476</v>
      </c>
      <c r="B429" t="s">
        <v>689</v>
      </c>
      <c r="C429" t="s">
        <v>690</v>
      </c>
      <c r="D429" t="s">
        <v>690</v>
      </c>
      <c r="E429" t="s">
        <v>15</v>
      </c>
      <c r="F429" t="s">
        <v>20</v>
      </c>
      <c r="G429" t="s">
        <v>31</v>
      </c>
      <c r="H429" s="1">
        <v>3062.9578000000001</v>
      </c>
    </row>
    <row r="430" spans="1:8" hidden="1" x14ac:dyDescent="0.25">
      <c r="A430" s="5" t="str">
        <f>HYPERLINK("https://app.vivvix.com/360/KMI/IntelliDrive/ApplUI/Pages/CreativePages/CustomReportCreativeDetail.aspx?App=23&amp;ReportView=4&amp;Qid=1711242&amp;Row=422&amp;Col=1","No Title Assigned - #15267144817")</f>
        <v>No Title Assigned - #15267144817</v>
      </c>
      <c r="B430" t="s">
        <v>691</v>
      </c>
      <c r="C430" t="s">
        <v>692</v>
      </c>
      <c r="D430" t="s">
        <v>692</v>
      </c>
      <c r="E430" t="s">
        <v>15</v>
      </c>
      <c r="F430" t="s">
        <v>16</v>
      </c>
      <c r="G430" t="s">
        <v>54</v>
      </c>
      <c r="H430" s="1">
        <v>9338.7144000000008</v>
      </c>
    </row>
    <row r="431" spans="1:8" hidden="1" x14ac:dyDescent="0.25">
      <c r="A431" s="5" t="str">
        <f>HYPERLINK("https://app.vivvix.com/360/KMI/IntelliDrive/ApplUI/Pages/CreativePages/CustomReportCreativeDetail.aspx?App=23&amp;ReportView=4&amp;Qid=1711242&amp;Row=423&amp;Col=1","No Title Assigned - #15267167871")</f>
        <v>No Title Assigned - #15267167871</v>
      </c>
      <c r="B431" t="s">
        <v>693</v>
      </c>
      <c r="E431" t="s">
        <v>15</v>
      </c>
      <c r="F431" t="s">
        <v>15</v>
      </c>
      <c r="G431" t="s">
        <v>137</v>
      </c>
      <c r="H431" s="1">
        <v>4059.2292000000002</v>
      </c>
    </row>
    <row r="432" spans="1:8" hidden="1" x14ac:dyDescent="0.25">
      <c r="A432" s="5" t="str">
        <f>HYPERLINK("https://app.vivvix.com/360/KMI/IntelliDrive/ApplUI/Pages/CreativePages/CustomReportCreativeDetail.aspx?App=23&amp;ReportView=4&amp;Qid=1711242&amp;Row=424&amp;Col=1","No Title Assigned - #15267167914")</f>
        <v>No Title Assigned - #15267167914</v>
      </c>
      <c r="B432" t="s">
        <v>694</v>
      </c>
      <c r="E432" t="s">
        <v>15</v>
      </c>
      <c r="F432" t="s">
        <v>15</v>
      </c>
      <c r="G432" t="s">
        <v>137</v>
      </c>
      <c r="H432" s="1">
        <v>4059.2292000000002</v>
      </c>
    </row>
    <row r="433" spans="1:8" hidden="1" x14ac:dyDescent="0.25">
      <c r="A433" s="5" t="str">
        <f>HYPERLINK("https://app.vivvix.com/360/KMI/IntelliDrive/ApplUI/Pages/CreativePages/CustomReportCreativeDetail.aspx?App=23&amp;ReportView=4&amp;Qid=1711242&amp;Row=425&amp;Col=1","No Title Assigned - #15267167928")</f>
        <v>No Title Assigned - #15267167928</v>
      </c>
      <c r="B433" t="s">
        <v>695</v>
      </c>
      <c r="C433" t="s">
        <v>696</v>
      </c>
      <c r="D433" t="s">
        <v>696</v>
      </c>
      <c r="E433" t="s">
        <v>15</v>
      </c>
      <c r="F433" t="s">
        <v>15</v>
      </c>
      <c r="G433" t="s">
        <v>137</v>
      </c>
      <c r="H433" s="1">
        <v>8118.4584000000004</v>
      </c>
    </row>
    <row r="434" spans="1:8" hidden="1" x14ac:dyDescent="0.25">
      <c r="A434" s="5" t="str">
        <f>HYPERLINK("https://app.vivvix.com/360/KMI/IntelliDrive/ApplUI/Pages/CreativePages/CustomReportCreativeDetail.aspx?App=23&amp;ReportView=4&amp;Qid=1711242&amp;Row=426&amp;Col=1","No Title Assigned - #15267167967")</f>
        <v>No Title Assigned - #15267167967</v>
      </c>
      <c r="B434" t="s">
        <v>697</v>
      </c>
      <c r="E434" t="s">
        <v>15</v>
      </c>
      <c r="F434" t="s">
        <v>15</v>
      </c>
      <c r="G434" t="s">
        <v>137</v>
      </c>
      <c r="H434" s="1">
        <v>4059.2292000000002</v>
      </c>
    </row>
    <row r="435" spans="1:8" hidden="1" x14ac:dyDescent="0.25">
      <c r="A435" s="5" t="str">
        <f>HYPERLINK("https://app.vivvix.com/360/KMI/IntelliDrive/ApplUI/Pages/CreativePages/CustomReportCreativeDetail.aspx?App=23&amp;ReportView=4&amp;Qid=1711242&amp;Row=427&amp;Col=1","No Title Assigned - #15267170154")</f>
        <v>No Title Assigned - #15267170154</v>
      </c>
      <c r="B435" t="s">
        <v>698</v>
      </c>
      <c r="C435" t="s">
        <v>699</v>
      </c>
      <c r="D435" t="s">
        <v>699</v>
      </c>
      <c r="E435" t="s">
        <v>15</v>
      </c>
      <c r="F435" t="s">
        <v>20</v>
      </c>
      <c r="G435" t="s">
        <v>31</v>
      </c>
      <c r="H435" s="1">
        <v>4465.9665000000005</v>
      </c>
    </row>
    <row r="436" spans="1:8" hidden="1" x14ac:dyDescent="0.25">
      <c r="A436" s="5" t="str">
        <f>HYPERLINK("https://app.vivvix.com/360/KMI/IntelliDrive/ApplUI/Pages/CreativePages/CustomReportCreativeDetail.aspx?App=23&amp;ReportView=4&amp;Qid=1711242&amp;Row=428&amp;Col=1","No Title Assigned - #15267170154")</f>
        <v>No Title Assigned - #15267170154</v>
      </c>
      <c r="B436" t="s">
        <v>698</v>
      </c>
      <c r="E436" t="s">
        <v>15</v>
      </c>
      <c r="F436" t="s">
        <v>20</v>
      </c>
      <c r="G436" t="s">
        <v>31</v>
      </c>
      <c r="H436" s="1">
        <v>1097.3336999999999</v>
      </c>
    </row>
    <row r="437" spans="1:8" hidden="1" x14ac:dyDescent="0.25">
      <c r="A437" s="5" t="str">
        <f>HYPERLINK("https://app.vivvix.com/360/KMI/IntelliDrive/ApplUI/Pages/CreativePages/CustomReportCreativeDetail.aspx?App=23&amp;ReportView=4&amp;Qid=1711242&amp;Row=429&amp;Col=1","No Title Assigned - #15267221993")</f>
        <v>No Title Assigned - #15267221993</v>
      </c>
      <c r="B437" t="s">
        <v>700</v>
      </c>
      <c r="C437" t="s">
        <v>701</v>
      </c>
      <c r="D437" t="s">
        <v>701</v>
      </c>
      <c r="E437" t="s">
        <v>15</v>
      </c>
      <c r="F437" t="s">
        <v>20</v>
      </c>
      <c r="G437" t="s">
        <v>31</v>
      </c>
      <c r="H437" s="1">
        <v>49.646999999999998</v>
      </c>
    </row>
    <row r="438" spans="1:8" hidden="1" x14ac:dyDescent="0.25">
      <c r="A438" s="5" t="str">
        <f>HYPERLINK("https://app.vivvix.com/360/KMI/IntelliDrive/ApplUI/Pages/CreativePages/CustomReportCreativeDetail.aspx?App=23&amp;ReportView=4&amp;Qid=1711242&amp;Row=430&amp;Col=1","No Title Assigned - #15267226084")</f>
        <v>No Title Assigned - #15267226084</v>
      </c>
      <c r="B438" t="s">
        <v>702</v>
      </c>
      <c r="E438" t="s">
        <v>15</v>
      </c>
      <c r="F438" t="s">
        <v>15</v>
      </c>
      <c r="G438" t="s">
        <v>137</v>
      </c>
      <c r="H438" s="1">
        <v>654.93539999999996</v>
      </c>
    </row>
    <row r="439" spans="1:8" hidden="1" x14ac:dyDescent="0.25">
      <c r="A439" s="5" t="str">
        <f>HYPERLINK("https://app.vivvix.com/360/KMI/IntelliDrive/ApplUI/Pages/CreativePages/CustomReportCreativeDetail.aspx?App=23&amp;ReportView=4&amp;Qid=1711242&amp;Row=431&amp;Col=1","No Title Assigned - #15267275458")</f>
        <v>No Title Assigned - #15267275458</v>
      </c>
      <c r="B439" t="s">
        <v>703</v>
      </c>
      <c r="C439" t="s">
        <v>704</v>
      </c>
      <c r="D439" t="s">
        <v>704</v>
      </c>
      <c r="E439" t="s">
        <v>15</v>
      </c>
      <c r="F439" t="s">
        <v>50</v>
      </c>
      <c r="G439" t="s">
        <v>51</v>
      </c>
      <c r="H439" s="1">
        <v>981.27670000000001</v>
      </c>
    </row>
    <row r="440" spans="1:8" hidden="1" x14ac:dyDescent="0.25">
      <c r="A440" s="5" t="str">
        <f>HYPERLINK("https://app.vivvix.com/360/KMI/IntelliDrive/ApplUI/Pages/CreativePages/CustomReportCreativeDetail.aspx?App=23&amp;ReportView=4&amp;Qid=1711242&amp;Row=432&amp;Col=1","No Title Assigned - #15267296357")</f>
        <v>No Title Assigned - #15267296357</v>
      </c>
      <c r="B440" t="s">
        <v>705</v>
      </c>
      <c r="C440" t="s">
        <v>706</v>
      </c>
      <c r="D440" t="s">
        <v>706</v>
      </c>
      <c r="E440" t="s">
        <v>15</v>
      </c>
      <c r="F440" t="s">
        <v>20</v>
      </c>
      <c r="G440" t="s">
        <v>31</v>
      </c>
      <c r="H440" s="1">
        <v>1018.2269</v>
      </c>
    </row>
    <row r="441" spans="1:8" hidden="1" x14ac:dyDescent="0.25">
      <c r="A441" s="5" t="str">
        <f>HYPERLINK("https://app.vivvix.com/360/KMI/IntelliDrive/ApplUI/Pages/CreativePages/CustomReportCreativeDetail.aspx?App=23&amp;ReportView=4&amp;Qid=1711242&amp;Row=433&amp;Col=1","No Title Assigned - #15267296357")</f>
        <v>No Title Assigned - #15267296357</v>
      </c>
      <c r="B441" t="s">
        <v>705</v>
      </c>
      <c r="E441" t="s">
        <v>15</v>
      </c>
      <c r="F441" t="s">
        <v>20</v>
      </c>
      <c r="G441" t="s">
        <v>31</v>
      </c>
      <c r="H441" s="1">
        <v>12510.281000000001</v>
      </c>
    </row>
    <row r="442" spans="1:8" hidden="1" x14ac:dyDescent="0.25">
      <c r="A442" s="5" t="str">
        <f>HYPERLINK("https://app.vivvix.com/360/KMI/IntelliDrive/ApplUI/Pages/CreativePages/CustomReportCreativeDetail.aspx?App=23&amp;ReportView=4&amp;Qid=1711242&amp;Row=434&amp;Col=1","No Title Assigned - #15267342169")</f>
        <v>No Title Assigned - #15267342169</v>
      </c>
      <c r="B442" t="s">
        <v>707</v>
      </c>
      <c r="C442" t="s">
        <v>708</v>
      </c>
      <c r="D442" t="s">
        <v>708</v>
      </c>
      <c r="E442" t="s">
        <v>15</v>
      </c>
      <c r="F442" t="s">
        <v>20</v>
      </c>
      <c r="G442" t="s">
        <v>31</v>
      </c>
      <c r="H442" s="1">
        <v>616.27369999999996</v>
      </c>
    </row>
    <row r="443" spans="1:8" hidden="1" x14ac:dyDescent="0.25">
      <c r="A443" s="5" t="str">
        <f>HYPERLINK("https://app.vivvix.com/360/KMI/IntelliDrive/ApplUI/Pages/CreativePages/CustomReportCreativeDetail.aspx?App=23&amp;ReportView=4&amp;Qid=1711242&amp;Row=435&amp;Col=1","No Title Assigned - #15267376151")</f>
        <v>No Title Assigned - #15267376151</v>
      </c>
      <c r="B443" t="s">
        <v>709</v>
      </c>
      <c r="E443" t="s">
        <v>15</v>
      </c>
      <c r="F443" t="s">
        <v>16</v>
      </c>
      <c r="G443" t="s">
        <v>54</v>
      </c>
      <c r="H443" s="1">
        <v>479.99040000000002</v>
      </c>
    </row>
    <row r="444" spans="1:8" hidden="1" x14ac:dyDescent="0.25">
      <c r="A444" s="5" t="str">
        <f>HYPERLINK("https://app.vivvix.com/360/KMI/IntelliDrive/ApplUI/Pages/CreativePages/CustomReportCreativeDetail.aspx?App=23&amp;ReportView=4&amp;Qid=1711242&amp;Row=436&amp;Col=1","No Title Assigned - #15267376151")</f>
        <v>No Title Assigned - #15267376151</v>
      </c>
      <c r="B444" t="s">
        <v>709</v>
      </c>
      <c r="C444" t="s">
        <v>621</v>
      </c>
      <c r="D444" t="s">
        <v>622</v>
      </c>
      <c r="E444" t="s">
        <v>15</v>
      </c>
      <c r="F444" t="s">
        <v>16</v>
      </c>
      <c r="G444" t="s">
        <v>54</v>
      </c>
      <c r="H444" s="1">
        <v>76.226799999999997</v>
      </c>
    </row>
    <row r="445" spans="1:8" hidden="1" x14ac:dyDescent="0.25">
      <c r="A445" s="5" t="str">
        <f>HYPERLINK("https://app.vivvix.com/360/KMI/IntelliDrive/ApplUI/Pages/CreativePages/CustomReportCreativeDetail.aspx?App=23&amp;ReportView=4&amp;Qid=1711242&amp;Row=437&amp;Col=1","No Title Assigned - #15267378219")</f>
        <v>No Title Assigned - #15267378219</v>
      </c>
      <c r="B445" t="s">
        <v>710</v>
      </c>
      <c r="E445" t="s">
        <v>15</v>
      </c>
      <c r="F445" t="s">
        <v>16</v>
      </c>
      <c r="G445" t="s">
        <v>54</v>
      </c>
      <c r="H445" s="1">
        <v>319.99360000000001</v>
      </c>
    </row>
    <row r="446" spans="1:8" hidden="1" x14ac:dyDescent="0.25">
      <c r="A446" s="5" t="str">
        <f>HYPERLINK("https://app.vivvix.com/360/KMI/IntelliDrive/ApplUI/Pages/CreativePages/CustomReportCreativeDetail.aspx?App=23&amp;ReportView=4&amp;Qid=1711242&amp;Row=438&amp;Col=1","No Title Assigned - #15267378219")</f>
        <v>No Title Assigned - #15267378219</v>
      </c>
      <c r="B446" t="s">
        <v>710</v>
      </c>
      <c r="C446" t="s">
        <v>622</v>
      </c>
      <c r="D446" t="s">
        <v>622</v>
      </c>
      <c r="E446" t="s">
        <v>15</v>
      </c>
      <c r="F446" t="s">
        <v>16</v>
      </c>
      <c r="G446" t="s">
        <v>54</v>
      </c>
      <c r="H446" s="1">
        <v>76.226799999999997</v>
      </c>
    </row>
    <row r="447" spans="1:8" hidden="1" x14ac:dyDescent="0.25">
      <c r="A447" s="5" t="str">
        <f>HYPERLINK("https://app.vivvix.com/360/KMI/IntelliDrive/ApplUI/Pages/CreativePages/CustomReportCreativeDetail.aspx?App=23&amp;ReportView=4&amp;Qid=1711242&amp;Row=439&amp;Col=1","No Title Assigned - #15267399043")</f>
        <v>No Title Assigned - #15267399043</v>
      </c>
      <c r="B447" t="s">
        <v>711</v>
      </c>
      <c r="C447" t="s">
        <v>712</v>
      </c>
      <c r="D447" t="s">
        <v>712</v>
      </c>
      <c r="E447" t="s">
        <v>15</v>
      </c>
      <c r="F447" t="s">
        <v>20</v>
      </c>
      <c r="G447" t="s">
        <v>31</v>
      </c>
      <c r="H447" s="1">
        <v>520.99159999999995</v>
      </c>
    </row>
    <row r="448" spans="1:8" hidden="1" x14ac:dyDescent="0.25">
      <c r="A448" s="5" t="str">
        <f>HYPERLINK("https://app.vivvix.com/360/KMI/IntelliDrive/ApplUI/Pages/CreativePages/CustomReportCreativeDetail.aspx?App=23&amp;ReportView=4&amp;Qid=1711242&amp;Row=440&amp;Col=1","No Title Assigned - #15267401278")</f>
        <v>No Title Assigned - #15267401278</v>
      </c>
      <c r="B448" t="s">
        <v>713</v>
      </c>
      <c r="C448" t="s">
        <v>714</v>
      </c>
      <c r="D448" t="s">
        <v>714</v>
      </c>
      <c r="E448" t="s">
        <v>15</v>
      </c>
      <c r="F448" t="s">
        <v>50</v>
      </c>
      <c r="G448" t="s">
        <v>51</v>
      </c>
      <c r="H448" s="1">
        <v>2000.4428</v>
      </c>
    </row>
    <row r="449" spans="1:8" hidden="1" x14ac:dyDescent="0.25">
      <c r="A449" s="5" t="str">
        <f>HYPERLINK("https://app.vivvix.com/360/KMI/IntelliDrive/ApplUI/Pages/CreativePages/CustomReportCreativeDetail.aspx?App=23&amp;ReportView=4&amp;Qid=1711242&amp;Row=441&amp;Col=1","No Title Assigned - #15267412743")</f>
        <v>No Title Assigned - #15267412743</v>
      </c>
      <c r="B449" t="s">
        <v>715</v>
      </c>
      <c r="C449" t="s">
        <v>716</v>
      </c>
      <c r="D449" t="s">
        <v>716</v>
      </c>
      <c r="E449" t="s">
        <v>15</v>
      </c>
      <c r="F449" t="s">
        <v>15</v>
      </c>
      <c r="G449" t="s">
        <v>137</v>
      </c>
      <c r="H449" s="1">
        <v>1266.7783999999999</v>
      </c>
    </row>
    <row r="450" spans="1:8" hidden="1" x14ac:dyDescent="0.25">
      <c r="A450" s="5" t="str">
        <f>HYPERLINK("https://app.vivvix.com/360/KMI/IntelliDrive/ApplUI/Pages/CreativePages/CustomReportCreativeDetail.aspx?App=23&amp;ReportView=4&amp;Qid=1711242&amp;Row=442&amp;Col=1","No Title Assigned - #15267416689")</f>
        <v>No Title Assigned - #15267416689</v>
      </c>
      <c r="B450" t="s">
        <v>717</v>
      </c>
      <c r="C450" t="s">
        <v>718</v>
      </c>
      <c r="D450" t="s">
        <v>718</v>
      </c>
      <c r="E450" t="s">
        <v>15</v>
      </c>
      <c r="F450" t="s">
        <v>15</v>
      </c>
      <c r="G450" t="s">
        <v>552</v>
      </c>
      <c r="H450" s="1">
        <v>2535.1172000000001</v>
      </c>
    </row>
    <row r="451" spans="1:8" hidden="1" x14ac:dyDescent="0.25">
      <c r="A451" s="5" t="str">
        <f>HYPERLINK("https://app.vivvix.com/360/KMI/IntelliDrive/ApplUI/Pages/CreativePages/CustomReportCreativeDetail.aspx?App=23&amp;ReportView=4&amp;Qid=1711242&amp;Row=443&amp;Col=1","No Title Assigned - #15267417816")</f>
        <v>No Title Assigned - #15267417816</v>
      </c>
      <c r="B451" t="s">
        <v>719</v>
      </c>
      <c r="C451" t="s">
        <v>720</v>
      </c>
      <c r="D451" t="s">
        <v>720</v>
      </c>
      <c r="E451" t="s">
        <v>15</v>
      </c>
      <c r="F451" t="s">
        <v>181</v>
      </c>
      <c r="G451" t="s">
        <v>182</v>
      </c>
      <c r="H451" s="1">
        <v>15349.656000000001</v>
      </c>
    </row>
    <row r="452" spans="1:8" hidden="1" x14ac:dyDescent="0.25">
      <c r="A452" s="5" t="str">
        <f>HYPERLINK("https://app.vivvix.com/360/KMI/IntelliDrive/ApplUI/Pages/CreativePages/CustomReportCreativeDetail.aspx?App=23&amp;ReportView=4&amp;Qid=1711242&amp;Row=444&amp;Col=1","No Title Assigned - #15267447887")</f>
        <v>No Title Assigned - #15267447887</v>
      </c>
      <c r="B452" t="s">
        <v>721</v>
      </c>
      <c r="E452" t="s">
        <v>15</v>
      </c>
      <c r="F452" t="s">
        <v>15</v>
      </c>
      <c r="G452" t="s">
        <v>137</v>
      </c>
      <c r="H452" s="1">
        <v>1123.3293000000001</v>
      </c>
    </row>
    <row r="453" spans="1:8" hidden="1" x14ac:dyDescent="0.25">
      <c r="A453" s="5" t="str">
        <f>HYPERLINK("https://app.vivvix.com/360/KMI/IntelliDrive/ApplUI/Pages/CreativePages/CustomReportCreativeDetail.aspx?App=23&amp;ReportView=4&amp;Qid=1711242&amp;Row=445&amp;Col=1","No Title Assigned - #15267470654")</f>
        <v>No Title Assigned - #15267470654</v>
      </c>
      <c r="B453" t="s">
        <v>722</v>
      </c>
      <c r="C453" t="s">
        <v>723</v>
      </c>
      <c r="D453" t="s">
        <v>723</v>
      </c>
      <c r="E453" t="s">
        <v>15</v>
      </c>
      <c r="F453" t="s">
        <v>15</v>
      </c>
      <c r="G453" t="s">
        <v>120</v>
      </c>
      <c r="H453" s="1">
        <v>614.12919999999997</v>
      </c>
    </row>
    <row r="454" spans="1:8" hidden="1" x14ac:dyDescent="0.25">
      <c r="A454" s="5" t="str">
        <f>HYPERLINK("https://app.vivvix.com/360/KMI/IntelliDrive/ApplUI/Pages/CreativePages/CustomReportCreativeDetail.aspx?App=23&amp;ReportView=4&amp;Qid=1711242&amp;Row=446&amp;Col=1","No Title Assigned - #15267516998")</f>
        <v>No Title Assigned - #15267516998</v>
      </c>
      <c r="B454" t="s">
        <v>724</v>
      </c>
      <c r="C454" t="s">
        <v>725</v>
      </c>
      <c r="D454" t="s">
        <v>725</v>
      </c>
      <c r="E454" t="s">
        <v>15</v>
      </c>
      <c r="F454" t="s">
        <v>15</v>
      </c>
      <c r="G454" t="s">
        <v>137</v>
      </c>
      <c r="H454" s="1">
        <v>300.03530000000001</v>
      </c>
    </row>
    <row r="455" spans="1:8" hidden="1" x14ac:dyDescent="0.25">
      <c r="A455" s="5" t="str">
        <f>HYPERLINK("https://app.vivvix.com/360/KMI/IntelliDrive/ApplUI/Pages/CreativePages/CustomReportCreativeDetail.aspx?App=23&amp;ReportView=4&amp;Qid=1711242&amp;Row=447&amp;Col=1","No Title Assigned - #15267521285")</f>
        <v>No Title Assigned - #15267521285</v>
      </c>
      <c r="B455" t="s">
        <v>726</v>
      </c>
      <c r="E455" t="s">
        <v>15</v>
      </c>
      <c r="F455" t="s">
        <v>15</v>
      </c>
      <c r="G455" t="s">
        <v>137</v>
      </c>
      <c r="H455" s="1">
        <v>3493.4144000000001</v>
      </c>
    </row>
    <row r="456" spans="1:8" hidden="1" x14ac:dyDescent="0.25">
      <c r="A456" s="5" t="str">
        <f>HYPERLINK("https://app.vivvix.com/360/KMI/IntelliDrive/ApplUI/Pages/CreativePages/CustomReportCreativeDetail.aspx?App=23&amp;ReportView=4&amp;Qid=1711242&amp;Row=448&amp;Col=1","No Title Assigned - #15267521598")</f>
        <v>No Title Assigned - #15267521598</v>
      </c>
      <c r="B456" t="s">
        <v>727</v>
      </c>
      <c r="E456" t="s">
        <v>15</v>
      </c>
      <c r="F456" t="s">
        <v>15</v>
      </c>
      <c r="G456" t="s">
        <v>137</v>
      </c>
      <c r="H456" s="1">
        <v>4359.2645000000002</v>
      </c>
    </row>
    <row r="457" spans="1:8" hidden="1" x14ac:dyDescent="0.25">
      <c r="A457" s="5" t="str">
        <f>HYPERLINK("https://app.vivvix.com/360/KMI/IntelliDrive/ApplUI/Pages/CreativePages/CustomReportCreativeDetail.aspx?App=23&amp;ReportView=4&amp;Qid=1711242&amp;Row=449&amp;Col=1","No Title Assigned - #15267532091")</f>
        <v>No Title Assigned - #15267532091</v>
      </c>
      <c r="B457" t="s">
        <v>728</v>
      </c>
      <c r="C457" t="s">
        <v>729</v>
      </c>
      <c r="D457" t="s">
        <v>729</v>
      </c>
      <c r="E457" t="s">
        <v>15</v>
      </c>
      <c r="F457" t="s">
        <v>50</v>
      </c>
      <c r="G457" t="s">
        <v>51</v>
      </c>
      <c r="H457" s="1">
        <v>986.16240000000005</v>
      </c>
    </row>
    <row r="458" spans="1:8" hidden="1" x14ac:dyDescent="0.25">
      <c r="A458" s="5" t="str">
        <f>HYPERLINK("https://app.vivvix.com/360/KMI/IntelliDrive/ApplUI/Pages/CreativePages/CustomReportCreativeDetail.aspx?App=23&amp;ReportView=4&amp;Qid=1711242&amp;Row=450&amp;Col=1","No Title Assigned - #15267532111")</f>
        <v>No Title Assigned - #15267532111</v>
      </c>
      <c r="B458" t="s">
        <v>730</v>
      </c>
      <c r="C458" t="s">
        <v>731</v>
      </c>
      <c r="D458" t="s">
        <v>731</v>
      </c>
      <c r="E458" t="s">
        <v>15</v>
      </c>
      <c r="F458" t="s">
        <v>50</v>
      </c>
      <c r="G458" t="s">
        <v>51</v>
      </c>
      <c r="H458" s="1">
        <v>986.16240000000005</v>
      </c>
    </row>
    <row r="459" spans="1:8" hidden="1" x14ac:dyDescent="0.25">
      <c r="A459" s="5" t="str">
        <f>HYPERLINK("https://app.vivvix.com/360/KMI/IntelliDrive/ApplUI/Pages/CreativePages/CustomReportCreativeDetail.aspx?App=23&amp;ReportView=4&amp;Qid=1711242&amp;Row=451&amp;Col=1","No Title Assigned - #15267555533")</f>
        <v>No Title Assigned - #15267555533</v>
      </c>
      <c r="B459" t="s">
        <v>732</v>
      </c>
      <c r="C459" t="s">
        <v>733</v>
      </c>
      <c r="D459" t="s">
        <v>733</v>
      </c>
      <c r="E459" t="s">
        <v>15</v>
      </c>
      <c r="F459" t="s">
        <v>16</v>
      </c>
      <c r="G459" t="s">
        <v>54</v>
      </c>
      <c r="H459" s="1">
        <v>132.91300000000001</v>
      </c>
    </row>
    <row r="460" spans="1:8" hidden="1" x14ac:dyDescent="0.25">
      <c r="A460" s="5" t="str">
        <f>HYPERLINK("https://app.vivvix.com/360/KMI/IntelliDrive/ApplUI/Pages/CreativePages/CustomReportCreativeDetail.aspx?App=23&amp;ReportView=4&amp;Qid=1711242&amp;Row=452&amp;Col=1","No Title Assigned - #15267628382")</f>
        <v>No Title Assigned - #15267628382</v>
      </c>
      <c r="B460" t="s">
        <v>734</v>
      </c>
      <c r="E460" t="s">
        <v>15</v>
      </c>
      <c r="F460" t="s">
        <v>15</v>
      </c>
      <c r="G460" t="s">
        <v>137</v>
      </c>
      <c r="H460" s="1">
        <v>881.32939999999996</v>
      </c>
    </row>
    <row r="461" spans="1:8" hidden="1" x14ac:dyDescent="0.25">
      <c r="A461" s="5" t="str">
        <f>HYPERLINK("https://app.vivvix.com/360/KMI/IntelliDrive/ApplUI/Pages/CreativePages/CustomReportCreativeDetail.aspx?App=23&amp;ReportView=4&amp;Qid=1711242&amp;Row=453&amp;Col=1","No Title Assigned - #15267637370")</f>
        <v>No Title Assigned - #15267637370</v>
      </c>
      <c r="B461" t="s">
        <v>735</v>
      </c>
      <c r="C461" t="s">
        <v>736</v>
      </c>
      <c r="D461" t="s">
        <v>736</v>
      </c>
      <c r="E461" t="s">
        <v>15</v>
      </c>
      <c r="F461" t="s">
        <v>133</v>
      </c>
      <c r="G461" t="s">
        <v>187</v>
      </c>
      <c r="H461" s="1">
        <v>2507.9445000000001</v>
      </c>
    </row>
    <row r="462" spans="1:8" hidden="1" x14ac:dyDescent="0.25">
      <c r="A462" s="5" t="str">
        <f>HYPERLINK("https://app.vivvix.com/360/KMI/IntelliDrive/ApplUI/Pages/CreativePages/CustomReportCreativeDetail.aspx?App=23&amp;ReportView=4&amp;Qid=1711242&amp;Row=454&amp;Col=1","No Title Assigned - #15267643545")</f>
        <v>No Title Assigned - #15267643545</v>
      </c>
      <c r="B462" t="s">
        <v>737</v>
      </c>
      <c r="C462" t="s">
        <v>738</v>
      </c>
      <c r="D462" t="s">
        <v>738</v>
      </c>
      <c r="E462" t="s">
        <v>15</v>
      </c>
      <c r="F462" t="s">
        <v>133</v>
      </c>
      <c r="G462" t="s">
        <v>187</v>
      </c>
      <c r="H462" s="1">
        <v>26169.7644</v>
      </c>
    </row>
    <row r="463" spans="1:8" hidden="1" x14ac:dyDescent="0.25">
      <c r="A463" s="5" t="str">
        <f>HYPERLINK("https://app.vivvix.com/360/KMI/IntelliDrive/ApplUI/Pages/CreativePages/CustomReportCreativeDetail.aspx?App=23&amp;ReportView=4&amp;Qid=1711242&amp;Row=455&amp;Col=1","No Title Assigned - #15267665143")</f>
        <v>No Title Assigned - #15267665143</v>
      </c>
      <c r="B463" t="s">
        <v>739</v>
      </c>
      <c r="C463" t="s">
        <v>740</v>
      </c>
      <c r="D463" t="s">
        <v>740</v>
      </c>
      <c r="E463" t="s">
        <v>15</v>
      </c>
      <c r="F463" t="s">
        <v>16</v>
      </c>
      <c r="G463" t="s">
        <v>54</v>
      </c>
      <c r="H463" s="1">
        <v>4440.4081999999999</v>
      </c>
    </row>
    <row r="464" spans="1:8" hidden="1" x14ac:dyDescent="0.25">
      <c r="A464" s="5" t="str">
        <f>HYPERLINK("https://app.vivvix.com/360/KMI/IntelliDrive/ApplUI/Pages/CreativePages/CustomReportCreativeDetail.aspx?App=23&amp;ReportView=4&amp;Qid=1711242&amp;Row=456&amp;Col=1","No Title Assigned - #15267679535")</f>
        <v>No Title Assigned - #15267679535</v>
      </c>
      <c r="B464" t="s">
        <v>741</v>
      </c>
      <c r="E464" t="s">
        <v>15</v>
      </c>
      <c r="F464" t="s">
        <v>15</v>
      </c>
      <c r="G464" t="s">
        <v>137</v>
      </c>
      <c r="H464" s="1">
        <v>781.80179999999996</v>
      </c>
    </row>
    <row r="465" spans="1:8" hidden="1" x14ac:dyDescent="0.25">
      <c r="A465" s="5" t="str">
        <f>HYPERLINK("https://app.vivvix.com/360/KMI/IntelliDrive/ApplUI/Pages/CreativePages/CustomReportCreativeDetail.aspx?App=23&amp;ReportView=4&amp;Qid=1711242&amp;Row=457&amp;Col=1","No Title Assigned - #15267721825")</f>
        <v>No Title Assigned - #15267721825</v>
      </c>
      <c r="B465" t="s">
        <v>742</v>
      </c>
      <c r="E465" t="s">
        <v>15</v>
      </c>
      <c r="F465" t="s">
        <v>133</v>
      </c>
      <c r="G465" t="s">
        <v>187</v>
      </c>
      <c r="H465" s="1">
        <v>34.7059</v>
      </c>
    </row>
    <row r="466" spans="1:8" hidden="1" x14ac:dyDescent="0.25">
      <c r="A466" s="5" t="str">
        <f>HYPERLINK("https://app.vivvix.com/360/KMI/IntelliDrive/ApplUI/Pages/CreativePages/CustomReportCreativeDetail.aspx?App=23&amp;ReportView=4&amp;Qid=1711242&amp;Row=458&amp;Col=1","No Title Assigned - #15267721826")</f>
        <v>No Title Assigned - #15267721826</v>
      </c>
      <c r="B466" t="s">
        <v>743</v>
      </c>
      <c r="C466" t="s">
        <v>744</v>
      </c>
      <c r="D466" t="s">
        <v>744</v>
      </c>
      <c r="E466" t="s">
        <v>15</v>
      </c>
      <c r="F466" t="s">
        <v>133</v>
      </c>
      <c r="G466" t="s">
        <v>187</v>
      </c>
      <c r="H466" s="1">
        <v>104.1177</v>
      </c>
    </row>
    <row r="467" spans="1:8" hidden="1" x14ac:dyDescent="0.25">
      <c r="A467" s="5" t="str">
        <f>HYPERLINK("https://app.vivvix.com/360/KMI/IntelliDrive/ApplUI/Pages/CreativePages/CustomReportCreativeDetail.aspx?App=23&amp;ReportView=4&amp;Qid=1711242&amp;Row=459&amp;Col=1","No Title Assigned - #15267831743")</f>
        <v>No Title Assigned - #15267831743</v>
      </c>
      <c r="B467" t="s">
        <v>745</v>
      </c>
      <c r="C467" t="s">
        <v>746</v>
      </c>
      <c r="D467" t="s">
        <v>747</v>
      </c>
      <c r="E467" t="s">
        <v>15</v>
      </c>
      <c r="F467" t="s">
        <v>15</v>
      </c>
      <c r="G467" t="s">
        <v>119</v>
      </c>
    </row>
    <row r="468" spans="1:8" hidden="1" x14ac:dyDescent="0.25">
      <c r="A468" s="5" t="str">
        <f>HYPERLINK("https://app.vivvix.com/360/KMI/IntelliDrive/ApplUI/Pages/CreativePages/CustomReportCreativeDetail.aspx?App=23&amp;ReportView=4&amp;Qid=1711242&amp;Row=460&amp;Col=1","No Title Assigned - #15267835362")</f>
        <v>No Title Assigned - #15267835362</v>
      </c>
      <c r="B468" t="s">
        <v>748</v>
      </c>
      <c r="C468" t="s">
        <v>749</v>
      </c>
      <c r="D468" t="s">
        <v>749</v>
      </c>
      <c r="E468" t="s">
        <v>15</v>
      </c>
      <c r="F468" t="s">
        <v>15</v>
      </c>
      <c r="G468" t="s">
        <v>119</v>
      </c>
    </row>
    <row r="469" spans="1:8" hidden="1" x14ac:dyDescent="0.25">
      <c r="A469" s="5" t="str">
        <f>HYPERLINK("https://app.vivvix.com/360/KMI/IntelliDrive/ApplUI/Pages/CreativePages/CustomReportCreativeDetail.aspx?App=23&amp;ReportView=4&amp;Qid=1711242&amp;Row=461&amp;Col=1","No Title Assigned - #15267838525")</f>
        <v>No Title Assigned - #15267838525</v>
      </c>
      <c r="B469" t="s">
        <v>750</v>
      </c>
      <c r="E469" t="s">
        <v>15</v>
      </c>
      <c r="F469" t="s">
        <v>15</v>
      </c>
      <c r="G469" t="s">
        <v>137</v>
      </c>
      <c r="H469" s="1">
        <v>4654.7632000000003</v>
      </c>
    </row>
    <row r="470" spans="1:8" hidden="1" x14ac:dyDescent="0.25">
      <c r="A470" s="5" t="str">
        <f>HYPERLINK("https://app.vivvix.com/360/KMI/IntelliDrive/ApplUI/Pages/CreativePages/CustomReportCreativeDetail.aspx?App=23&amp;ReportView=4&amp;Qid=1711242&amp;Row=462&amp;Col=1","No Title Assigned - #15267902702")</f>
        <v>No Title Assigned - #15267902702</v>
      </c>
      <c r="B470" t="s">
        <v>751</v>
      </c>
      <c r="C470" t="s">
        <v>747</v>
      </c>
      <c r="D470" t="s">
        <v>747</v>
      </c>
      <c r="E470" t="s">
        <v>15</v>
      </c>
      <c r="F470" t="s">
        <v>15</v>
      </c>
      <c r="G470" t="s">
        <v>119</v>
      </c>
    </row>
    <row r="471" spans="1:8" hidden="1" x14ac:dyDescent="0.25">
      <c r="A471" s="5" t="str">
        <f>HYPERLINK("https://app.vivvix.com/360/KMI/IntelliDrive/ApplUI/Pages/CreativePages/CustomReportCreativeDetail.aspx?App=23&amp;ReportView=4&amp;Qid=1711242&amp;Row=463&amp;Col=1","No Title Assigned - #15268013321")</f>
        <v>No Title Assigned - #15268013321</v>
      </c>
      <c r="B471" t="s">
        <v>752</v>
      </c>
      <c r="C471" t="s">
        <v>753</v>
      </c>
      <c r="D471" t="s">
        <v>753</v>
      </c>
      <c r="E471" t="s">
        <v>15</v>
      </c>
      <c r="F471" t="s">
        <v>15</v>
      </c>
      <c r="G471" t="s">
        <v>137</v>
      </c>
      <c r="H471" s="1">
        <v>906.20609999999999</v>
      </c>
    </row>
    <row r="472" spans="1:8" hidden="1" x14ac:dyDescent="0.25">
      <c r="A472" s="5" t="str">
        <f>HYPERLINK("https://app.vivvix.com/360/KMI/IntelliDrive/ApplUI/Pages/CreativePages/CustomReportCreativeDetail.aspx?App=23&amp;ReportView=4&amp;Qid=1711242&amp;Row=464&amp;Col=1","No Title Assigned - #15268324453")</f>
        <v>No Title Assigned - #15268324453</v>
      </c>
      <c r="B472" t="s">
        <v>754</v>
      </c>
      <c r="E472" t="s">
        <v>15</v>
      </c>
      <c r="F472" t="s">
        <v>15</v>
      </c>
      <c r="G472" t="s">
        <v>137</v>
      </c>
      <c r="H472" s="1">
        <v>8443.1411000000007</v>
      </c>
    </row>
    <row r="473" spans="1:8" hidden="1" x14ac:dyDescent="0.25">
      <c r="A473" s="5" t="str">
        <f>HYPERLINK("https://app.vivvix.com/360/KMI/IntelliDrive/ApplUI/Pages/CreativePages/CustomReportCreativeDetail.aspx?App=23&amp;ReportView=4&amp;Qid=1711242&amp;Row=465&amp;Col=1","No Title Assigned - #15268350210")</f>
        <v>No Title Assigned - #15268350210</v>
      </c>
      <c r="B473" t="s">
        <v>755</v>
      </c>
      <c r="E473" t="s">
        <v>15</v>
      </c>
      <c r="F473" t="s">
        <v>15</v>
      </c>
      <c r="G473" t="s">
        <v>137</v>
      </c>
      <c r="H473" s="1">
        <v>1060.7483999999999</v>
      </c>
    </row>
    <row r="474" spans="1:8" hidden="1" x14ac:dyDescent="0.25">
      <c r="A474" s="5" t="str">
        <f>HYPERLINK("https://app.vivvix.com/360/KMI/IntelliDrive/ApplUI/Pages/CreativePages/CustomReportCreativeDetail.aspx?App=23&amp;ReportView=4&amp;Qid=1711242&amp;Row=466&amp;Col=1","No Title Assigned - #15268604525")</f>
        <v>No Title Assigned - #15268604525</v>
      </c>
      <c r="B474" t="s">
        <v>756</v>
      </c>
      <c r="E474" t="s">
        <v>15</v>
      </c>
      <c r="F474" t="s">
        <v>15</v>
      </c>
      <c r="G474" t="s">
        <v>137</v>
      </c>
      <c r="H474" s="1">
        <v>2148.1133</v>
      </c>
    </row>
    <row r="475" spans="1:8" hidden="1" x14ac:dyDescent="0.25">
      <c r="A475" s="5" t="str">
        <f>HYPERLINK("https://app.vivvix.com/360/KMI/IntelliDrive/ApplUI/Pages/CreativePages/CustomReportCreativeDetail.aspx?App=23&amp;ReportView=4&amp;Qid=1711242&amp;Row=467&amp;Col=1","No Title Assigned - #15268807252")</f>
        <v>No Title Assigned - #15268807252</v>
      </c>
      <c r="B475" t="s">
        <v>757</v>
      </c>
      <c r="E475" t="s">
        <v>15</v>
      </c>
      <c r="F475" t="s">
        <v>15</v>
      </c>
      <c r="G475" t="s">
        <v>137</v>
      </c>
      <c r="H475" s="1">
        <v>1170.7376999999999</v>
      </c>
    </row>
    <row r="476" spans="1:8" hidden="1" x14ac:dyDescent="0.25">
      <c r="A476" s="5" t="str">
        <f>HYPERLINK("https://app.vivvix.com/360/KMI/IntelliDrive/ApplUI/Pages/CreativePages/CustomReportCreativeDetail.aspx?App=23&amp;ReportView=4&amp;Qid=1711242&amp;Row=468&amp;Col=1","No Title Assigned - #15268904144")</f>
        <v>No Title Assigned - #15268904144</v>
      </c>
      <c r="B476" t="s">
        <v>758</v>
      </c>
      <c r="E476" t="s">
        <v>15</v>
      </c>
      <c r="F476" t="s">
        <v>15</v>
      </c>
      <c r="G476" t="s">
        <v>137</v>
      </c>
      <c r="H476" s="1">
        <v>9697.9776000000002</v>
      </c>
    </row>
    <row r="477" spans="1:8" hidden="1" x14ac:dyDescent="0.25">
      <c r="A477" s="5" t="str">
        <f>HYPERLINK("https://app.vivvix.com/360/KMI/IntelliDrive/ApplUI/Pages/CreativePages/CustomReportCreativeDetail.aspx?App=23&amp;ReportView=4&amp;Qid=1711242&amp;Row=469&amp;Col=1","No Title Assigned - #15268965331")</f>
        <v>No Title Assigned - #15268965331</v>
      </c>
      <c r="B477" t="s">
        <v>759</v>
      </c>
      <c r="E477" t="s">
        <v>15</v>
      </c>
      <c r="F477" t="s">
        <v>15</v>
      </c>
      <c r="G477" t="s">
        <v>137</v>
      </c>
      <c r="H477" s="1">
        <v>5554.5967000000001</v>
      </c>
    </row>
    <row r="478" spans="1:8" hidden="1" x14ac:dyDescent="0.25">
      <c r="A478" s="5" t="str">
        <f>HYPERLINK("https://app.vivvix.com/360/KMI/IntelliDrive/ApplUI/Pages/CreativePages/CustomReportCreativeDetail.aspx?App=23&amp;ReportView=4&amp;Qid=1711242&amp;Row=470&amp;Col=1","No Title Assigned - #15269028332")</f>
        <v>No Title Assigned - #15269028332</v>
      </c>
      <c r="B478" t="s">
        <v>760</v>
      </c>
      <c r="E478" t="s">
        <v>15</v>
      </c>
      <c r="F478" t="s">
        <v>15</v>
      </c>
      <c r="G478" t="s">
        <v>137</v>
      </c>
      <c r="H478" s="1">
        <v>4848.9888000000001</v>
      </c>
    </row>
    <row r="479" spans="1:8" hidden="1" x14ac:dyDescent="0.25">
      <c r="A479" s="5" t="str">
        <f>HYPERLINK("https://app.vivvix.com/360/KMI/IntelliDrive/ApplUI/Pages/CreativePages/CustomReportCreativeDetail.aspx?App=23&amp;ReportView=4&amp;Qid=1711242&amp;Row=471&amp;Col=1","No Title Assigned - #15269232148")</f>
        <v>No Title Assigned - #15269232148</v>
      </c>
      <c r="B479" t="s">
        <v>761</v>
      </c>
      <c r="E479" t="s">
        <v>15</v>
      </c>
      <c r="F479" t="s">
        <v>15</v>
      </c>
      <c r="G479" t="s">
        <v>137</v>
      </c>
      <c r="H479" s="1">
        <v>392452.32380000001</v>
      </c>
    </row>
    <row r="480" spans="1:8" hidden="1" x14ac:dyDescent="0.25">
      <c r="A480" s="5" t="str">
        <f>HYPERLINK("https://app.vivvix.com/360/KMI/IntelliDrive/ApplUI/Pages/CreativePages/CustomReportCreativeDetail.aspx?App=23&amp;ReportView=4&amp;Qid=1711242&amp;Row=472&amp;Col=1","No Title Assigned - #15269262532")</f>
        <v>No Title Assigned - #15269262532</v>
      </c>
      <c r="B480" t="s">
        <v>762</v>
      </c>
      <c r="E480" t="s">
        <v>15</v>
      </c>
      <c r="F480" t="s">
        <v>15</v>
      </c>
      <c r="G480" t="s">
        <v>137</v>
      </c>
      <c r="H480" s="1">
        <v>294.5958</v>
      </c>
    </row>
    <row r="481" spans="1:8" hidden="1" x14ac:dyDescent="0.25">
      <c r="A481" s="5" t="str">
        <f>HYPERLINK("https://app.vivvix.com/360/KMI/IntelliDrive/ApplUI/Pages/CreativePages/CustomReportCreativeDetail.aspx?App=23&amp;ReportView=4&amp;Qid=1711242&amp;Row=473&amp;Col=1","No Title Assigned - #15269342506")</f>
        <v>No Title Assigned - #15269342506</v>
      </c>
      <c r="B481" t="s">
        <v>763</v>
      </c>
      <c r="E481" t="s">
        <v>15</v>
      </c>
      <c r="F481" t="s">
        <v>15</v>
      </c>
      <c r="G481" t="s">
        <v>137</v>
      </c>
      <c r="H481" s="1">
        <v>2607.6518999999998</v>
      </c>
    </row>
    <row r="482" spans="1:8" hidden="1" x14ac:dyDescent="0.25">
      <c r="A482" s="5" t="str">
        <f>HYPERLINK("https://app.vivvix.com/360/KMI/IntelliDrive/ApplUI/Pages/CreativePages/CustomReportCreativeDetail.aspx?App=23&amp;ReportView=4&amp;Qid=1711242&amp;Row=474&amp;Col=1","No Title Assigned - #15269548829")</f>
        <v>No Title Assigned - #15269548829</v>
      </c>
      <c r="B482" t="s">
        <v>764</v>
      </c>
      <c r="E482" t="s">
        <v>15</v>
      </c>
      <c r="F482" t="s">
        <v>15</v>
      </c>
      <c r="G482" t="s">
        <v>137</v>
      </c>
      <c r="H482" s="1">
        <v>372.12560000000002</v>
      </c>
    </row>
    <row r="483" spans="1:8" hidden="1" x14ac:dyDescent="0.25">
      <c r="A483" s="5" t="str">
        <f>HYPERLINK("https://app.vivvix.com/360/KMI/IntelliDrive/ApplUI/Pages/CreativePages/CustomReportCreativeDetail.aspx?App=23&amp;ReportView=4&amp;Qid=1711242&amp;Row=475&amp;Col=1","No Title Assigned - #15269687979")</f>
        <v>No Title Assigned - #15269687979</v>
      </c>
      <c r="B483" t="s">
        <v>765</v>
      </c>
      <c r="C483" t="s">
        <v>766</v>
      </c>
      <c r="D483" t="s">
        <v>766</v>
      </c>
      <c r="E483" t="s">
        <v>15</v>
      </c>
      <c r="F483" t="s">
        <v>20</v>
      </c>
      <c r="G483" t="s">
        <v>31</v>
      </c>
      <c r="H483" s="1">
        <v>2043.9502</v>
      </c>
    </row>
    <row r="484" spans="1:8" hidden="1" x14ac:dyDescent="0.25">
      <c r="A484" s="5" t="str">
        <f>HYPERLINK("https://app.vivvix.com/360/KMI/IntelliDrive/ApplUI/Pages/CreativePages/CustomReportCreativeDetail.aspx?App=23&amp;ReportView=4&amp;Qid=1711242&amp;Row=476&amp;Col=1","No Title Assigned - #15269698582")</f>
        <v>No Title Assigned - #15269698582</v>
      </c>
      <c r="B484" t="s">
        <v>767</v>
      </c>
      <c r="E484" t="s">
        <v>15</v>
      </c>
      <c r="F484" t="s">
        <v>15</v>
      </c>
      <c r="G484" t="s">
        <v>137</v>
      </c>
      <c r="H484" s="1">
        <v>372.12560000000002</v>
      </c>
    </row>
    <row r="485" spans="1:8" hidden="1" x14ac:dyDescent="0.25">
      <c r="A485" s="5" t="str">
        <f>HYPERLINK("https://app.vivvix.com/360/KMI/IntelliDrive/ApplUI/Pages/CreativePages/CustomReportCreativeDetail.aspx?App=23&amp;ReportView=4&amp;Qid=1711242&amp;Row=477&amp;Col=1","No Title Assigned - #15269738357")</f>
        <v>No Title Assigned - #15269738357</v>
      </c>
      <c r="B485" t="s">
        <v>768</v>
      </c>
      <c r="E485" t="s">
        <v>15</v>
      </c>
      <c r="F485" t="s">
        <v>16</v>
      </c>
      <c r="G485" t="s">
        <v>54</v>
      </c>
      <c r="H485" s="1">
        <v>200.46119999999999</v>
      </c>
    </row>
    <row r="486" spans="1:8" hidden="1" x14ac:dyDescent="0.25">
      <c r="A486" s="5" t="str">
        <f>HYPERLINK("https://app.vivvix.com/360/KMI/IntelliDrive/ApplUI/Pages/CreativePages/CustomReportCreativeDetail.aspx?App=23&amp;ReportView=4&amp;Qid=1711242&amp;Row=478&amp;Col=1","No Title Assigned - #15269785141")</f>
        <v>No Title Assigned - #15269785141</v>
      </c>
      <c r="B486" t="s">
        <v>769</v>
      </c>
      <c r="E486" t="s">
        <v>15</v>
      </c>
      <c r="F486" t="s">
        <v>15</v>
      </c>
      <c r="G486" t="s">
        <v>137</v>
      </c>
      <c r="H486" s="1">
        <v>395.03429999999997</v>
      </c>
    </row>
    <row r="487" spans="1:8" hidden="1" x14ac:dyDescent="0.25">
      <c r="A487" s="5" t="str">
        <f>HYPERLINK("https://app.vivvix.com/360/KMI/IntelliDrive/ApplUI/Pages/CreativePages/CustomReportCreativeDetail.aspx?App=23&amp;ReportView=4&amp;Qid=1711242&amp;Row=479&amp;Col=1","No Title Assigned - #15269955742")</f>
        <v>No Title Assigned - #15269955742</v>
      </c>
      <c r="B487" t="s">
        <v>770</v>
      </c>
      <c r="E487" t="s">
        <v>15</v>
      </c>
      <c r="F487" t="s">
        <v>15</v>
      </c>
      <c r="G487" t="s">
        <v>137</v>
      </c>
      <c r="H487" s="1">
        <v>294.5958</v>
      </c>
    </row>
    <row r="488" spans="1:8" hidden="1" x14ac:dyDescent="0.25">
      <c r="A488" s="5" t="str">
        <f>HYPERLINK("https://app.vivvix.com/360/KMI/IntelliDrive/ApplUI/Pages/CreativePages/CustomReportCreativeDetail.aspx?App=23&amp;ReportView=4&amp;Qid=1711242&amp;Row=480&amp;Col=1","No Title Assigned - #15270050356")</f>
        <v>No Title Assigned - #15270050356</v>
      </c>
      <c r="B488" t="s">
        <v>771</v>
      </c>
      <c r="E488" t="s">
        <v>15</v>
      </c>
      <c r="F488" t="s">
        <v>20</v>
      </c>
      <c r="G488" t="s">
        <v>21</v>
      </c>
      <c r="H488" s="1">
        <v>2195.7600000000002</v>
      </c>
    </row>
    <row r="489" spans="1:8" hidden="1" x14ac:dyDescent="0.25">
      <c r="A489" s="5" t="str">
        <f>HYPERLINK("https://app.vivvix.com/360/KMI/IntelliDrive/ApplUI/Pages/CreativePages/CustomReportCreativeDetail.aspx?App=23&amp;ReportView=4&amp;Qid=1711242&amp;Row=481&amp;Col=1","No Title Assigned - #15270104357")</f>
        <v>No Title Assigned - #15270104357</v>
      </c>
      <c r="B489" t="s">
        <v>772</v>
      </c>
      <c r="C489" t="s">
        <v>773</v>
      </c>
      <c r="D489" t="s">
        <v>773</v>
      </c>
      <c r="E489" t="s">
        <v>15</v>
      </c>
      <c r="F489" t="s">
        <v>133</v>
      </c>
      <c r="G489" t="s">
        <v>187</v>
      </c>
      <c r="H489" s="1">
        <v>30367.841199999999</v>
      </c>
    </row>
    <row r="490" spans="1:8" hidden="1" x14ac:dyDescent="0.25">
      <c r="A490" s="5" t="str">
        <f>HYPERLINK("https://app.vivvix.com/360/KMI/IntelliDrive/ApplUI/Pages/CreativePages/CustomReportCreativeDetail.aspx?App=23&amp;ReportView=4&amp;Qid=1711242&amp;Row=482&amp;Col=1","No Title Assigned - #15270144267")</f>
        <v>No Title Assigned - #15270144267</v>
      </c>
      <c r="B490" t="s">
        <v>774</v>
      </c>
      <c r="E490" t="s">
        <v>15</v>
      </c>
      <c r="F490" t="s">
        <v>15</v>
      </c>
      <c r="G490" t="s">
        <v>137</v>
      </c>
      <c r="H490" s="1">
        <v>1041.0381</v>
      </c>
    </row>
    <row r="491" spans="1:8" hidden="1" x14ac:dyDescent="0.25">
      <c r="A491" s="5" t="str">
        <f>HYPERLINK("https://app.vivvix.com/360/KMI/IntelliDrive/ApplUI/Pages/CreativePages/CustomReportCreativeDetail.aspx?App=23&amp;ReportView=4&amp;Qid=1711242&amp;Row=483&amp;Col=1","No Title Assigned - #15270144268")</f>
        <v>No Title Assigned - #15270144268</v>
      </c>
      <c r="B491" t="s">
        <v>775</v>
      </c>
      <c r="C491" t="s">
        <v>776</v>
      </c>
      <c r="D491" t="s">
        <v>776</v>
      </c>
      <c r="E491" t="s">
        <v>15</v>
      </c>
      <c r="F491" t="s">
        <v>15</v>
      </c>
      <c r="G491" t="s">
        <v>137</v>
      </c>
      <c r="H491" s="1">
        <v>2082.0762</v>
      </c>
    </row>
    <row r="492" spans="1:8" hidden="1" x14ac:dyDescent="0.25">
      <c r="A492" s="5" t="str">
        <f>HYPERLINK("https://app.vivvix.com/360/KMI/IntelliDrive/ApplUI/Pages/CreativePages/CustomReportCreativeDetail.aspx?App=23&amp;ReportView=4&amp;Qid=1711242&amp;Row=484&amp;Col=1","No Title Assigned - #15270277135")</f>
        <v>No Title Assigned - #15270277135</v>
      </c>
      <c r="B492" t="s">
        <v>777</v>
      </c>
      <c r="E492" t="s">
        <v>15</v>
      </c>
      <c r="F492" t="s">
        <v>15</v>
      </c>
      <c r="G492" t="s">
        <v>137</v>
      </c>
      <c r="H492" s="1">
        <v>533.35350000000005</v>
      </c>
    </row>
    <row r="493" spans="1:8" hidden="1" x14ac:dyDescent="0.25">
      <c r="A493" s="5" t="str">
        <f>HYPERLINK("https://app.vivvix.com/360/KMI/IntelliDrive/ApplUI/Pages/CreativePages/CustomReportCreativeDetail.aspx?App=23&amp;ReportView=4&amp;Qid=1711242&amp;Row=485&amp;Col=1","No Title Assigned - #15270526398")</f>
        <v>No Title Assigned - #15270526398</v>
      </c>
      <c r="B493" t="s">
        <v>778</v>
      </c>
      <c r="E493" t="s">
        <v>15</v>
      </c>
      <c r="F493" t="s">
        <v>15</v>
      </c>
      <c r="G493" t="s">
        <v>529</v>
      </c>
      <c r="H493" s="1">
        <v>7397.2950000000001</v>
      </c>
    </row>
    <row r="494" spans="1:8" hidden="1" x14ac:dyDescent="0.25">
      <c r="A494" s="5" t="str">
        <f>HYPERLINK("https://app.vivvix.com/360/KMI/IntelliDrive/ApplUI/Pages/CreativePages/CustomReportCreativeDetail.aspx?App=23&amp;ReportView=4&amp;Qid=1711242&amp;Row=486&amp;Col=1","No Title Assigned - #15270608387")</f>
        <v>No Title Assigned - #15270608387</v>
      </c>
      <c r="B494" t="s">
        <v>779</v>
      </c>
      <c r="E494" t="s">
        <v>15</v>
      </c>
      <c r="F494" t="s">
        <v>15</v>
      </c>
      <c r="G494" t="s">
        <v>137</v>
      </c>
      <c r="H494" s="1">
        <v>33646.453000000001</v>
      </c>
    </row>
    <row r="495" spans="1:8" hidden="1" x14ac:dyDescent="0.25">
      <c r="A495" s="5" t="str">
        <f>HYPERLINK("https://app.vivvix.com/360/KMI/IntelliDrive/ApplUI/Pages/CreativePages/CustomReportCreativeDetail.aspx?App=23&amp;ReportView=4&amp;Qid=1711242&amp;Row=487&amp;Col=1","No Title Assigned - #15270611045")</f>
        <v>No Title Assigned - #15270611045</v>
      </c>
      <c r="B495" t="s">
        <v>780</v>
      </c>
      <c r="E495" t="s">
        <v>15</v>
      </c>
      <c r="F495" t="s">
        <v>15</v>
      </c>
      <c r="G495" t="s">
        <v>137</v>
      </c>
      <c r="H495" s="1">
        <v>5608.8883999999998</v>
      </c>
    </row>
    <row r="496" spans="1:8" hidden="1" x14ac:dyDescent="0.25">
      <c r="A496" s="5" t="str">
        <f>HYPERLINK("https://app.vivvix.com/360/KMI/IntelliDrive/ApplUI/Pages/CreativePages/CustomReportCreativeDetail.aspx?App=23&amp;ReportView=4&amp;Qid=1711242&amp;Row=488&amp;Col=1","No Title Assigned - #15270625235")</f>
        <v>No Title Assigned - #15270625235</v>
      </c>
      <c r="B496" t="s">
        <v>781</v>
      </c>
      <c r="E496" t="s">
        <v>15</v>
      </c>
      <c r="F496" t="s">
        <v>15</v>
      </c>
      <c r="G496" t="s">
        <v>137</v>
      </c>
      <c r="H496" s="1">
        <v>759.89959999999996</v>
      </c>
    </row>
    <row r="497" spans="1:8" hidden="1" x14ac:dyDescent="0.25">
      <c r="A497" s="5" t="str">
        <f>HYPERLINK("https://app.vivvix.com/360/KMI/IntelliDrive/ApplUI/Pages/CreativePages/CustomReportCreativeDetail.aspx?App=23&amp;ReportView=4&amp;Qid=1711242&amp;Row=489&amp;Col=1","No Title Assigned - #15270875792")</f>
        <v>No Title Assigned - #15270875792</v>
      </c>
      <c r="B497" t="s">
        <v>782</v>
      </c>
      <c r="C497" t="s">
        <v>783</v>
      </c>
      <c r="D497" t="s">
        <v>783</v>
      </c>
      <c r="E497" t="s">
        <v>15</v>
      </c>
      <c r="F497" t="s">
        <v>50</v>
      </c>
      <c r="G497" t="s">
        <v>51</v>
      </c>
      <c r="H497" s="1">
        <v>5793.25</v>
      </c>
    </row>
    <row r="498" spans="1:8" hidden="1" x14ac:dyDescent="0.25">
      <c r="A498" s="5" t="str">
        <f>HYPERLINK("https://app.vivvix.com/360/KMI/IntelliDrive/ApplUI/Pages/CreativePages/CustomReportCreativeDetail.aspx?App=23&amp;ReportView=4&amp;Qid=1711242&amp;Row=490&amp;Col=1","No Title Assigned - #15270932492")</f>
        <v>No Title Assigned - #15270932492</v>
      </c>
      <c r="B498" t="s">
        <v>784</v>
      </c>
      <c r="C498" t="s">
        <v>785</v>
      </c>
      <c r="D498" t="s">
        <v>785</v>
      </c>
      <c r="E498" t="s">
        <v>15</v>
      </c>
      <c r="F498" t="s">
        <v>50</v>
      </c>
      <c r="G498" t="s">
        <v>51</v>
      </c>
      <c r="H498" s="1">
        <v>607.20939999999996</v>
      </c>
    </row>
    <row r="499" spans="1:8" hidden="1" x14ac:dyDescent="0.25">
      <c r="A499" s="5" t="str">
        <f>HYPERLINK("https://app.vivvix.com/360/KMI/IntelliDrive/ApplUI/Pages/CreativePages/CustomReportCreativeDetail.aspx?App=23&amp;ReportView=4&amp;Qid=1711242&amp;Row=491&amp;Col=1","No Title Assigned - #15270949735")</f>
        <v>No Title Assigned - #15270949735</v>
      </c>
      <c r="B499" t="s">
        <v>786</v>
      </c>
      <c r="C499" t="s">
        <v>787</v>
      </c>
      <c r="D499" t="s">
        <v>787</v>
      </c>
      <c r="E499" t="s">
        <v>15</v>
      </c>
      <c r="F499" t="s">
        <v>15</v>
      </c>
      <c r="G499" t="s">
        <v>137</v>
      </c>
      <c r="H499" s="1">
        <v>8896.0578999999998</v>
      </c>
    </row>
    <row r="500" spans="1:8" hidden="1" x14ac:dyDescent="0.25">
      <c r="A500" s="5" t="str">
        <f>HYPERLINK("https://app.vivvix.com/360/KMI/IntelliDrive/ApplUI/Pages/CreativePages/CustomReportCreativeDetail.aspx?App=23&amp;ReportView=4&amp;Qid=1711242&amp;Row=492&amp;Col=1","No Title Assigned - #15271008628")</f>
        <v>No Title Assigned - #15271008628</v>
      </c>
      <c r="B500" t="s">
        <v>788</v>
      </c>
      <c r="C500" t="s">
        <v>789</v>
      </c>
      <c r="D500" t="s">
        <v>789</v>
      </c>
      <c r="E500" t="s">
        <v>15</v>
      </c>
      <c r="F500" t="s">
        <v>50</v>
      </c>
      <c r="G500" t="s">
        <v>51</v>
      </c>
      <c r="H500" s="1">
        <v>38.5779</v>
      </c>
    </row>
    <row r="501" spans="1:8" hidden="1" x14ac:dyDescent="0.25">
      <c r="A501" s="5" t="str">
        <f>HYPERLINK("https://app.vivvix.com/360/KMI/IntelliDrive/ApplUI/Pages/CreativePages/CustomReportCreativeDetail.aspx?App=23&amp;ReportView=4&amp;Qid=1711242&amp;Row=493&amp;Col=1","No Title Assigned - #15271037377")</f>
        <v>No Title Assigned - #15271037377</v>
      </c>
      <c r="B501" t="s">
        <v>790</v>
      </c>
      <c r="C501" t="s">
        <v>791</v>
      </c>
      <c r="D501" t="s">
        <v>791</v>
      </c>
      <c r="E501" t="s">
        <v>15</v>
      </c>
      <c r="F501" t="s">
        <v>50</v>
      </c>
      <c r="G501" t="s">
        <v>51</v>
      </c>
      <c r="H501" s="1">
        <v>477.00380000000001</v>
      </c>
    </row>
    <row r="502" spans="1:8" hidden="1" x14ac:dyDescent="0.25">
      <c r="A502" s="5" t="str">
        <f>HYPERLINK("https://app.vivvix.com/360/KMI/IntelliDrive/ApplUI/Pages/CreativePages/CustomReportCreativeDetail.aspx?App=23&amp;ReportView=4&amp;Qid=1711242&amp;Row=494&amp;Col=1","No Title Assigned - #15271039873")</f>
        <v>No Title Assigned - #15271039873</v>
      </c>
      <c r="B502" t="s">
        <v>792</v>
      </c>
      <c r="E502" t="s">
        <v>15</v>
      </c>
      <c r="F502" t="s">
        <v>15</v>
      </c>
      <c r="G502" t="s">
        <v>137</v>
      </c>
      <c r="H502" s="1">
        <v>121.0672</v>
      </c>
    </row>
    <row r="503" spans="1:8" hidden="1" x14ac:dyDescent="0.25">
      <c r="A503" s="5" t="str">
        <f>HYPERLINK("https://app.vivvix.com/360/KMI/IntelliDrive/ApplUI/Pages/CreativePages/CustomReportCreativeDetail.aspx?App=23&amp;ReportView=4&amp;Qid=1711242&amp;Row=495&amp;Col=1","No Title Assigned - #15271112112")</f>
        <v>No Title Assigned - #15271112112</v>
      </c>
      <c r="B503" t="s">
        <v>793</v>
      </c>
      <c r="C503" t="s">
        <v>794</v>
      </c>
      <c r="D503" t="s">
        <v>794</v>
      </c>
      <c r="E503" t="s">
        <v>15</v>
      </c>
      <c r="F503" t="s">
        <v>15</v>
      </c>
      <c r="G503" t="s">
        <v>137</v>
      </c>
      <c r="H503" s="1">
        <v>2165.2431000000001</v>
      </c>
    </row>
    <row r="504" spans="1:8" hidden="1" x14ac:dyDescent="0.25">
      <c r="A504" s="5" t="str">
        <f>HYPERLINK("https://app.vivvix.com/360/KMI/IntelliDrive/ApplUI/Pages/CreativePages/CustomReportCreativeDetail.aspx?App=23&amp;ReportView=4&amp;Qid=1711242&amp;Row=496&amp;Col=1","No Title Assigned - #15271116258")</f>
        <v>No Title Assigned - #15271116258</v>
      </c>
      <c r="B504" t="s">
        <v>795</v>
      </c>
      <c r="C504" t="s">
        <v>796</v>
      </c>
      <c r="D504" t="s">
        <v>791</v>
      </c>
      <c r="E504" t="s">
        <v>15</v>
      </c>
      <c r="F504" t="s">
        <v>50</v>
      </c>
      <c r="G504" t="s">
        <v>51</v>
      </c>
      <c r="H504" s="1">
        <v>33381.314299999998</v>
      </c>
    </row>
    <row r="505" spans="1:8" hidden="1" x14ac:dyDescent="0.25">
      <c r="A505" s="5" t="str">
        <f>HYPERLINK("https://app.vivvix.com/360/KMI/IntelliDrive/ApplUI/Pages/CreativePages/CustomReportCreativeDetail.aspx?App=23&amp;ReportView=4&amp;Qid=1711242&amp;Row=497&amp;Col=1","No Title Assigned - #15271128578")</f>
        <v>No Title Assigned - #15271128578</v>
      </c>
      <c r="B505" t="s">
        <v>797</v>
      </c>
      <c r="C505" t="s">
        <v>798</v>
      </c>
      <c r="D505" t="s">
        <v>798</v>
      </c>
      <c r="E505" t="s">
        <v>15</v>
      </c>
      <c r="F505" t="s">
        <v>15</v>
      </c>
      <c r="G505" t="s">
        <v>137</v>
      </c>
      <c r="H505" s="1">
        <v>5953.0596999999998</v>
      </c>
    </row>
    <row r="506" spans="1:8" hidden="1" x14ac:dyDescent="0.25">
      <c r="A506" s="5" t="str">
        <f>HYPERLINK("https://app.vivvix.com/360/KMI/IntelliDrive/ApplUI/Pages/CreativePages/CustomReportCreativeDetail.aspx?App=23&amp;ReportView=4&amp;Qid=1711242&amp;Row=498&amp;Col=1","No Title Assigned - #15271134118")</f>
        <v>No Title Assigned - #15271134118</v>
      </c>
      <c r="B506" t="s">
        <v>799</v>
      </c>
      <c r="C506" t="s">
        <v>800</v>
      </c>
      <c r="D506" t="s">
        <v>800</v>
      </c>
      <c r="E506" t="s">
        <v>15</v>
      </c>
      <c r="F506" t="s">
        <v>15</v>
      </c>
      <c r="G506" t="s">
        <v>137</v>
      </c>
      <c r="H506" s="1">
        <v>1178.4109000000001</v>
      </c>
    </row>
    <row r="507" spans="1:8" hidden="1" x14ac:dyDescent="0.25">
      <c r="A507" s="5" t="str">
        <f>HYPERLINK("https://app.vivvix.com/360/KMI/IntelliDrive/ApplUI/Pages/CreativePages/CustomReportCreativeDetail.aspx?App=23&amp;ReportView=4&amp;Qid=1711242&amp;Row=499&amp;Col=1","No Title Assigned - #15271136564")</f>
        <v>No Title Assigned - #15271136564</v>
      </c>
      <c r="B507" t="s">
        <v>801</v>
      </c>
      <c r="E507" t="s">
        <v>15</v>
      </c>
      <c r="F507" t="s">
        <v>15</v>
      </c>
      <c r="G507" t="s">
        <v>137</v>
      </c>
      <c r="H507" s="1">
        <v>27140.065399999999</v>
      </c>
    </row>
    <row r="508" spans="1:8" hidden="1" x14ac:dyDescent="0.25">
      <c r="A508" s="5" t="str">
        <f>HYPERLINK("https://app.vivvix.com/360/KMI/IntelliDrive/ApplUI/Pages/CreativePages/CustomReportCreativeDetail.aspx?App=23&amp;ReportView=4&amp;Qid=1711242&amp;Row=500&amp;Col=1","No Title Assigned - #15271174498")</f>
        <v>No Title Assigned - #15271174498</v>
      </c>
      <c r="B508" t="s">
        <v>802</v>
      </c>
      <c r="C508" t="s">
        <v>803</v>
      </c>
      <c r="D508" t="s">
        <v>803</v>
      </c>
      <c r="E508" t="s">
        <v>15</v>
      </c>
      <c r="F508" t="s">
        <v>20</v>
      </c>
      <c r="G508" t="s">
        <v>31</v>
      </c>
      <c r="H508" s="1">
        <v>129113.7003</v>
      </c>
    </row>
    <row r="509" spans="1:8" hidden="1" x14ac:dyDescent="0.25">
      <c r="A509" s="5" t="str">
        <f>HYPERLINK("https://app.vivvix.com/360/KMI/IntelliDrive/ApplUI/Pages/CreativePages/CustomReportCreativeDetail.aspx?App=23&amp;ReportView=4&amp;Qid=1711242&amp;Row=501&amp;Col=1","No Title Assigned - #15271177432")</f>
        <v>No Title Assigned - #15271177432</v>
      </c>
      <c r="B509" t="s">
        <v>804</v>
      </c>
      <c r="C509" t="s">
        <v>805</v>
      </c>
      <c r="D509" t="s">
        <v>805</v>
      </c>
      <c r="E509" t="s">
        <v>15</v>
      </c>
      <c r="F509" t="s">
        <v>20</v>
      </c>
      <c r="G509" t="s">
        <v>31</v>
      </c>
      <c r="H509" s="1">
        <v>10987.172500000001</v>
      </c>
    </row>
    <row r="510" spans="1:8" hidden="1" x14ac:dyDescent="0.25">
      <c r="A510" s="5" t="str">
        <f>HYPERLINK("https://app.vivvix.com/360/KMI/IntelliDrive/ApplUI/Pages/CreativePages/CustomReportCreativeDetail.aspx?App=23&amp;ReportView=4&amp;Qid=1711242&amp;Row=502&amp;Col=1","No Title Assigned - #15271203454")</f>
        <v>No Title Assigned - #15271203454</v>
      </c>
      <c r="B510" t="s">
        <v>806</v>
      </c>
      <c r="C510" t="s">
        <v>807</v>
      </c>
      <c r="D510" t="s">
        <v>807</v>
      </c>
      <c r="E510" t="s">
        <v>15</v>
      </c>
      <c r="F510" t="s">
        <v>50</v>
      </c>
      <c r="G510" t="s">
        <v>51</v>
      </c>
      <c r="H510" s="1">
        <v>71811.099000000002</v>
      </c>
    </row>
    <row r="511" spans="1:8" hidden="1" x14ac:dyDescent="0.25">
      <c r="A511" s="5" t="str">
        <f>HYPERLINK("https://app.vivvix.com/360/KMI/IntelliDrive/ApplUI/Pages/CreativePages/CustomReportCreativeDetail.aspx?App=23&amp;ReportView=4&amp;Qid=1711242&amp;Row=503&amp;Col=1","No Title Assigned - #15271211239")</f>
        <v>No Title Assigned - #15271211239</v>
      </c>
      <c r="B511" t="s">
        <v>808</v>
      </c>
      <c r="E511" t="s">
        <v>15</v>
      </c>
      <c r="F511" t="s">
        <v>20</v>
      </c>
      <c r="G511" t="s">
        <v>21</v>
      </c>
      <c r="H511" s="1">
        <v>1477.4760000000001</v>
      </c>
    </row>
    <row r="512" spans="1:8" hidden="1" x14ac:dyDescent="0.25">
      <c r="A512" s="5" t="str">
        <f>HYPERLINK("https://app.vivvix.com/360/KMI/IntelliDrive/ApplUI/Pages/CreativePages/CustomReportCreativeDetail.aspx?App=23&amp;ReportView=4&amp;Qid=1711242&amp;Row=504&amp;Col=1","No Title Assigned - #15271211513")</f>
        <v>No Title Assigned - #15271211513</v>
      </c>
      <c r="B512" t="s">
        <v>809</v>
      </c>
      <c r="C512" t="s">
        <v>810</v>
      </c>
      <c r="D512" t="s">
        <v>810</v>
      </c>
      <c r="E512" t="s">
        <v>15</v>
      </c>
      <c r="F512" t="s">
        <v>20</v>
      </c>
      <c r="G512" t="s">
        <v>31</v>
      </c>
      <c r="H512" s="1">
        <v>15861.329</v>
      </c>
    </row>
    <row r="513" spans="1:8" hidden="1" x14ac:dyDescent="0.25">
      <c r="A513" s="5" t="str">
        <f>HYPERLINK("https://app.vivvix.com/360/KMI/IntelliDrive/ApplUI/Pages/CreativePages/CustomReportCreativeDetail.aspx?App=23&amp;ReportView=4&amp;Qid=1711242&amp;Row=505&amp;Col=1","No Title Assigned - #15271219393")</f>
        <v>No Title Assigned - #15271219393</v>
      </c>
      <c r="B513" t="s">
        <v>811</v>
      </c>
      <c r="C513" t="s">
        <v>812</v>
      </c>
      <c r="D513" t="s">
        <v>812</v>
      </c>
      <c r="E513" t="s">
        <v>15</v>
      </c>
      <c r="F513" t="s">
        <v>15</v>
      </c>
      <c r="G513" t="s">
        <v>137</v>
      </c>
      <c r="H513" s="1">
        <v>1713.1836000000001</v>
      </c>
    </row>
    <row r="514" spans="1:8" hidden="1" x14ac:dyDescent="0.25">
      <c r="A514" s="5" t="str">
        <f>HYPERLINK("https://app.vivvix.com/360/KMI/IntelliDrive/ApplUI/Pages/CreativePages/CustomReportCreativeDetail.aspx?App=23&amp;ReportView=4&amp;Qid=1711242&amp;Row=506&amp;Col=1","No Title Assigned - #15271268789")</f>
        <v>No Title Assigned - #15271268789</v>
      </c>
      <c r="B514" t="s">
        <v>813</v>
      </c>
      <c r="C514" t="s">
        <v>814</v>
      </c>
      <c r="D514" t="s">
        <v>814</v>
      </c>
      <c r="E514" t="s">
        <v>15</v>
      </c>
      <c r="F514" t="s">
        <v>20</v>
      </c>
      <c r="G514" t="s">
        <v>31</v>
      </c>
      <c r="H514" s="1">
        <v>18096.358199999999</v>
      </c>
    </row>
    <row r="515" spans="1:8" hidden="1" x14ac:dyDescent="0.25">
      <c r="A515" s="5" t="str">
        <f>HYPERLINK("https://app.vivvix.com/360/KMI/IntelliDrive/ApplUI/Pages/CreativePages/CustomReportCreativeDetail.aspx?App=23&amp;ReportView=4&amp;Qid=1711242&amp;Row=507&amp;Col=1","No Title Assigned - #15271275561")</f>
        <v>No Title Assigned - #15271275561</v>
      </c>
      <c r="B515" t="s">
        <v>815</v>
      </c>
      <c r="E515" t="s">
        <v>15</v>
      </c>
      <c r="F515" t="s">
        <v>20</v>
      </c>
      <c r="G515" t="s">
        <v>21</v>
      </c>
      <c r="H515" s="1">
        <v>328.32799999999997</v>
      </c>
    </row>
    <row r="516" spans="1:8" hidden="1" x14ac:dyDescent="0.25">
      <c r="A516" s="5" t="str">
        <f>HYPERLINK("https://app.vivvix.com/360/KMI/IntelliDrive/ApplUI/Pages/CreativePages/CustomReportCreativeDetail.aspx?App=23&amp;ReportView=4&amp;Qid=1711242&amp;Row=508&amp;Col=1","No Title Assigned - #15271276017")</f>
        <v>No Title Assigned - #15271276017</v>
      </c>
      <c r="B516" t="s">
        <v>816</v>
      </c>
      <c r="C516" t="s">
        <v>817</v>
      </c>
      <c r="D516" t="s">
        <v>817</v>
      </c>
      <c r="E516" t="s">
        <v>15</v>
      </c>
      <c r="F516" t="s">
        <v>133</v>
      </c>
      <c r="G516" t="s">
        <v>187</v>
      </c>
      <c r="H516" s="1">
        <v>11069.869199999999</v>
      </c>
    </row>
    <row r="517" spans="1:8" hidden="1" x14ac:dyDescent="0.25">
      <c r="A517" s="5" t="str">
        <f>HYPERLINK("https://app.vivvix.com/360/KMI/IntelliDrive/ApplUI/Pages/CreativePages/CustomReportCreativeDetail.aspx?App=23&amp;ReportView=4&amp;Qid=1711242&amp;Row=509&amp;Col=1","No Title Assigned - #15271432656")</f>
        <v>No Title Assigned - #15271432656</v>
      </c>
      <c r="B517" t="s">
        <v>818</v>
      </c>
      <c r="C517" t="s">
        <v>819</v>
      </c>
      <c r="D517" t="s">
        <v>819</v>
      </c>
      <c r="E517" t="s">
        <v>15</v>
      </c>
      <c r="F517" t="s">
        <v>50</v>
      </c>
      <c r="G517" t="s">
        <v>51</v>
      </c>
      <c r="H517" s="1">
        <v>81290.559899999993</v>
      </c>
    </row>
    <row r="518" spans="1:8" hidden="1" x14ac:dyDescent="0.25">
      <c r="A518" s="5" t="str">
        <f>HYPERLINK("https://app.vivvix.com/360/KMI/IntelliDrive/ApplUI/Pages/CreativePages/CustomReportCreativeDetail.aspx?App=23&amp;ReportView=4&amp;Qid=1711242&amp;Row=510&amp;Col=1","No Title Assigned - #15271432656")</f>
        <v>No Title Assigned - #15271432656</v>
      </c>
      <c r="B518" t="s">
        <v>818</v>
      </c>
      <c r="E518" t="s">
        <v>15</v>
      </c>
      <c r="F518" t="s">
        <v>50</v>
      </c>
      <c r="G518" t="s">
        <v>51</v>
      </c>
      <c r="H518" s="1">
        <v>858.81820000000005</v>
      </c>
    </row>
    <row r="519" spans="1:8" hidden="1" x14ac:dyDescent="0.25">
      <c r="A519" s="5" t="str">
        <f>HYPERLINK("https://app.vivvix.com/360/KMI/IntelliDrive/ApplUI/Pages/CreativePages/CustomReportCreativeDetail.aspx?App=23&amp;ReportView=4&amp;Qid=1711242&amp;Row=511&amp;Col=1","No Title Assigned - #15271455563")</f>
        <v>No Title Assigned - #15271455563</v>
      </c>
      <c r="B519" t="s">
        <v>820</v>
      </c>
      <c r="E519" t="s">
        <v>15</v>
      </c>
      <c r="F519" t="s">
        <v>15</v>
      </c>
      <c r="G519" t="s">
        <v>137</v>
      </c>
      <c r="H519" s="1">
        <v>9469.9923999999992</v>
      </c>
    </row>
    <row r="520" spans="1:8" hidden="1" x14ac:dyDescent="0.25">
      <c r="A520" s="5" t="str">
        <f>HYPERLINK("https://app.vivvix.com/360/KMI/IntelliDrive/ApplUI/Pages/CreativePages/CustomReportCreativeDetail.aspx?App=23&amp;ReportView=4&amp;Qid=1711242&amp;Row=512&amp;Col=1","No Title Assigned - #15271457123")</f>
        <v>No Title Assigned - #15271457123</v>
      </c>
      <c r="B520" t="s">
        <v>821</v>
      </c>
      <c r="E520" t="s">
        <v>15</v>
      </c>
      <c r="F520" t="s">
        <v>15</v>
      </c>
      <c r="G520" t="s">
        <v>137</v>
      </c>
      <c r="H520" s="1">
        <v>8178.4300999999996</v>
      </c>
    </row>
    <row r="521" spans="1:8" hidden="1" x14ac:dyDescent="0.25">
      <c r="A521" s="5" t="str">
        <f>HYPERLINK("https://app.vivvix.com/360/KMI/IntelliDrive/ApplUI/Pages/CreativePages/CustomReportCreativeDetail.aspx?App=23&amp;ReportView=4&amp;Qid=1711242&amp;Row=513&amp;Col=1","No Title Assigned - #15271468859")</f>
        <v>No Title Assigned - #15271468859</v>
      </c>
      <c r="B521" t="s">
        <v>822</v>
      </c>
      <c r="E521" t="s">
        <v>15</v>
      </c>
      <c r="F521" t="s">
        <v>15</v>
      </c>
      <c r="G521" t="s">
        <v>137</v>
      </c>
      <c r="H521" s="1">
        <v>6370.3991999999998</v>
      </c>
    </row>
    <row r="522" spans="1:8" hidden="1" x14ac:dyDescent="0.25">
      <c r="A522" s="5" t="str">
        <f>HYPERLINK("https://app.vivvix.com/360/KMI/IntelliDrive/ApplUI/Pages/CreativePages/CustomReportCreativeDetail.aspx?App=23&amp;ReportView=4&amp;Qid=1711242&amp;Row=514&amp;Col=1","No Title Assigned - #15271529281")</f>
        <v>No Title Assigned - #15271529281</v>
      </c>
      <c r="B522" t="s">
        <v>823</v>
      </c>
      <c r="C522" t="s">
        <v>824</v>
      </c>
      <c r="D522" t="s">
        <v>824</v>
      </c>
      <c r="E522" t="s">
        <v>15</v>
      </c>
      <c r="F522" t="s">
        <v>133</v>
      </c>
      <c r="G522" t="s">
        <v>187</v>
      </c>
      <c r="H522" s="1">
        <v>4062.2550000000001</v>
      </c>
    </row>
    <row r="523" spans="1:8" hidden="1" x14ac:dyDescent="0.25">
      <c r="A523" s="5" t="str">
        <f>HYPERLINK("https://app.vivvix.com/360/KMI/IntelliDrive/ApplUI/Pages/CreativePages/CustomReportCreativeDetail.aspx?App=23&amp;ReportView=4&amp;Qid=1711242&amp;Row=515&amp;Col=1","No Title Assigned - #15271530161")</f>
        <v>No Title Assigned - #15271530161</v>
      </c>
      <c r="B523" t="s">
        <v>825</v>
      </c>
      <c r="C523" t="s">
        <v>826</v>
      </c>
      <c r="D523" t="s">
        <v>826</v>
      </c>
      <c r="E523" t="s">
        <v>15</v>
      </c>
      <c r="F523" t="s">
        <v>20</v>
      </c>
      <c r="G523" t="s">
        <v>31</v>
      </c>
      <c r="H523" s="1">
        <v>56141.975200000001</v>
      </c>
    </row>
    <row r="524" spans="1:8" hidden="1" x14ac:dyDescent="0.25">
      <c r="A524" s="5" t="str">
        <f>HYPERLINK("https://app.vivvix.com/360/KMI/IntelliDrive/ApplUI/Pages/CreativePages/CustomReportCreativeDetail.aspx?App=23&amp;ReportView=4&amp;Qid=1711242&amp;Row=516&amp;Col=1","No Title Assigned - #15271594859")</f>
        <v>No Title Assigned - #15271594859</v>
      </c>
      <c r="B524" t="s">
        <v>827</v>
      </c>
      <c r="C524" t="s">
        <v>828</v>
      </c>
      <c r="D524" t="s">
        <v>805</v>
      </c>
      <c r="E524" t="s">
        <v>15</v>
      </c>
      <c r="F524" t="s">
        <v>20</v>
      </c>
      <c r="G524" t="s">
        <v>31</v>
      </c>
      <c r="H524" s="1">
        <v>18274.052199999998</v>
      </c>
    </row>
    <row r="525" spans="1:8" hidden="1" x14ac:dyDescent="0.25">
      <c r="A525" s="5" t="str">
        <f>HYPERLINK("https://app.vivvix.com/360/KMI/IntelliDrive/ApplUI/Pages/CreativePages/CustomReportCreativeDetail.aspx?App=23&amp;ReportView=4&amp;Qid=1711242&amp;Row=517&amp;Col=1","No Title Assigned - #15271611291")</f>
        <v>No Title Assigned - #15271611291</v>
      </c>
      <c r="B525" t="s">
        <v>829</v>
      </c>
      <c r="C525" t="s">
        <v>830</v>
      </c>
      <c r="D525" t="s">
        <v>830</v>
      </c>
      <c r="E525" t="s">
        <v>15</v>
      </c>
      <c r="F525" t="s">
        <v>133</v>
      </c>
      <c r="G525" t="s">
        <v>187</v>
      </c>
      <c r="H525" s="1">
        <v>19266.457600000002</v>
      </c>
    </row>
    <row r="526" spans="1:8" hidden="1" x14ac:dyDescent="0.25">
      <c r="A526" s="5" t="str">
        <f>HYPERLINK("https://app.vivvix.com/360/KMI/IntelliDrive/ApplUI/Pages/CreativePages/CustomReportCreativeDetail.aspx?App=23&amp;ReportView=4&amp;Qid=1711242&amp;Row=518&amp;Col=1","No Title Assigned - #15271611698")</f>
        <v>No Title Assigned - #15271611698</v>
      </c>
      <c r="B526" t="s">
        <v>831</v>
      </c>
      <c r="C526" t="s">
        <v>832</v>
      </c>
      <c r="D526" t="s">
        <v>832</v>
      </c>
      <c r="E526" t="s">
        <v>15</v>
      </c>
      <c r="F526" t="s">
        <v>50</v>
      </c>
      <c r="G526" t="s">
        <v>51</v>
      </c>
      <c r="H526" s="1">
        <v>5911.2583000000004</v>
      </c>
    </row>
    <row r="527" spans="1:8" hidden="1" x14ac:dyDescent="0.25">
      <c r="A527" s="5" t="str">
        <f>HYPERLINK("https://app.vivvix.com/360/KMI/IntelliDrive/ApplUI/Pages/CreativePages/CustomReportCreativeDetail.aspx?App=23&amp;ReportView=4&amp;Qid=1711242&amp;Row=519&amp;Col=1","No Title Assigned - #15271630796")</f>
        <v>No Title Assigned - #15271630796</v>
      </c>
      <c r="B527" t="s">
        <v>833</v>
      </c>
      <c r="E527" t="s">
        <v>15</v>
      </c>
      <c r="F527" t="s">
        <v>15</v>
      </c>
      <c r="G527" t="s">
        <v>137</v>
      </c>
      <c r="H527" s="1">
        <v>1198.5854999999999</v>
      </c>
    </row>
    <row r="528" spans="1:8" hidden="1" x14ac:dyDescent="0.25">
      <c r="A528" s="5" t="str">
        <f>HYPERLINK("https://app.vivvix.com/360/KMI/IntelliDrive/ApplUI/Pages/CreativePages/CustomReportCreativeDetail.aspx?App=23&amp;ReportView=4&amp;Qid=1711242&amp;Row=520&amp;Col=1","No Title Assigned - #15271631120")</f>
        <v>No Title Assigned - #15271631120</v>
      </c>
      <c r="B528" t="s">
        <v>834</v>
      </c>
      <c r="C528" t="s">
        <v>835</v>
      </c>
      <c r="D528" t="s">
        <v>835</v>
      </c>
      <c r="E528" t="s">
        <v>15</v>
      </c>
      <c r="F528" t="s">
        <v>15</v>
      </c>
      <c r="G528" t="s">
        <v>137</v>
      </c>
      <c r="H528" s="1">
        <v>85.116900000000001</v>
      </c>
    </row>
    <row r="529" spans="1:8" hidden="1" x14ac:dyDescent="0.25">
      <c r="A529" s="5" t="str">
        <f>HYPERLINK("https://app.vivvix.com/360/KMI/IntelliDrive/ApplUI/Pages/CreativePages/CustomReportCreativeDetail.aspx?App=23&amp;ReportView=4&amp;Qid=1711242&amp;Row=521&amp;Col=1","No Title Assigned - #15271691284")</f>
        <v>No Title Assigned - #15271691284</v>
      </c>
      <c r="B529" t="s">
        <v>836</v>
      </c>
      <c r="C529" t="s">
        <v>837</v>
      </c>
      <c r="D529" t="s">
        <v>837</v>
      </c>
      <c r="E529" t="s">
        <v>15</v>
      </c>
      <c r="F529" t="s">
        <v>133</v>
      </c>
      <c r="G529" t="s">
        <v>187</v>
      </c>
      <c r="H529" s="1">
        <v>9362.4289000000008</v>
      </c>
    </row>
    <row r="530" spans="1:8" hidden="1" x14ac:dyDescent="0.25">
      <c r="A530" s="5" t="str">
        <f>HYPERLINK("https://app.vivvix.com/360/KMI/IntelliDrive/ApplUI/Pages/CreativePages/CustomReportCreativeDetail.aspx?App=23&amp;ReportView=4&amp;Qid=1711242&amp;Row=522&amp;Col=1","No Title Assigned - #15272045815")</f>
        <v>No Title Assigned - #15272045815</v>
      </c>
      <c r="B530" t="s">
        <v>838</v>
      </c>
      <c r="E530" t="s">
        <v>15</v>
      </c>
      <c r="F530" t="s">
        <v>15</v>
      </c>
      <c r="G530" t="s">
        <v>137</v>
      </c>
      <c r="H530" s="1">
        <v>10723.3424</v>
      </c>
    </row>
    <row r="531" spans="1:8" hidden="1" x14ac:dyDescent="0.25">
      <c r="A531" s="5" t="str">
        <f>HYPERLINK("https://app.vivvix.com/360/KMI/IntelliDrive/ApplUI/Pages/CreativePages/CustomReportCreativeDetail.aspx?App=23&amp;ReportView=4&amp;Qid=1711242&amp;Row=523&amp;Col=1","No Title Assigned - #15272097210")</f>
        <v>No Title Assigned - #15272097210</v>
      </c>
      <c r="B531" t="s">
        <v>839</v>
      </c>
      <c r="E531" t="s">
        <v>15</v>
      </c>
      <c r="F531" t="s">
        <v>15</v>
      </c>
      <c r="G531" t="s">
        <v>137</v>
      </c>
      <c r="H531" s="1">
        <v>118.8411</v>
      </c>
    </row>
    <row r="532" spans="1:8" hidden="1" x14ac:dyDescent="0.25">
      <c r="A532" s="5" t="str">
        <f>HYPERLINK("https://app.vivvix.com/360/KMI/IntelliDrive/ApplUI/Pages/CreativePages/CustomReportCreativeDetail.aspx?App=23&amp;ReportView=4&amp;Qid=1711242&amp;Row=524&amp;Col=1","No Title Assigned - #15272149927")</f>
        <v>No Title Assigned - #15272149927</v>
      </c>
      <c r="B532" t="s">
        <v>840</v>
      </c>
      <c r="E532" t="s">
        <v>15</v>
      </c>
      <c r="F532" t="s">
        <v>15</v>
      </c>
      <c r="G532" t="s">
        <v>137</v>
      </c>
      <c r="H532" s="1">
        <v>16052.683800000001</v>
      </c>
    </row>
    <row r="533" spans="1:8" hidden="1" x14ac:dyDescent="0.25">
      <c r="A533" s="5" t="str">
        <f>HYPERLINK("https://app.vivvix.com/360/KMI/IntelliDrive/ApplUI/Pages/CreativePages/CustomReportCreativeDetail.aspx?App=23&amp;ReportView=4&amp;Qid=1711242&amp;Row=525&amp;Col=1","No Title Assigned - #15272310590")</f>
        <v>No Title Assigned - #15272310590</v>
      </c>
      <c r="B533" t="s">
        <v>841</v>
      </c>
      <c r="E533" t="s">
        <v>15</v>
      </c>
      <c r="F533" t="s">
        <v>15</v>
      </c>
      <c r="G533" t="s">
        <v>137</v>
      </c>
      <c r="H533" s="1">
        <v>4136.1787000000004</v>
      </c>
    </row>
    <row r="534" spans="1:8" hidden="1" x14ac:dyDescent="0.25">
      <c r="A534" s="5" t="str">
        <f>HYPERLINK("https://app.vivvix.com/360/KMI/IntelliDrive/ApplUI/Pages/CreativePages/CustomReportCreativeDetail.aspx?App=23&amp;ReportView=4&amp;Qid=1711242&amp;Row=526&amp;Col=1","No Title Assigned - #15272333762")</f>
        <v>No Title Assigned - #15272333762</v>
      </c>
      <c r="B534" t="s">
        <v>842</v>
      </c>
      <c r="C534" t="s">
        <v>843</v>
      </c>
      <c r="D534" t="s">
        <v>843</v>
      </c>
      <c r="E534" t="s">
        <v>15</v>
      </c>
      <c r="F534" t="s">
        <v>15</v>
      </c>
      <c r="G534" t="s">
        <v>119</v>
      </c>
      <c r="H534" s="1">
        <v>410.83449999999999</v>
      </c>
    </row>
    <row r="535" spans="1:8" hidden="1" x14ac:dyDescent="0.25">
      <c r="A535" s="5" t="str">
        <f>HYPERLINK("https://app.vivvix.com/360/KMI/IntelliDrive/ApplUI/Pages/CreativePages/CustomReportCreativeDetail.aspx?App=23&amp;ReportView=4&amp;Qid=1711242&amp;Row=527&amp;Col=1","No Title Assigned - #15272440607")</f>
        <v>No Title Assigned - #15272440607</v>
      </c>
      <c r="B535" t="s">
        <v>844</v>
      </c>
      <c r="C535" t="s">
        <v>845</v>
      </c>
      <c r="D535" t="s">
        <v>845</v>
      </c>
      <c r="E535" t="s">
        <v>15</v>
      </c>
      <c r="F535" t="s">
        <v>15</v>
      </c>
      <c r="G535" t="s">
        <v>846</v>
      </c>
      <c r="H535" s="1">
        <v>410.83449999999999</v>
      </c>
    </row>
    <row r="536" spans="1:8" hidden="1" x14ac:dyDescent="0.25">
      <c r="A536" s="5" t="str">
        <f>HYPERLINK("https://app.vivvix.com/360/KMI/IntelliDrive/ApplUI/Pages/CreativePages/CustomReportCreativeDetail.aspx?App=23&amp;ReportView=4&amp;Qid=1711242&amp;Row=528&amp;Col=1","No Title Assigned - #15272634945")</f>
        <v>No Title Assigned - #15272634945</v>
      </c>
      <c r="B536" t="s">
        <v>847</v>
      </c>
      <c r="E536" t="s">
        <v>15</v>
      </c>
      <c r="F536" t="s">
        <v>15</v>
      </c>
      <c r="G536" t="s">
        <v>137</v>
      </c>
      <c r="H536" s="1">
        <v>830.26930000000004</v>
      </c>
    </row>
    <row r="537" spans="1:8" hidden="1" x14ac:dyDescent="0.25">
      <c r="A537" s="5" t="str">
        <f>HYPERLINK("https://app.vivvix.com/360/KMI/IntelliDrive/ApplUI/Pages/CreativePages/CustomReportCreativeDetail.aspx?App=23&amp;ReportView=4&amp;Qid=1711242&amp;Row=529&amp;Col=1","No Title Assigned - #15272667273")</f>
        <v>No Title Assigned - #15272667273</v>
      </c>
      <c r="B537" t="s">
        <v>848</v>
      </c>
      <c r="C537" t="s">
        <v>849</v>
      </c>
      <c r="D537" t="s">
        <v>837</v>
      </c>
      <c r="E537" t="s">
        <v>15</v>
      </c>
      <c r="F537" t="s">
        <v>133</v>
      </c>
      <c r="G537" t="s">
        <v>187</v>
      </c>
      <c r="H537" s="1">
        <v>741.9144</v>
      </c>
    </row>
    <row r="538" spans="1:8" hidden="1" x14ac:dyDescent="0.25">
      <c r="A538" s="5" t="str">
        <f>HYPERLINK("https://app.vivvix.com/360/KMI/IntelliDrive/ApplUI/Pages/CreativePages/CustomReportCreativeDetail.aspx?App=23&amp;ReportView=4&amp;Qid=1711242&amp;Row=530&amp;Col=1","No Title Assigned - #15272738979")</f>
        <v>No Title Assigned - #15272738979</v>
      </c>
      <c r="B538" t="s">
        <v>850</v>
      </c>
      <c r="E538" t="s">
        <v>15</v>
      </c>
      <c r="F538" t="s">
        <v>15</v>
      </c>
      <c r="G538" t="s">
        <v>137</v>
      </c>
      <c r="H538" s="1">
        <v>295.08010000000002</v>
      </c>
    </row>
    <row r="539" spans="1:8" hidden="1" x14ac:dyDescent="0.25">
      <c r="A539" s="5" t="str">
        <f>HYPERLINK("https://app.vivvix.com/360/KMI/IntelliDrive/ApplUI/Pages/CreativePages/CustomReportCreativeDetail.aspx?App=23&amp;ReportView=4&amp;Qid=1711242&amp;Row=531&amp;Col=1","No Title Assigned - #15272751682")</f>
        <v>No Title Assigned - #15272751682</v>
      </c>
      <c r="B539" t="s">
        <v>851</v>
      </c>
      <c r="E539" t="s">
        <v>15</v>
      </c>
      <c r="F539" t="s">
        <v>15</v>
      </c>
      <c r="G539" t="s">
        <v>137</v>
      </c>
      <c r="H539" s="1">
        <v>15251.9449</v>
      </c>
    </row>
    <row r="540" spans="1:8" hidden="1" x14ac:dyDescent="0.25">
      <c r="A540" s="5" t="str">
        <f>HYPERLINK("https://app.vivvix.com/360/KMI/IntelliDrive/ApplUI/Pages/CreativePages/CustomReportCreativeDetail.aspx?App=23&amp;ReportView=4&amp;Qid=1711242&amp;Row=532&amp;Col=1","No Title Assigned - #15272831844")</f>
        <v>No Title Assigned - #15272831844</v>
      </c>
      <c r="B540" t="s">
        <v>852</v>
      </c>
      <c r="E540" t="s">
        <v>15</v>
      </c>
      <c r="F540" t="s">
        <v>15</v>
      </c>
      <c r="G540" t="s">
        <v>137</v>
      </c>
      <c r="H540" s="1">
        <v>9607.1332000000002</v>
      </c>
    </row>
    <row r="541" spans="1:8" hidden="1" x14ac:dyDescent="0.25">
      <c r="A541" s="5" t="str">
        <f>HYPERLINK("https://app.vivvix.com/360/KMI/IntelliDrive/ApplUI/Pages/CreativePages/CustomReportCreativeDetail.aspx?App=23&amp;ReportView=4&amp;Qid=1711242&amp;Row=533&amp;Col=1","No Title Assigned - #15272857194")</f>
        <v>No Title Assigned - #15272857194</v>
      </c>
      <c r="B541" t="s">
        <v>853</v>
      </c>
      <c r="E541" t="s">
        <v>15</v>
      </c>
      <c r="F541" t="s">
        <v>15</v>
      </c>
      <c r="G541" t="s">
        <v>137</v>
      </c>
      <c r="H541" s="1">
        <v>85.618799999999993</v>
      </c>
    </row>
    <row r="542" spans="1:8" hidden="1" x14ac:dyDescent="0.25">
      <c r="A542" s="5" t="str">
        <f>HYPERLINK("https://app.vivvix.com/360/KMI/IntelliDrive/ApplUI/Pages/CreativePages/CustomReportCreativeDetail.aspx?App=23&amp;ReportView=4&amp;Qid=1711242&amp;Row=534&amp;Col=1","No Title Assigned - #15272876769")</f>
        <v>No Title Assigned - #15272876769</v>
      </c>
      <c r="B542" t="s">
        <v>854</v>
      </c>
      <c r="E542" t="s">
        <v>15</v>
      </c>
      <c r="F542" t="s">
        <v>15</v>
      </c>
      <c r="G542" t="s">
        <v>137</v>
      </c>
      <c r="H542" s="1">
        <v>6135.6863000000003</v>
      </c>
    </row>
    <row r="543" spans="1:8" hidden="1" x14ac:dyDescent="0.25">
      <c r="A543" s="5" t="str">
        <f>HYPERLINK("https://app.vivvix.com/360/KMI/IntelliDrive/ApplUI/Pages/CreativePages/CustomReportCreativeDetail.aspx?App=23&amp;ReportView=4&amp;Qid=1711242&amp;Row=535&amp;Col=1","No Title Assigned - #15272876788")</f>
        <v>No Title Assigned - #15272876788</v>
      </c>
      <c r="B543" t="s">
        <v>855</v>
      </c>
      <c r="E543" t="s">
        <v>15</v>
      </c>
      <c r="F543" t="s">
        <v>15</v>
      </c>
      <c r="G543" t="s">
        <v>137</v>
      </c>
      <c r="H543" s="1">
        <v>33759.457000000002</v>
      </c>
    </row>
    <row r="544" spans="1:8" hidden="1" x14ac:dyDescent="0.25">
      <c r="A544" s="5" t="str">
        <f>HYPERLINK("https://app.vivvix.com/360/KMI/IntelliDrive/ApplUI/Pages/CreativePages/CustomReportCreativeDetail.aspx?App=23&amp;ReportView=4&amp;Qid=1711242&amp;Row=536&amp;Col=1","No Title Assigned - #15272876788")</f>
        <v>No Title Assigned - #15272876788</v>
      </c>
      <c r="B544" t="s">
        <v>855</v>
      </c>
      <c r="C544" t="s">
        <v>856</v>
      </c>
      <c r="D544" t="s">
        <v>856</v>
      </c>
      <c r="E544" t="s">
        <v>15</v>
      </c>
      <c r="F544" t="s">
        <v>15</v>
      </c>
      <c r="G544" t="s">
        <v>137</v>
      </c>
      <c r="H544" s="1">
        <v>16862.343499999999</v>
      </c>
    </row>
    <row r="545" spans="1:8" hidden="1" x14ac:dyDescent="0.25">
      <c r="A545" s="5" t="str">
        <f>HYPERLINK("https://app.vivvix.com/360/KMI/IntelliDrive/ApplUI/Pages/CreativePages/CustomReportCreativeDetail.aspx?App=23&amp;ReportView=4&amp;Qid=1711242&amp;Row=537&amp;Col=1","No Title Assigned - #15272893827")</f>
        <v>No Title Assigned - #15272893827</v>
      </c>
      <c r="B545" t="s">
        <v>857</v>
      </c>
      <c r="C545" t="s">
        <v>858</v>
      </c>
      <c r="D545" t="s">
        <v>858</v>
      </c>
      <c r="E545" t="s">
        <v>15</v>
      </c>
      <c r="F545" t="s">
        <v>20</v>
      </c>
      <c r="G545" t="s">
        <v>31</v>
      </c>
      <c r="H545" s="1">
        <v>5072.5971</v>
      </c>
    </row>
    <row r="546" spans="1:8" hidden="1" x14ac:dyDescent="0.25">
      <c r="A546" s="5" t="str">
        <f>HYPERLINK("https://app.vivvix.com/360/KMI/IntelliDrive/ApplUI/Pages/CreativePages/CustomReportCreativeDetail.aspx?App=23&amp;ReportView=4&amp;Qid=1711242&amp;Row=538&amp;Col=1","No Title Assigned - #15273242241")</f>
        <v>No Title Assigned - #15273242241</v>
      </c>
      <c r="B546" t="s">
        <v>859</v>
      </c>
      <c r="E546" t="s">
        <v>15</v>
      </c>
      <c r="F546" t="s">
        <v>15</v>
      </c>
      <c r="G546" t="s">
        <v>137</v>
      </c>
      <c r="H546" s="1">
        <v>454.7373</v>
      </c>
    </row>
    <row r="547" spans="1:8" hidden="1" x14ac:dyDescent="0.25">
      <c r="A547" s="5" t="str">
        <f>HYPERLINK("https://app.vivvix.com/360/KMI/IntelliDrive/ApplUI/Pages/CreativePages/CustomReportCreativeDetail.aspx?App=23&amp;ReportView=4&amp;Qid=1711242&amp;Row=539&amp;Col=1","No Title Assigned - #15273268201")</f>
        <v>No Title Assigned - #15273268201</v>
      </c>
      <c r="B547" t="s">
        <v>860</v>
      </c>
      <c r="E547" t="s">
        <v>15</v>
      </c>
      <c r="F547" t="s">
        <v>15</v>
      </c>
      <c r="G547" t="s">
        <v>137</v>
      </c>
      <c r="H547" s="1">
        <v>295.08010000000002</v>
      </c>
    </row>
    <row r="548" spans="1:8" hidden="1" x14ac:dyDescent="0.25">
      <c r="A548" s="5" t="str">
        <f>HYPERLINK("https://app.vivvix.com/360/KMI/IntelliDrive/ApplUI/Pages/CreativePages/CustomReportCreativeDetail.aspx?App=23&amp;ReportView=4&amp;Qid=1711242&amp;Row=540&amp;Col=1","No Title Assigned - #15273334200")</f>
        <v>No Title Assigned - #15273334200</v>
      </c>
      <c r="B548" t="s">
        <v>861</v>
      </c>
      <c r="E548" t="s">
        <v>15</v>
      </c>
      <c r="F548" t="s">
        <v>15</v>
      </c>
      <c r="G548" t="s">
        <v>137</v>
      </c>
      <c r="H548" s="1">
        <v>522.64919999999995</v>
      </c>
    </row>
    <row r="549" spans="1:8" hidden="1" x14ac:dyDescent="0.25">
      <c r="A549" s="5" t="str">
        <f>HYPERLINK("https://app.vivvix.com/360/KMI/IntelliDrive/ApplUI/Pages/CreativePages/CustomReportCreativeDetail.aspx?App=23&amp;ReportView=4&amp;Qid=1711242&amp;Row=541&amp;Col=1","No Title Assigned - #15273370177")</f>
        <v>No Title Assigned - #15273370177</v>
      </c>
      <c r="B549" t="s">
        <v>862</v>
      </c>
      <c r="E549" t="s">
        <v>15</v>
      </c>
      <c r="F549" t="s">
        <v>15</v>
      </c>
      <c r="G549" t="s">
        <v>137</v>
      </c>
      <c r="H549" s="1">
        <v>4055.5722000000001</v>
      </c>
    </row>
    <row r="550" spans="1:8" hidden="1" x14ac:dyDescent="0.25">
      <c r="A550" s="5" t="str">
        <f>HYPERLINK("https://app.vivvix.com/360/KMI/IntelliDrive/ApplUI/Pages/CreativePages/CustomReportCreativeDetail.aspx?App=23&amp;ReportView=4&amp;Qid=1711242&amp;Row=542&amp;Col=1","No Title Assigned - #15273371234")</f>
        <v>No Title Assigned - #15273371234</v>
      </c>
      <c r="B550" t="s">
        <v>863</v>
      </c>
      <c r="E550" t="s">
        <v>15</v>
      </c>
      <c r="F550" t="s">
        <v>15</v>
      </c>
      <c r="G550" t="s">
        <v>137</v>
      </c>
      <c r="H550" s="1">
        <v>2576.973</v>
      </c>
    </row>
    <row r="551" spans="1:8" hidden="1" x14ac:dyDescent="0.25">
      <c r="A551" s="5" t="str">
        <f>HYPERLINK("https://app.vivvix.com/360/KMI/IntelliDrive/ApplUI/Pages/CreativePages/CustomReportCreativeDetail.aspx?App=23&amp;ReportView=4&amp;Qid=1711242&amp;Row=543&amp;Col=1","No Title Assigned - #15273401435")</f>
        <v>No Title Assigned - #15273401435</v>
      </c>
      <c r="B551" t="s">
        <v>864</v>
      </c>
      <c r="E551" t="s">
        <v>15</v>
      </c>
      <c r="F551" t="s">
        <v>15</v>
      </c>
      <c r="G551" t="s">
        <v>137</v>
      </c>
      <c r="H551" s="1">
        <v>457.96379999999999</v>
      </c>
    </row>
    <row r="552" spans="1:8" hidden="1" x14ac:dyDescent="0.25">
      <c r="A552" s="5" t="str">
        <f>HYPERLINK("https://app.vivvix.com/360/KMI/IntelliDrive/ApplUI/Pages/CreativePages/CustomReportCreativeDetail.aspx?App=23&amp;ReportView=4&amp;Qid=1711242&amp;Row=544&amp;Col=1","No Title Assigned - #15273420610")</f>
        <v>No Title Assigned - #15273420610</v>
      </c>
      <c r="B552" t="s">
        <v>865</v>
      </c>
      <c r="E552" t="s">
        <v>15</v>
      </c>
      <c r="F552" t="s">
        <v>15</v>
      </c>
      <c r="G552" t="s">
        <v>137</v>
      </c>
      <c r="H552" s="1">
        <v>674.29520000000002</v>
      </c>
    </row>
    <row r="553" spans="1:8" hidden="1" x14ac:dyDescent="0.25">
      <c r="A553" s="5" t="str">
        <f>HYPERLINK("https://app.vivvix.com/360/KMI/IntelliDrive/ApplUI/Pages/CreativePages/CustomReportCreativeDetail.aspx?App=23&amp;ReportView=4&amp;Qid=1711242&amp;Row=545&amp;Col=1","No Title Assigned - #15273429833")</f>
        <v>No Title Assigned - #15273429833</v>
      </c>
      <c r="B553" t="s">
        <v>866</v>
      </c>
      <c r="C553" t="s">
        <v>867</v>
      </c>
      <c r="D553" t="s">
        <v>867</v>
      </c>
      <c r="E553" t="s">
        <v>15</v>
      </c>
      <c r="F553" t="s">
        <v>181</v>
      </c>
      <c r="G553" t="s">
        <v>182</v>
      </c>
      <c r="H553" s="1">
        <v>510.53199999999998</v>
      </c>
    </row>
    <row r="554" spans="1:8" hidden="1" x14ac:dyDescent="0.25">
      <c r="A554" s="5" t="str">
        <f>HYPERLINK("https://app.vivvix.com/360/KMI/IntelliDrive/ApplUI/Pages/CreativePages/CustomReportCreativeDetail.aspx?App=23&amp;ReportView=4&amp;Qid=1711242&amp;Row=546&amp;Col=1","No Title Assigned - #15273474766")</f>
        <v>No Title Assigned - #15273474766</v>
      </c>
      <c r="B554" t="s">
        <v>868</v>
      </c>
      <c r="C554" t="s">
        <v>869</v>
      </c>
      <c r="D554" t="s">
        <v>791</v>
      </c>
      <c r="E554" t="s">
        <v>15</v>
      </c>
      <c r="F554" t="s">
        <v>50</v>
      </c>
      <c r="G554" t="s">
        <v>51</v>
      </c>
      <c r="H554" s="1">
        <v>989.84720000000004</v>
      </c>
    </row>
    <row r="555" spans="1:8" hidden="1" x14ac:dyDescent="0.25">
      <c r="A555" s="5" t="str">
        <f>HYPERLINK("https://app.vivvix.com/360/KMI/IntelliDrive/ApplUI/Pages/CreativePages/CustomReportCreativeDetail.aspx?App=23&amp;ReportView=4&amp;Qid=1711242&amp;Row=547&amp;Col=1","No Title Assigned - #15273491805")</f>
        <v>No Title Assigned - #15273491805</v>
      </c>
      <c r="B555" t="s">
        <v>870</v>
      </c>
      <c r="E555" t="s">
        <v>15</v>
      </c>
      <c r="F555" t="s">
        <v>15</v>
      </c>
      <c r="G555" t="s">
        <v>137</v>
      </c>
      <c r="H555" s="1">
        <v>1709.1233</v>
      </c>
    </row>
    <row r="556" spans="1:8" hidden="1" x14ac:dyDescent="0.25">
      <c r="A556" s="5" t="str">
        <f>HYPERLINK("https://app.vivvix.com/360/KMI/IntelliDrive/ApplUI/Pages/CreativePages/CustomReportCreativeDetail.aspx?App=23&amp;ReportView=4&amp;Qid=1711242&amp;Row=548&amp;Col=1","No Title Assigned - #15273493781")</f>
        <v>No Title Assigned - #15273493781</v>
      </c>
      <c r="B556" t="s">
        <v>871</v>
      </c>
      <c r="C556" t="s">
        <v>872</v>
      </c>
      <c r="D556" t="s">
        <v>872</v>
      </c>
      <c r="E556" t="s">
        <v>15</v>
      </c>
      <c r="F556" t="s">
        <v>20</v>
      </c>
      <c r="G556" t="s">
        <v>31</v>
      </c>
      <c r="H556" s="1">
        <v>281.26639999999998</v>
      </c>
    </row>
    <row r="557" spans="1:8" hidden="1" x14ac:dyDescent="0.25">
      <c r="A557" s="5" t="str">
        <f>HYPERLINK("https://app.vivvix.com/360/KMI/IntelliDrive/ApplUI/Pages/CreativePages/CustomReportCreativeDetail.aspx?App=23&amp;ReportView=4&amp;Qid=1711242&amp;Row=549&amp;Col=1","No Title Assigned - #15273541457")</f>
        <v>No Title Assigned - #15273541457</v>
      </c>
      <c r="B557" t="s">
        <v>873</v>
      </c>
      <c r="C557" t="s">
        <v>874</v>
      </c>
      <c r="D557" t="s">
        <v>874</v>
      </c>
      <c r="E557" t="s">
        <v>15</v>
      </c>
      <c r="F557" t="s">
        <v>20</v>
      </c>
      <c r="G557" t="s">
        <v>31</v>
      </c>
      <c r="H557" s="1">
        <v>140.63319999999999</v>
      </c>
    </row>
    <row r="558" spans="1:8" hidden="1" x14ac:dyDescent="0.25">
      <c r="A558" s="5" t="str">
        <f>HYPERLINK("https://app.vivvix.com/360/KMI/IntelliDrive/ApplUI/Pages/CreativePages/CustomReportCreativeDetail.aspx?App=23&amp;ReportView=4&amp;Qid=1711242&amp;Row=550&amp;Col=1","No Title Assigned - #15273542866")</f>
        <v>No Title Assigned - #15273542866</v>
      </c>
      <c r="B558" t="s">
        <v>875</v>
      </c>
      <c r="C558" t="s">
        <v>876</v>
      </c>
      <c r="D558" t="s">
        <v>876</v>
      </c>
      <c r="E558" t="s">
        <v>15</v>
      </c>
      <c r="F558" t="s">
        <v>50</v>
      </c>
      <c r="G558" t="s">
        <v>51</v>
      </c>
      <c r="H558" s="1">
        <v>428.22710000000001</v>
      </c>
    </row>
    <row r="559" spans="1:8" hidden="1" x14ac:dyDescent="0.25">
      <c r="A559" s="5" t="str">
        <f>HYPERLINK("https://app.vivvix.com/360/KMI/IntelliDrive/ApplUI/Pages/CreativePages/CustomReportCreativeDetail.aspx?App=23&amp;ReportView=4&amp;Qid=1711242&amp;Row=551&amp;Col=1","No Title Assigned - #15273551305")</f>
        <v>No Title Assigned - #15273551305</v>
      </c>
      <c r="B559" t="s">
        <v>877</v>
      </c>
      <c r="C559" t="s">
        <v>878</v>
      </c>
      <c r="D559" t="s">
        <v>837</v>
      </c>
      <c r="E559" t="s">
        <v>15</v>
      </c>
      <c r="F559" t="s">
        <v>133</v>
      </c>
      <c r="G559" t="s">
        <v>187</v>
      </c>
      <c r="H559" s="1">
        <v>8783.1370999999999</v>
      </c>
    </row>
    <row r="560" spans="1:8" hidden="1" x14ac:dyDescent="0.25">
      <c r="A560" s="5" t="str">
        <f>HYPERLINK("https://app.vivvix.com/360/KMI/IntelliDrive/ApplUI/Pages/CreativePages/CustomReportCreativeDetail.aspx?App=23&amp;ReportView=4&amp;Qid=1711242&amp;Row=552&amp;Col=1","No Title Assigned - #15273660311")</f>
        <v>No Title Assigned - #15273660311</v>
      </c>
      <c r="B560" t="s">
        <v>879</v>
      </c>
      <c r="C560" t="s">
        <v>880</v>
      </c>
      <c r="D560" t="s">
        <v>880</v>
      </c>
      <c r="E560" t="s">
        <v>15</v>
      </c>
      <c r="F560" t="s">
        <v>15</v>
      </c>
      <c r="G560" t="s">
        <v>137</v>
      </c>
      <c r="H560" s="1">
        <v>101.9709</v>
      </c>
    </row>
    <row r="561" spans="1:8" hidden="1" x14ac:dyDescent="0.25">
      <c r="A561" s="5" t="str">
        <f>HYPERLINK("https://app.vivvix.com/360/KMI/IntelliDrive/ApplUI/Pages/CreativePages/CustomReportCreativeDetail.aspx?App=23&amp;ReportView=4&amp;Qid=1711242&amp;Row=553&amp;Col=1","No Title Assigned - #15273798511")</f>
        <v>No Title Assigned - #15273798511</v>
      </c>
      <c r="B561" t="s">
        <v>881</v>
      </c>
      <c r="E561" t="s">
        <v>15</v>
      </c>
      <c r="F561" t="s">
        <v>15</v>
      </c>
      <c r="G561" t="s">
        <v>137</v>
      </c>
      <c r="H561" s="1">
        <v>868.98559999999998</v>
      </c>
    </row>
    <row r="562" spans="1:8" hidden="1" x14ac:dyDescent="0.25">
      <c r="A562" s="5" t="str">
        <f>HYPERLINK("https://app.vivvix.com/360/KMI/IntelliDrive/ApplUI/Pages/CreativePages/CustomReportCreativeDetail.aspx?App=23&amp;ReportView=4&amp;Qid=1711242&amp;Row=554&amp;Col=1","No Title Assigned - #15273817830")</f>
        <v>No Title Assigned - #15273817830</v>
      </c>
      <c r="B562" t="s">
        <v>882</v>
      </c>
      <c r="E562" t="s">
        <v>15</v>
      </c>
      <c r="F562" t="s">
        <v>15</v>
      </c>
      <c r="G562" t="s">
        <v>137</v>
      </c>
      <c r="H562" s="1">
        <v>583.96429999999998</v>
      </c>
    </row>
    <row r="563" spans="1:8" hidden="1" x14ac:dyDescent="0.25">
      <c r="A563" s="5" t="str">
        <f>HYPERLINK("https://app.vivvix.com/360/KMI/IntelliDrive/ApplUI/Pages/CreativePages/CustomReportCreativeDetail.aspx?App=23&amp;ReportView=4&amp;Qid=1711242&amp;Row=555&amp;Col=1","No Title Assigned - #15273922429")</f>
        <v>No Title Assigned - #15273922429</v>
      </c>
      <c r="B563" t="s">
        <v>883</v>
      </c>
      <c r="C563" t="s">
        <v>884</v>
      </c>
      <c r="D563" t="s">
        <v>884</v>
      </c>
      <c r="E563" t="s">
        <v>15</v>
      </c>
      <c r="F563" t="s">
        <v>16</v>
      </c>
      <c r="G563" t="s">
        <v>54</v>
      </c>
      <c r="H563" s="1">
        <v>501.17759999999998</v>
      </c>
    </row>
    <row r="564" spans="1:8" hidden="1" x14ac:dyDescent="0.25">
      <c r="A564" s="5" t="str">
        <f>HYPERLINK("https://app.vivvix.com/360/KMI/IntelliDrive/ApplUI/Pages/CreativePages/CustomReportCreativeDetail.aspx?App=23&amp;ReportView=4&amp;Qid=1711242&amp;Row=556&amp;Col=1","No Title Assigned - #15273922607")</f>
        <v>No Title Assigned - #15273922607</v>
      </c>
      <c r="B564" t="s">
        <v>885</v>
      </c>
      <c r="C564" t="s">
        <v>886</v>
      </c>
      <c r="D564" t="s">
        <v>886</v>
      </c>
      <c r="E564" t="s">
        <v>15</v>
      </c>
      <c r="F564" t="s">
        <v>16</v>
      </c>
      <c r="G564" t="s">
        <v>54</v>
      </c>
      <c r="H564" s="1">
        <v>334.11840000000001</v>
      </c>
    </row>
    <row r="565" spans="1:8" hidden="1" x14ac:dyDescent="0.25">
      <c r="A565" s="5" t="str">
        <f>HYPERLINK("https://app.vivvix.com/360/KMI/IntelliDrive/ApplUI/Pages/CreativePages/CustomReportCreativeDetail.aspx?App=23&amp;ReportView=4&amp;Qid=1711242&amp;Row=557&amp;Col=1","No Title Assigned - #15273957177")</f>
        <v>No Title Assigned - #15273957177</v>
      </c>
      <c r="B565" t="s">
        <v>887</v>
      </c>
      <c r="C565" t="s">
        <v>888</v>
      </c>
      <c r="D565" t="s">
        <v>888</v>
      </c>
      <c r="E565" t="s">
        <v>15</v>
      </c>
      <c r="F565" t="s">
        <v>15</v>
      </c>
      <c r="G565" t="s">
        <v>137</v>
      </c>
      <c r="H565" s="1">
        <v>2166.6505999999999</v>
      </c>
    </row>
    <row r="566" spans="1:8" hidden="1" x14ac:dyDescent="0.25">
      <c r="A566" s="5" t="str">
        <f>HYPERLINK("https://app.vivvix.com/360/KMI/IntelliDrive/ApplUI/Pages/CreativePages/CustomReportCreativeDetail.aspx?App=23&amp;ReportView=4&amp;Qid=1711242&amp;Row=558&amp;Col=1","No Title Assigned - #15273998586")</f>
        <v>No Title Assigned - #15273998586</v>
      </c>
      <c r="B566" t="s">
        <v>889</v>
      </c>
      <c r="C566" t="s">
        <v>890</v>
      </c>
      <c r="D566" t="s">
        <v>890</v>
      </c>
      <c r="E566" t="s">
        <v>15</v>
      </c>
      <c r="F566" t="s">
        <v>15</v>
      </c>
      <c r="G566" t="s">
        <v>137</v>
      </c>
      <c r="H566" s="1">
        <v>880.20439999999996</v>
      </c>
    </row>
    <row r="567" spans="1:8" hidden="1" x14ac:dyDescent="0.25">
      <c r="A567" s="5" t="str">
        <f>HYPERLINK("https://app.vivvix.com/360/KMI/IntelliDrive/ApplUI/Pages/CreativePages/CustomReportCreativeDetail.aspx?App=23&amp;ReportView=4&amp;Qid=1711242&amp;Row=559&amp;Col=1","No Title Assigned - #15274043593")</f>
        <v>No Title Assigned - #15274043593</v>
      </c>
      <c r="B567" t="s">
        <v>891</v>
      </c>
      <c r="E567" t="s">
        <v>15</v>
      </c>
      <c r="F567" t="s">
        <v>15</v>
      </c>
      <c r="G567" t="s">
        <v>137</v>
      </c>
      <c r="H567" s="1">
        <v>67.980599999999995</v>
      </c>
    </row>
    <row r="568" spans="1:8" hidden="1" x14ac:dyDescent="0.25">
      <c r="A568" s="5" t="str">
        <f>HYPERLINK("https://app.vivvix.com/360/KMI/IntelliDrive/ApplUI/Pages/CreativePages/CustomReportCreativeDetail.aspx?App=23&amp;ReportView=4&amp;Qid=1711242&amp;Row=560&amp;Col=1","No Title Assigned - #15274138561")</f>
        <v>No Title Assigned - #15274138561</v>
      </c>
      <c r="B568" t="s">
        <v>892</v>
      </c>
      <c r="E568" t="s">
        <v>15</v>
      </c>
      <c r="F568" t="s">
        <v>50</v>
      </c>
      <c r="G568" t="s">
        <v>51</v>
      </c>
      <c r="H568" s="1">
        <v>20536.776300000001</v>
      </c>
    </row>
    <row r="569" spans="1:8" hidden="1" x14ac:dyDescent="0.25">
      <c r="A569" s="5" t="str">
        <f>HYPERLINK("https://app.vivvix.com/360/KMI/IntelliDrive/ApplUI/Pages/CreativePages/CustomReportCreativeDetail.aspx?App=23&amp;ReportView=4&amp;Qid=1711242&amp;Row=561&amp;Col=1","No Title Assigned - #15274138679")</f>
        <v>No Title Assigned - #15274138679</v>
      </c>
      <c r="B569" t="s">
        <v>893</v>
      </c>
      <c r="C569" t="s">
        <v>894</v>
      </c>
      <c r="D569" t="s">
        <v>807</v>
      </c>
      <c r="E569" t="s">
        <v>15</v>
      </c>
      <c r="F569" t="s">
        <v>50</v>
      </c>
      <c r="G569" t="s">
        <v>51</v>
      </c>
      <c r="H569" s="1">
        <v>2376.3429999999998</v>
      </c>
    </row>
    <row r="570" spans="1:8" hidden="1" x14ac:dyDescent="0.25">
      <c r="A570" s="5" t="str">
        <f>HYPERLINK("https://app.vivvix.com/360/KMI/IntelliDrive/ApplUI/Pages/CreativePages/CustomReportCreativeDetail.aspx?App=23&amp;ReportView=4&amp;Qid=1711242&amp;Row=562&amp;Col=1","No Title Assigned - #15274210601")</f>
        <v>No Title Assigned - #15274210601</v>
      </c>
      <c r="B570" t="s">
        <v>895</v>
      </c>
      <c r="C570" t="s">
        <v>896</v>
      </c>
      <c r="D570" t="s">
        <v>896</v>
      </c>
      <c r="E570" t="s">
        <v>15</v>
      </c>
      <c r="F570" t="s">
        <v>15</v>
      </c>
      <c r="G570" t="s">
        <v>137</v>
      </c>
      <c r="H570" s="1">
        <v>101.9709</v>
      </c>
    </row>
    <row r="571" spans="1:8" hidden="1" x14ac:dyDescent="0.25">
      <c r="A571" s="5" t="str">
        <f>HYPERLINK("https://app.vivvix.com/360/KMI/IntelliDrive/ApplUI/Pages/CreativePages/CustomReportCreativeDetail.aspx?App=23&amp;ReportView=4&amp;Qid=1711242&amp;Row=563&amp;Col=1","No Title Assigned - #15274224987")</f>
        <v>No Title Assigned - #15274224987</v>
      </c>
      <c r="B571" t="s">
        <v>897</v>
      </c>
      <c r="C571" t="s">
        <v>898</v>
      </c>
      <c r="D571" t="s">
        <v>898</v>
      </c>
      <c r="E571" t="s">
        <v>15</v>
      </c>
      <c r="F571" t="s">
        <v>20</v>
      </c>
      <c r="G571" t="s">
        <v>31</v>
      </c>
      <c r="H571" s="1">
        <v>755.36379999999997</v>
      </c>
    </row>
    <row r="572" spans="1:8" hidden="1" x14ac:dyDescent="0.25">
      <c r="A572" s="5" t="str">
        <f>HYPERLINK("https://app.vivvix.com/360/KMI/IntelliDrive/ApplUI/Pages/CreativePages/CustomReportCreativeDetail.aspx?App=23&amp;ReportView=4&amp;Qid=1711242&amp;Row=564&amp;Col=1","No Title Assigned - #15274249526")</f>
        <v>No Title Assigned - #15274249526</v>
      </c>
      <c r="B572" t="s">
        <v>899</v>
      </c>
      <c r="C572" t="s">
        <v>900</v>
      </c>
      <c r="D572" t="s">
        <v>900</v>
      </c>
      <c r="E572" t="s">
        <v>15</v>
      </c>
      <c r="F572" t="s">
        <v>15</v>
      </c>
      <c r="G572" t="s">
        <v>137</v>
      </c>
      <c r="H572" s="1">
        <v>589.12059999999997</v>
      </c>
    </row>
    <row r="573" spans="1:8" hidden="1" x14ac:dyDescent="0.25">
      <c r="A573" s="5" t="str">
        <f>HYPERLINK("https://app.vivvix.com/360/KMI/IntelliDrive/ApplUI/Pages/CreativePages/CustomReportCreativeDetail.aspx?App=23&amp;ReportView=4&amp;Qid=1711242&amp;Row=565&amp;Col=1","No Title Assigned - #15274410846")</f>
        <v>No Title Assigned - #15274410846</v>
      </c>
      <c r="B573" t="s">
        <v>901</v>
      </c>
      <c r="E573" t="s">
        <v>15</v>
      </c>
      <c r="F573" t="s">
        <v>15</v>
      </c>
      <c r="G573" t="s">
        <v>137</v>
      </c>
      <c r="H573" s="1">
        <v>1631.9025999999999</v>
      </c>
    </row>
    <row r="574" spans="1:8" hidden="1" x14ac:dyDescent="0.25">
      <c r="A574" s="5" t="str">
        <f>HYPERLINK("https://app.vivvix.com/360/KMI/IntelliDrive/ApplUI/Pages/CreativePages/CustomReportCreativeDetail.aspx?App=23&amp;ReportView=4&amp;Qid=1711242&amp;Row=566&amp;Col=1","No Title Assigned - #15274783943")</f>
        <v>No Title Assigned - #15274783943</v>
      </c>
      <c r="B574" t="s">
        <v>902</v>
      </c>
      <c r="E574" t="s">
        <v>15</v>
      </c>
      <c r="F574" t="s">
        <v>15</v>
      </c>
      <c r="G574" t="s">
        <v>137</v>
      </c>
      <c r="H574" s="1">
        <v>294.50119999999998</v>
      </c>
    </row>
    <row r="575" spans="1:8" hidden="1" x14ac:dyDescent="0.25">
      <c r="A575" s="5" t="str">
        <f>HYPERLINK("https://app.vivvix.com/360/KMI/IntelliDrive/ApplUI/Pages/CreativePages/CustomReportCreativeDetail.aspx?App=23&amp;ReportView=4&amp;Qid=1711242&amp;Row=567&amp;Col=1","No Title Assigned - #15274917594")</f>
        <v>No Title Assigned - #15274917594</v>
      </c>
      <c r="B575" t="s">
        <v>903</v>
      </c>
      <c r="E575" t="s">
        <v>15</v>
      </c>
      <c r="F575" t="s">
        <v>15</v>
      </c>
      <c r="G575" t="s">
        <v>137</v>
      </c>
      <c r="H575" s="1">
        <v>1079.3088</v>
      </c>
    </row>
    <row r="576" spans="1:8" hidden="1" x14ac:dyDescent="0.25">
      <c r="A576" s="5" t="str">
        <f>HYPERLINK("https://app.vivvix.com/360/KMI/IntelliDrive/ApplUI/Pages/CreativePages/CustomReportCreativeDetail.aspx?App=23&amp;ReportView=4&amp;Qid=1711242&amp;Row=568&amp;Col=1","No Title Assigned - #15275065210")</f>
        <v>No Title Assigned - #15275065210</v>
      </c>
      <c r="B576" t="s">
        <v>904</v>
      </c>
      <c r="E576" t="s">
        <v>15</v>
      </c>
      <c r="F576" t="s">
        <v>15</v>
      </c>
      <c r="G576" t="s">
        <v>137</v>
      </c>
      <c r="H576" s="1">
        <v>64124.697399999997</v>
      </c>
    </row>
    <row r="577" spans="1:8" hidden="1" x14ac:dyDescent="0.25">
      <c r="A577" s="5" t="str">
        <f>HYPERLINK("https://app.vivvix.com/360/KMI/IntelliDrive/ApplUI/Pages/CreativePages/CustomReportCreativeDetail.aspx?App=23&amp;ReportView=4&amp;Qid=1711242&amp;Row=569&amp;Col=1","No Title Assigned - #15275191358")</f>
        <v>No Title Assigned - #15275191358</v>
      </c>
      <c r="B577" t="s">
        <v>905</v>
      </c>
      <c r="C577" t="s">
        <v>906</v>
      </c>
      <c r="D577" t="s">
        <v>906</v>
      </c>
      <c r="E577" t="s">
        <v>15</v>
      </c>
      <c r="F577" t="s">
        <v>20</v>
      </c>
      <c r="G577" t="s">
        <v>31</v>
      </c>
      <c r="H577" s="1">
        <v>56417.890399999997</v>
      </c>
    </row>
    <row r="578" spans="1:8" hidden="1" x14ac:dyDescent="0.25">
      <c r="A578" s="5" t="str">
        <f>HYPERLINK("https://app.vivvix.com/360/KMI/IntelliDrive/ApplUI/Pages/CreativePages/CustomReportCreativeDetail.aspx?App=23&amp;ReportView=4&amp;Qid=1711242&amp;Row=570&amp;Col=1","No Title Assigned - #15275260343")</f>
        <v>No Title Assigned - #15275260343</v>
      </c>
      <c r="B578" t="s">
        <v>907</v>
      </c>
      <c r="C578" t="s">
        <v>908</v>
      </c>
      <c r="D578" t="s">
        <v>908</v>
      </c>
      <c r="E578" t="s">
        <v>15</v>
      </c>
      <c r="F578" t="s">
        <v>16</v>
      </c>
      <c r="G578" t="s">
        <v>54</v>
      </c>
      <c r="H578" s="1">
        <v>50796.153200000001</v>
      </c>
    </row>
    <row r="579" spans="1:8" hidden="1" x14ac:dyDescent="0.25">
      <c r="A579" s="5" t="str">
        <f>HYPERLINK("https://app.vivvix.com/360/KMI/IntelliDrive/ApplUI/Pages/CreativePages/CustomReportCreativeDetail.aspx?App=23&amp;ReportView=4&amp;Qid=1711242&amp;Row=571&amp;Col=1","No Title Assigned - #15275260461")</f>
        <v>No Title Assigned - #15275260461</v>
      </c>
      <c r="B579" t="s">
        <v>909</v>
      </c>
      <c r="C579" t="s">
        <v>910</v>
      </c>
      <c r="D579" t="s">
        <v>908</v>
      </c>
      <c r="E579" t="s">
        <v>15</v>
      </c>
      <c r="F579" t="s">
        <v>16</v>
      </c>
      <c r="G579" t="s">
        <v>54</v>
      </c>
      <c r="H579" s="1">
        <v>37530.348599999998</v>
      </c>
    </row>
    <row r="580" spans="1:8" hidden="1" x14ac:dyDescent="0.25">
      <c r="A580" s="5" t="str">
        <f>HYPERLINK("https://app.vivvix.com/360/KMI/IntelliDrive/ApplUI/Pages/CreativePages/CustomReportCreativeDetail.aspx?App=23&amp;ReportView=4&amp;Qid=1711242&amp;Row=572&amp;Col=1","No Title Assigned - #15275314157")</f>
        <v>No Title Assigned - #15275314157</v>
      </c>
      <c r="B580" t="s">
        <v>911</v>
      </c>
      <c r="C580" t="s">
        <v>912</v>
      </c>
      <c r="D580" t="s">
        <v>912</v>
      </c>
      <c r="E580" t="s">
        <v>15</v>
      </c>
      <c r="F580" t="s">
        <v>16</v>
      </c>
      <c r="G580" t="s">
        <v>54</v>
      </c>
      <c r="H580" s="1">
        <v>8104.7610999999997</v>
      </c>
    </row>
    <row r="581" spans="1:8" hidden="1" x14ac:dyDescent="0.25">
      <c r="A581" s="5" t="str">
        <f>HYPERLINK("https://app.vivvix.com/360/KMI/IntelliDrive/ApplUI/Pages/CreativePages/CustomReportCreativeDetail.aspx?App=23&amp;ReportView=4&amp;Qid=1711242&amp;Row=573&amp;Col=1","No Title Assigned - #15275339489")</f>
        <v>No Title Assigned - #15275339489</v>
      </c>
      <c r="B581" t="s">
        <v>913</v>
      </c>
      <c r="C581" t="s">
        <v>914</v>
      </c>
      <c r="D581" t="s">
        <v>914</v>
      </c>
      <c r="E581" t="s">
        <v>15</v>
      </c>
      <c r="F581" t="s">
        <v>15</v>
      </c>
      <c r="G581" t="s">
        <v>137</v>
      </c>
      <c r="H581" s="1">
        <v>6505.6197000000002</v>
      </c>
    </row>
    <row r="582" spans="1:8" hidden="1" x14ac:dyDescent="0.25">
      <c r="A582" s="5" t="str">
        <f>HYPERLINK("https://app.vivvix.com/360/KMI/IntelliDrive/ApplUI/Pages/CreativePages/CustomReportCreativeDetail.aspx?App=23&amp;ReportView=4&amp;Qid=1711242&amp;Row=574&amp;Col=1","No Title Assigned - #15275343322")</f>
        <v>No Title Assigned - #15275343322</v>
      </c>
      <c r="B582" t="s">
        <v>915</v>
      </c>
      <c r="E582" t="s">
        <v>15</v>
      </c>
      <c r="F582" t="s">
        <v>15</v>
      </c>
      <c r="G582" t="s">
        <v>137</v>
      </c>
      <c r="H582" s="1">
        <v>7119.8801000000003</v>
      </c>
    </row>
    <row r="583" spans="1:8" hidden="1" x14ac:dyDescent="0.25">
      <c r="A583" s="5" t="str">
        <f>HYPERLINK("https://app.vivvix.com/360/KMI/IntelliDrive/ApplUI/Pages/CreativePages/CustomReportCreativeDetail.aspx?App=23&amp;ReportView=4&amp;Qid=1711242&amp;Row=575&amp;Col=1","No Title Assigned - #15275403281")</f>
        <v>No Title Assigned - #15275403281</v>
      </c>
      <c r="B583" t="s">
        <v>916</v>
      </c>
      <c r="E583" t="s">
        <v>15</v>
      </c>
      <c r="F583" t="s">
        <v>15</v>
      </c>
      <c r="G583" t="s">
        <v>529</v>
      </c>
      <c r="H583" s="1">
        <v>618.95920000000001</v>
      </c>
    </row>
    <row r="584" spans="1:8" hidden="1" x14ac:dyDescent="0.25">
      <c r="A584" s="5" t="str">
        <f>HYPERLINK("https://app.vivvix.com/360/KMI/IntelliDrive/ApplUI/Pages/CreativePages/CustomReportCreativeDetail.aspx?App=23&amp;ReportView=4&amp;Qid=1711242&amp;Row=576&amp;Col=1","No Title Assigned - #15275447129")</f>
        <v>No Title Assigned - #15275447129</v>
      </c>
      <c r="B584" t="s">
        <v>917</v>
      </c>
      <c r="C584" t="s">
        <v>918</v>
      </c>
      <c r="D584" t="s">
        <v>918</v>
      </c>
      <c r="E584" t="s">
        <v>15</v>
      </c>
      <c r="F584" t="s">
        <v>16</v>
      </c>
      <c r="G584" t="s">
        <v>54</v>
      </c>
      <c r="H584" s="1">
        <v>61562.286399999997</v>
      </c>
    </row>
    <row r="585" spans="1:8" hidden="1" x14ac:dyDescent="0.25">
      <c r="A585" s="5" t="str">
        <f>HYPERLINK("https://app.vivvix.com/360/KMI/IntelliDrive/ApplUI/Pages/CreativePages/CustomReportCreativeDetail.aspx?App=23&amp;ReportView=4&amp;Qid=1711242&amp;Row=577&amp;Col=1","No Title Assigned - #15275471418")</f>
        <v>No Title Assigned - #15275471418</v>
      </c>
      <c r="B585" t="s">
        <v>919</v>
      </c>
      <c r="C585" t="s">
        <v>920</v>
      </c>
      <c r="D585" t="s">
        <v>920</v>
      </c>
      <c r="E585" t="s">
        <v>15</v>
      </c>
      <c r="F585" t="s">
        <v>15</v>
      </c>
      <c r="G585" t="s">
        <v>137</v>
      </c>
      <c r="H585" s="1">
        <v>1896.4258</v>
      </c>
    </row>
    <row r="586" spans="1:8" hidden="1" x14ac:dyDescent="0.25">
      <c r="A586" s="5" t="str">
        <f>HYPERLINK("https://app.vivvix.com/360/KMI/IntelliDrive/ApplUI/Pages/CreativePages/CustomReportCreativeDetail.aspx?App=23&amp;ReportView=4&amp;Qid=1711242&amp;Row=578&amp;Col=1","No Title Assigned - #15275649333")</f>
        <v>No Title Assigned - #15275649333</v>
      </c>
      <c r="B586" t="s">
        <v>921</v>
      </c>
      <c r="E586" t="s">
        <v>15</v>
      </c>
      <c r="F586" t="s">
        <v>15</v>
      </c>
      <c r="G586" t="s">
        <v>137</v>
      </c>
      <c r="H586" s="1">
        <v>2449.8656999999998</v>
      </c>
    </row>
    <row r="587" spans="1:8" hidden="1" x14ac:dyDescent="0.25">
      <c r="A587" s="5" t="str">
        <f>HYPERLINK("https://app.vivvix.com/360/KMI/IntelliDrive/ApplUI/Pages/CreativePages/CustomReportCreativeDetail.aspx?App=23&amp;ReportView=4&amp;Qid=1711242&amp;Row=579&amp;Col=1","No Title Assigned - #15275715862")</f>
        <v>No Title Assigned - #15275715862</v>
      </c>
      <c r="B587" t="s">
        <v>922</v>
      </c>
      <c r="E587" t="s">
        <v>15</v>
      </c>
      <c r="F587" t="s">
        <v>50</v>
      </c>
      <c r="G587" t="s">
        <v>51</v>
      </c>
      <c r="H587" s="1">
        <v>1756.8534999999999</v>
      </c>
    </row>
    <row r="588" spans="1:8" hidden="1" x14ac:dyDescent="0.25">
      <c r="A588" s="5" t="str">
        <f>HYPERLINK("https://app.vivvix.com/360/KMI/IntelliDrive/ApplUI/Pages/CreativePages/CustomReportCreativeDetail.aspx?App=23&amp;ReportView=4&amp;Qid=1711242&amp;Row=580&amp;Col=1","No Title Assigned - #15275720422")</f>
        <v>No Title Assigned - #15275720422</v>
      </c>
      <c r="B588" t="s">
        <v>923</v>
      </c>
      <c r="E588" t="s">
        <v>15</v>
      </c>
      <c r="F588" t="s">
        <v>50</v>
      </c>
      <c r="G588" t="s">
        <v>51</v>
      </c>
      <c r="H588" s="1">
        <v>1294.8334</v>
      </c>
    </row>
    <row r="589" spans="1:8" hidden="1" x14ac:dyDescent="0.25">
      <c r="A589" s="5" t="str">
        <f>HYPERLINK("https://app.vivvix.com/360/KMI/IntelliDrive/ApplUI/Pages/CreativePages/CustomReportCreativeDetail.aspx?App=23&amp;ReportView=4&amp;Qid=1711242&amp;Row=581&amp;Col=1","No Title Assigned - #15275754816")</f>
        <v>No Title Assigned - #15275754816</v>
      </c>
      <c r="B589" t="s">
        <v>924</v>
      </c>
      <c r="E589" t="s">
        <v>15</v>
      </c>
      <c r="F589" t="s">
        <v>15</v>
      </c>
      <c r="G589" t="s">
        <v>137</v>
      </c>
      <c r="H589" s="1">
        <v>1330.9721999999999</v>
      </c>
    </row>
    <row r="590" spans="1:8" hidden="1" x14ac:dyDescent="0.25">
      <c r="A590" s="5" t="str">
        <f>HYPERLINK("https://app.vivvix.com/360/KMI/IntelliDrive/ApplUI/Pages/CreativePages/CustomReportCreativeDetail.aspx?App=23&amp;ReportView=4&amp;Qid=1711242&amp;Row=582&amp;Col=1","No Title Assigned - #15275827048")</f>
        <v>No Title Assigned - #15275827048</v>
      </c>
      <c r="B590" t="s">
        <v>925</v>
      </c>
      <c r="E590" t="s">
        <v>15</v>
      </c>
      <c r="F590" t="s">
        <v>15</v>
      </c>
      <c r="G590" t="s">
        <v>137</v>
      </c>
      <c r="H590" s="1">
        <v>1055.6314</v>
      </c>
    </row>
    <row r="591" spans="1:8" hidden="1" x14ac:dyDescent="0.25">
      <c r="A591" s="5" t="str">
        <f>HYPERLINK("https://app.vivvix.com/360/KMI/IntelliDrive/ApplUI/Pages/CreativePages/CustomReportCreativeDetail.aspx?App=23&amp;ReportView=4&amp;Qid=1711242&amp;Row=583&amp;Col=1","No Title Assigned - #15275845846")</f>
        <v>No Title Assigned - #15275845846</v>
      </c>
      <c r="B591" t="s">
        <v>926</v>
      </c>
      <c r="C591" t="s">
        <v>927</v>
      </c>
      <c r="D591" t="s">
        <v>927</v>
      </c>
      <c r="E591" t="s">
        <v>15</v>
      </c>
      <c r="F591" t="s">
        <v>16</v>
      </c>
      <c r="G591" t="s">
        <v>54</v>
      </c>
      <c r="H591" s="1">
        <v>41002.231800000001</v>
      </c>
    </row>
    <row r="592" spans="1:8" hidden="1" x14ac:dyDescent="0.25">
      <c r="A592" s="5" t="str">
        <f>HYPERLINK("https://app.vivvix.com/360/KMI/IntelliDrive/ApplUI/Pages/CreativePages/CustomReportCreativeDetail.aspx?App=23&amp;ReportView=4&amp;Qid=1711242&amp;Row=584&amp;Col=1","No Title Assigned - #15275988493")</f>
        <v>No Title Assigned - #15275988493</v>
      </c>
      <c r="B592" t="s">
        <v>928</v>
      </c>
      <c r="C592" t="s">
        <v>929</v>
      </c>
      <c r="D592" t="s">
        <v>929</v>
      </c>
      <c r="E592" t="s">
        <v>15</v>
      </c>
      <c r="F592" t="s">
        <v>15</v>
      </c>
      <c r="G592" t="s">
        <v>119</v>
      </c>
      <c r="H592" s="1">
        <v>7720.1365999999998</v>
      </c>
    </row>
    <row r="593" spans="1:8" hidden="1" x14ac:dyDescent="0.25">
      <c r="A593" s="5" t="str">
        <f>HYPERLINK("https://app.vivvix.com/360/KMI/IntelliDrive/ApplUI/Pages/CreativePages/CustomReportCreativeDetail.aspx?App=23&amp;ReportView=4&amp;Qid=1711242&amp;Row=585&amp;Col=1","No Title Assigned - #15276082831")</f>
        <v>No Title Assigned - #15276082831</v>
      </c>
      <c r="B593" t="s">
        <v>930</v>
      </c>
      <c r="C593" t="s">
        <v>931</v>
      </c>
      <c r="D593" t="s">
        <v>931</v>
      </c>
      <c r="E593" t="s">
        <v>15</v>
      </c>
      <c r="F593" t="s">
        <v>16</v>
      </c>
      <c r="G593" t="s">
        <v>54</v>
      </c>
      <c r="H593" s="1">
        <v>962.0163</v>
      </c>
    </row>
    <row r="594" spans="1:8" hidden="1" x14ac:dyDescent="0.25">
      <c r="A594" s="5" t="str">
        <f>HYPERLINK("https://app.vivvix.com/360/KMI/IntelliDrive/ApplUI/Pages/CreativePages/CustomReportCreativeDetail.aspx?App=23&amp;ReportView=4&amp;Qid=1711242&amp;Row=586&amp;Col=1","No Title Assigned - #15276274766")</f>
        <v>No Title Assigned - #15276274766</v>
      </c>
      <c r="B594" t="s">
        <v>932</v>
      </c>
      <c r="E594" t="s">
        <v>15</v>
      </c>
      <c r="F594" t="s">
        <v>15</v>
      </c>
      <c r="G594" t="s">
        <v>137</v>
      </c>
      <c r="H594" s="1">
        <v>1617.2460000000001</v>
      </c>
    </row>
    <row r="595" spans="1:8" hidden="1" x14ac:dyDescent="0.25">
      <c r="A595" s="5" t="str">
        <f>HYPERLINK("https://app.vivvix.com/360/KMI/IntelliDrive/ApplUI/Pages/CreativePages/CustomReportCreativeDetail.aspx?App=23&amp;ReportView=4&amp;Qid=1711242&amp;Row=587&amp;Col=1","No Title Assigned - #15276316130")</f>
        <v>No Title Assigned - #15276316130</v>
      </c>
      <c r="B595" t="s">
        <v>933</v>
      </c>
      <c r="C595" t="s">
        <v>934</v>
      </c>
      <c r="D595" t="s">
        <v>934</v>
      </c>
      <c r="E595" t="s">
        <v>15</v>
      </c>
      <c r="F595" t="s">
        <v>16</v>
      </c>
      <c r="G595" t="s">
        <v>54</v>
      </c>
      <c r="H595" s="1">
        <v>2157.33</v>
      </c>
    </row>
    <row r="596" spans="1:8" hidden="1" x14ac:dyDescent="0.25">
      <c r="A596" s="5" t="str">
        <f>HYPERLINK("https://app.vivvix.com/360/KMI/IntelliDrive/ApplUI/Pages/CreativePages/CustomReportCreativeDetail.aspx?App=23&amp;ReportView=4&amp;Qid=1711242&amp;Row=588&amp;Col=1","No Title Assigned - #15276332686")</f>
        <v>No Title Assigned - #15276332686</v>
      </c>
      <c r="B596" t="s">
        <v>935</v>
      </c>
      <c r="C596" t="s">
        <v>936</v>
      </c>
      <c r="D596" t="s">
        <v>934</v>
      </c>
      <c r="E596" t="s">
        <v>15</v>
      </c>
      <c r="F596" t="s">
        <v>16</v>
      </c>
      <c r="G596" t="s">
        <v>54</v>
      </c>
      <c r="H596" s="1">
        <v>3246.4294</v>
      </c>
    </row>
    <row r="597" spans="1:8" hidden="1" x14ac:dyDescent="0.25">
      <c r="A597" s="5" t="str">
        <f>HYPERLINK("https://app.vivvix.com/360/KMI/IntelliDrive/ApplUI/Pages/CreativePages/CustomReportCreativeDetail.aspx?App=23&amp;ReportView=4&amp;Qid=1711242&amp;Row=589&amp;Col=1","No Title Assigned - #15276443370")</f>
        <v>No Title Assigned - #15276443370</v>
      </c>
      <c r="B597" t="s">
        <v>937</v>
      </c>
      <c r="C597" t="s">
        <v>938</v>
      </c>
      <c r="D597" t="s">
        <v>938</v>
      </c>
      <c r="E597" t="s">
        <v>15</v>
      </c>
      <c r="F597" t="s">
        <v>50</v>
      </c>
      <c r="G597" t="s">
        <v>51</v>
      </c>
      <c r="H597" s="1">
        <v>1856.9223</v>
      </c>
    </row>
    <row r="598" spans="1:8" hidden="1" x14ac:dyDescent="0.25">
      <c r="A598" s="5" t="str">
        <f>HYPERLINK("https://app.vivvix.com/360/KMI/IntelliDrive/ApplUI/Pages/CreativePages/CustomReportCreativeDetail.aspx?App=23&amp;ReportView=4&amp;Qid=1711242&amp;Row=590&amp;Col=1","No Title Assigned - #15276477824")</f>
        <v>No Title Assigned - #15276477824</v>
      </c>
      <c r="B598" t="s">
        <v>939</v>
      </c>
      <c r="C598" t="s">
        <v>940</v>
      </c>
      <c r="D598" t="s">
        <v>940</v>
      </c>
      <c r="E598" t="s">
        <v>15</v>
      </c>
      <c r="F598" t="s">
        <v>15</v>
      </c>
      <c r="G598" t="s">
        <v>137</v>
      </c>
      <c r="H598" s="1">
        <v>24355.6309</v>
      </c>
    </row>
    <row r="599" spans="1:8" hidden="1" x14ac:dyDescent="0.25">
      <c r="A599" s="5" t="str">
        <f>HYPERLINK("https://app.vivvix.com/360/KMI/IntelliDrive/ApplUI/Pages/CreativePages/CustomReportCreativeDetail.aspx?App=23&amp;ReportView=4&amp;Qid=1711242&amp;Row=591&amp;Col=1","No Title Assigned - #15276635916")</f>
        <v>No Title Assigned - #15276635916</v>
      </c>
      <c r="B599" t="s">
        <v>941</v>
      </c>
      <c r="E599" t="s">
        <v>15</v>
      </c>
      <c r="F599" t="s">
        <v>15</v>
      </c>
      <c r="G599" t="s">
        <v>137</v>
      </c>
      <c r="H599" s="1">
        <v>1009.8028</v>
      </c>
    </row>
    <row r="600" spans="1:8" hidden="1" x14ac:dyDescent="0.25">
      <c r="A600" s="5" t="str">
        <f>HYPERLINK("https://app.vivvix.com/360/KMI/IntelliDrive/ApplUI/Pages/CreativePages/CustomReportCreativeDetail.aspx?App=23&amp;ReportView=4&amp;Qid=1711242&amp;Row=592&amp;Col=1","No Title Assigned - #15276770335")</f>
        <v>No Title Assigned - #15276770335</v>
      </c>
      <c r="B600" t="s">
        <v>942</v>
      </c>
      <c r="E600" t="s">
        <v>15</v>
      </c>
      <c r="F600" t="s">
        <v>15</v>
      </c>
      <c r="G600" t="s">
        <v>137</v>
      </c>
      <c r="H600" s="1">
        <v>1067.7515000000001</v>
      </c>
    </row>
    <row r="601" spans="1:8" hidden="1" x14ac:dyDescent="0.25">
      <c r="A601" s="5" t="str">
        <f>HYPERLINK("https://app.vivvix.com/360/KMI/IntelliDrive/ApplUI/Pages/CreativePages/CustomReportCreativeDetail.aspx?App=23&amp;ReportView=4&amp;Qid=1711242&amp;Row=593&amp;Col=1","No Title Assigned - #15276874734")</f>
        <v>No Title Assigned - #15276874734</v>
      </c>
      <c r="B601" t="s">
        <v>943</v>
      </c>
      <c r="E601" t="s">
        <v>15</v>
      </c>
      <c r="F601" t="s">
        <v>15</v>
      </c>
      <c r="G601" t="s">
        <v>137</v>
      </c>
      <c r="H601" s="1">
        <v>1387.0516</v>
      </c>
    </row>
    <row r="602" spans="1:8" hidden="1" x14ac:dyDescent="0.25">
      <c r="A602" s="5" t="str">
        <f>HYPERLINK("https://app.vivvix.com/360/KMI/IntelliDrive/ApplUI/Pages/CreativePages/CustomReportCreativeDetail.aspx?App=23&amp;ReportView=4&amp;Qid=1711242&amp;Row=594&amp;Col=1","No Title Assigned - #15276992652")</f>
        <v>No Title Assigned - #15276992652</v>
      </c>
      <c r="B602" t="s">
        <v>944</v>
      </c>
      <c r="E602" t="s">
        <v>15</v>
      </c>
      <c r="F602" t="s">
        <v>15</v>
      </c>
      <c r="G602" t="s">
        <v>137</v>
      </c>
      <c r="H602" s="1">
        <v>707.63589999999999</v>
      </c>
    </row>
    <row r="603" spans="1:8" hidden="1" x14ac:dyDescent="0.25">
      <c r="A603" s="5" t="str">
        <f>HYPERLINK("https://app.vivvix.com/360/KMI/IntelliDrive/ApplUI/Pages/CreativePages/CustomReportCreativeDetail.aspx?App=23&amp;ReportView=4&amp;Qid=1711242&amp;Row=595&amp;Col=1","No Title Assigned - #15277039343")</f>
        <v>No Title Assigned - #15277039343</v>
      </c>
      <c r="B603" t="s">
        <v>945</v>
      </c>
      <c r="C603" t="s">
        <v>946</v>
      </c>
      <c r="D603" t="s">
        <v>946</v>
      </c>
      <c r="E603" t="s">
        <v>15</v>
      </c>
      <c r="F603" t="s">
        <v>50</v>
      </c>
      <c r="G603" t="s">
        <v>51</v>
      </c>
      <c r="H603" s="1">
        <v>315.55200000000002</v>
      </c>
    </row>
    <row r="604" spans="1:8" hidden="1" x14ac:dyDescent="0.25">
      <c r="A604" s="5" t="str">
        <f>HYPERLINK("https://app.vivvix.com/360/KMI/IntelliDrive/ApplUI/Pages/CreativePages/CustomReportCreativeDetail.aspx?App=23&amp;ReportView=4&amp;Qid=1711242&amp;Row=596&amp;Col=1","No Title Assigned - #15277044469")</f>
        <v>No Title Assigned - #15277044469</v>
      </c>
      <c r="B604" t="s">
        <v>947</v>
      </c>
      <c r="C604" t="s">
        <v>948</v>
      </c>
      <c r="D604" t="s">
        <v>946</v>
      </c>
      <c r="E604" t="s">
        <v>15</v>
      </c>
      <c r="F604" t="s">
        <v>50</v>
      </c>
      <c r="G604" t="s">
        <v>51</v>
      </c>
      <c r="H604" s="1">
        <v>2567.8350999999998</v>
      </c>
    </row>
    <row r="605" spans="1:8" hidden="1" x14ac:dyDescent="0.25">
      <c r="A605" s="5" t="str">
        <f>HYPERLINK("https://app.vivvix.com/360/KMI/IntelliDrive/ApplUI/Pages/CreativePages/CustomReportCreativeDetail.aspx?App=23&amp;ReportView=4&amp;Qid=1711242&amp;Row=597&amp;Col=1","No Title Assigned - #15277132710")</f>
        <v>No Title Assigned - #15277132710</v>
      </c>
      <c r="B605" t="s">
        <v>949</v>
      </c>
      <c r="E605" t="s">
        <v>15</v>
      </c>
      <c r="F605" t="s">
        <v>15</v>
      </c>
      <c r="G605" t="s">
        <v>137</v>
      </c>
      <c r="H605" s="1">
        <v>598.58839999999998</v>
      </c>
    </row>
    <row r="606" spans="1:8" hidden="1" x14ac:dyDescent="0.25">
      <c r="A606" s="5" t="str">
        <f>HYPERLINK("https://app.vivvix.com/360/KMI/IntelliDrive/ApplUI/Pages/CreativePages/CustomReportCreativeDetail.aspx?App=23&amp;ReportView=4&amp;Qid=1711242&amp;Row=598&amp;Col=1","No Title Assigned - #15277267298")</f>
        <v>No Title Assigned - #15277267298</v>
      </c>
      <c r="B606" t="s">
        <v>950</v>
      </c>
      <c r="C606" t="s">
        <v>951</v>
      </c>
      <c r="D606" t="s">
        <v>951</v>
      </c>
      <c r="E606" t="s">
        <v>15</v>
      </c>
      <c r="F606" t="s">
        <v>15</v>
      </c>
      <c r="G606" t="s">
        <v>137</v>
      </c>
      <c r="H606" s="1">
        <v>2060.9956000000002</v>
      </c>
    </row>
    <row r="607" spans="1:8" hidden="1" x14ac:dyDescent="0.25">
      <c r="A607" s="5" t="str">
        <f>HYPERLINK("https://app.vivvix.com/360/KMI/IntelliDrive/ApplUI/Pages/CreativePages/CustomReportCreativeDetail.aspx?App=23&amp;ReportView=4&amp;Qid=1711242&amp;Row=599&amp;Col=1","No Title Assigned - #15277471525")</f>
        <v>No Title Assigned - #15277471525</v>
      </c>
      <c r="B607" t="s">
        <v>952</v>
      </c>
      <c r="E607" t="s">
        <v>15</v>
      </c>
      <c r="F607" t="s">
        <v>15</v>
      </c>
      <c r="G607" t="s">
        <v>137</v>
      </c>
      <c r="H607" s="1">
        <v>6182.9867999999997</v>
      </c>
    </row>
    <row r="608" spans="1:8" hidden="1" x14ac:dyDescent="0.25">
      <c r="A608" s="5" t="str">
        <f>HYPERLINK("https://app.vivvix.com/360/KMI/IntelliDrive/ApplUI/Pages/CreativePages/CustomReportCreativeDetail.aspx?App=23&amp;ReportView=4&amp;Qid=1711242&amp;Row=600&amp;Col=1","No Title Assigned - #15277471677")</f>
        <v>No Title Assigned - #15277471677</v>
      </c>
      <c r="B608" t="s">
        <v>953</v>
      </c>
      <c r="E608" t="s">
        <v>15</v>
      </c>
      <c r="F608" t="s">
        <v>15</v>
      </c>
      <c r="G608" t="s">
        <v>137</v>
      </c>
      <c r="H608" s="1">
        <v>2060.9956000000002</v>
      </c>
    </row>
    <row r="609" spans="1:8" hidden="1" x14ac:dyDescent="0.25">
      <c r="A609" s="5" t="str">
        <f>HYPERLINK("https://app.vivvix.com/360/KMI/IntelliDrive/ApplUI/Pages/CreativePages/CustomReportCreativeDetail.aspx?App=23&amp;ReportView=4&amp;Qid=1711242&amp;Row=601&amp;Col=1","No Title Assigned - #15277478769")</f>
        <v>No Title Assigned - #15277478769</v>
      </c>
      <c r="B609" t="s">
        <v>954</v>
      </c>
      <c r="E609" t="s">
        <v>15</v>
      </c>
      <c r="F609" t="s">
        <v>15</v>
      </c>
      <c r="G609" t="s">
        <v>137</v>
      </c>
      <c r="H609" s="1">
        <v>4121.9912000000004</v>
      </c>
    </row>
    <row r="610" spans="1:8" hidden="1" x14ac:dyDescent="0.25">
      <c r="A610" s="5" t="str">
        <f>HYPERLINK("https://app.vivvix.com/360/KMI/IntelliDrive/ApplUI/Pages/CreativePages/CustomReportCreativeDetail.aspx?App=23&amp;ReportView=4&amp;Qid=1711242&amp;Row=602&amp;Col=1","No Title Assigned - #15277587724")</f>
        <v>No Title Assigned - #15277587724</v>
      </c>
      <c r="B610" t="s">
        <v>955</v>
      </c>
      <c r="E610" t="s">
        <v>15</v>
      </c>
      <c r="F610" t="s">
        <v>15</v>
      </c>
      <c r="G610" t="s">
        <v>529</v>
      </c>
      <c r="H610" s="1">
        <v>3338.7559999999999</v>
      </c>
    </row>
    <row r="611" spans="1:8" hidden="1" x14ac:dyDescent="0.25">
      <c r="A611" s="5" t="str">
        <f>HYPERLINK("https://app.vivvix.com/360/KMI/IntelliDrive/ApplUI/Pages/CreativePages/CustomReportCreativeDetail.aspx?App=23&amp;ReportView=4&amp;Qid=1711242&amp;Row=603&amp;Col=1","No Title Assigned - #15277598299")</f>
        <v>No Title Assigned - #15277598299</v>
      </c>
      <c r="B611" t="s">
        <v>956</v>
      </c>
      <c r="E611" t="s">
        <v>15</v>
      </c>
      <c r="F611" t="s">
        <v>15</v>
      </c>
      <c r="G611" t="s">
        <v>137</v>
      </c>
      <c r="H611" s="1">
        <v>1336.6925000000001</v>
      </c>
    </row>
    <row r="612" spans="1:8" hidden="1" x14ac:dyDescent="0.25">
      <c r="A612" s="5" t="str">
        <f>HYPERLINK("https://app.vivvix.com/360/KMI/IntelliDrive/ApplUI/Pages/CreativePages/CustomReportCreativeDetail.aspx?App=23&amp;ReportView=4&amp;Qid=1711242&amp;Row=604&amp;Col=1","No Title Assigned - #15277598300")</f>
        <v>No Title Assigned - #15277598300</v>
      </c>
      <c r="B612" t="s">
        <v>957</v>
      </c>
      <c r="E612" t="s">
        <v>15</v>
      </c>
      <c r="F612" t="s">
        <v>15</v>
      </c>
      <c r="G612" t="s">
        <v>137</v>
      </c>
      <c r="H612" s="1">
        <v>520.89409999999998</v>
      </c>
    </row>
    <row r="613" spans="1:8" hidden="1" x14ac:dyDescent="0.25">
      <c r="A613" s="5" t="str">
        <f>HYPERLINK("https://app.vivvix.com/360/KMI/IntelliDrive/ApplUI/Pages/CreativePages/CustomReportCreativeDetail.aspx?App=23&amp;ReportView=4&amp;Qid=1711242&amp;Row=605&amp;Col=1","No Title Assigned - #15277650091")</f>
        <v>No Title Assigned - #15277650091</v>
      </c>
      <c r="B613" t="s">
        <v>958</v>
      </c>
      <c r="C613" t="s">
        <v>959</v>
      </c>
      <c r="D613" t="s">
        <v>959</v>
      </c>
      <c r="E613" t="s">
        <v>15</v>
      </c>
      <c r="F613" t="s">
        <v>181</v>
      </c>
      <c r="G613" t="s">
        <v>182</v>
      </c>
      <c r="H613" s="1">
        <v>3237.1648</v>
      </c>
    </row>
    <row r="614" spans="1:8" hidden="1" x14ac:dyDescent="0.25">
      <c r="A614" s="5" t="str">
        <f>HYPERLINK("https://app.vivvix.com/360/KMI/IntelliDrive/ApplUI/Pages/CreativePages/CustomReportCreativeDetail.aspx?App=23&amp;ReportView=4&amp;Qid=1711242&amp;Row=606&amp;Col=1","No Title Assigned - #15277666096")</f>
        <v>No Title Assigned - #15277666096</v>
      </c>
      <c r="B614" t="s">
        <v>960</v>
      </c>
      <c r="E614" t="s">
        <v>15</v>
      </c>
      <c r="F614" t="s">
        <v>15</v>
      </c>
      <c r="G614" t="s">
        <v>137</v>
      </c>
      <c r="H614" s="1">
        <v>3267.6295</v>
      </c>
    </row>
    <row r="615" spans="1:8" hidden="1" x14ac:dyDescent="0.25">
      <c r="A615" s="5" t="str">
        <f>HYPERLINK("https://app.vivvix.com/360/KMI/IntelliDrive/ApplUI/Pages/CreativePages/CustomReportCreativeDetail.aspx?App=23&amp;ReportView=4&amp;Qid=1711242&amp;Row=607&amp;Col=1","No Title Assigned - #15277776858")</f>
        <v>No Title Assigned - #15277776858</v>
      </c>
      <c r="B615" t="s">
        <v>961</v>
      </c>
      <c r="C615" t="s">
        <v>962</v>
      </c>
      <c r="D615" t="s">
        <v>962</v>
      </c>
      <c r="E615" t="s">
        <v>15</v>
      </c>
      <c r="F615" t="s">
        <v>181</v>
      </c>
      <c r="G615" t="s">
        <v>182</v>
      </c>
      <c r="H615" s="1">
        <v>3237.1648</v>
      </c>
    </row>
    <row r="616" spans="1:8" hidden="1" x14ac:dyDescent="0.25">
      <c r="A616" s="5" t="str">
        <f>HYPERLINK("https://app.vivvix.com/360/KMI/IntelliDrive/ApplUI/Pages/CreativePages/CustomReportCreativeDetail.aspx?App=23&amp;ReportView=4&amp;Qid=1711242&amp;Row=608&amp;Col=1","No Title Assigned - #15277779851")</f>
        <v>No Title Assigned - #15277779851</v>
      </c>
      <c r="B616" t="s">
        <v>963</v>
      </c>
      <c r="E616" t="s">
        <v>15</v>
      </c>
      <c r="F616" t="s">
        <v>15</v>
      </c>
      <c r="G616" t="s">
        <v>137</v>
      </c>
      <c r="H616" s="1">
        <v>2060.9956000000002</v>
      </c>
    </row>
    <row r="617" spans="1:8" hidden="1" x14ac:dyDescent="0.25">
      <c r="A617" s="5" t="str">
        <f>HYPERLINK("https://app.vivvix.com/360/KMI/IntelliDrive/ApplUI/Pages/CreativePages/CustomReportCreativeDetail.aspx?App=23&amp;ReportView=4&amp;Qid=1711242&amp;Row=609&amp;Col=1","No Title Assigned - #15277950592")</f>
        <v>No Title Assigned - #15277950592</v>
      </c>
      <c r="B617" t="s">
        <v>964</v>
      </c>
      <c r="C617" t="s">
        <v>965</v>
      </c>
      <c r="D617" t="s">
        <v>965</v>
      </c>
      <c r="E617" t="s">
        <v>15</v>
      </c>
      <c r="F617" t="s">
        <v>16</v>
      </c>
      <c r="G617" t="s">
        <v>54</v>
      </c>
      <c r="H617" s="1">
        <v>6074.4344000000001</v>
      </c>
    </row>
    <row r="618" spans="1:8" hidden="1" x14ac:dyDescent="0.25">
      <c r="A618" s="5" t="str">
        <f>HYPERLINK("https://app.vivvix.com/360/KMI/IntelliDrive/ApplUI/Pages/CreativePages/CustomReportCreativeDetail.aspx?App=23&amp;ReportView=4&amp;Qid=1711242&amp;Row=610&amp;Col=1","No Title Assigned - #15277950764")</f>
        <v>No Title Assigned - #15277950764</v>
      </c>
      <c r="B618" t="s">
        <v>966</v>
      </c>
      <c r="C618" t="s">
        <v>967</v>
      </c>
      <c r="D618" t="s">
        <v>967</v>
      </c>
      <c r="E618" t="s">
        <v>15</v>
      </c>
      <c r="F618" t="s">
        <v>50</v>
      </c>
      <c r="G618" t="s">
        <v>51</v>
      </c>
      <c r="H618" s="1">
        <v>5813.0298000000003</v>
      </c>
    </row>
    <row r="619" spans="1:8" hidden="1" x14ac:dyDescent="0.25">
      <c r="A619" s="5" t="str">
        <f>HYPERLINK("https://app.vivvix.com/360/KMI/IntelliDrive/ApplUI/Pages/CreativePages/CustomReportCreativeDetail.aspx?App=23&amp;ReportView=4&amp;Qid=1711242&amp;Row=611&amp;Col=1","No Title Assigned - #15277952717")</f>
        <v>No Title Assigned - #15277952717</v>
      </c>
      <c r="B619" t="s">
        <v>968</v>
      </c>
      <c r="C619" t="s">
        <v>969</v>
      </c>
      <c r="D619" t="s">
        <v>969</v>
      </c>
      <c r="E619" t="s">
        <v>15</v>
      </c>
      <c r="F619" t="s">
        <v>50</v>
      </c>
      <c r="G619" t="s">
        <v>51</v>
      </c>
      <c r="H619" s="1">
        <v>444.9058</v>
      </c>
    </row>
    <row r="620" spans="1:8" hidden="1" x14ac:dyDescent="0.25">
      <c r="A620" s="5" t="str">
        <f>HYPERLINK("https://app.vivvix.com/360/KMI/IntelliDrive/ApplUI/Pages/CreativePages/CustomReportCreativeDetail.aspx?App=23&amp;ReportView=4&amp;Qid=1711242&amp;Row=612&amp;Col=1","No Title Assigned - #15278096200")</f>
        <v>No Title Assigned - #15278096200</v>
      </c>
      <c r="B620" t="s">
        <v>970</v>
      </c>
      <c r="C620" t="s">
        <v>971</v>
      </c>
      <c r="D620" t="s">
        <v>971</v>
      </c>
      <c r="E620" t="s">
        <v>15</v>
      </c>
      <c r="F620" t="s">
        <v>15</v>
      </c>
      <c r="G620" t="s">
        <v>137</v>
      </c>
      <c r="H620" s="1">
        <v>593.20799999999997</v>
      </c>
    </row>
    <row r="621" spans="1:8" hidden="1" x14ac:dyDescent="0.25">
      <c r="A621" s="5" t="str">
        <f>HYPERLINK("https://app.vivvix.com/360/KMI/IntelliDrive/ApplUI/Pages/CreativePages/CustomReportCreativeDetail.aspx?App=23&amp;ReportView=4&amp;Qid=1711242&amp;Row=613&amp;Col=1","No Title Assigned - #15278231687")</f>
        <v>No Title Assigned - #15278231687</v>
      </c>
      <c r="B621" t="s">
        <v>972</v>
      </c>
      <c r="E621" t="s">
        <v>15</v>
      </c>
      <c r="F621" t="s">
        <v>15</v>
      </c>
      <c r="G621" t="s">
        <v>137</v>
      </c>
      <c r="H621" s="1">
        <v>22197.764599999999</v>
      </c>
    </row>
    <row r="622" spans="1:8" hidden="1" x14ac:dyDescent="0.25">
      <c r="A622" s="5" t="str">
        <f>HYPERLINK("https://app.vivvix.com/360/KMI/IntelliDrive/ApplUI/Pages/CreativePages/CustomReportCreativeDetail.aspx?App=23&amp;ReportView=4&amp;Qid=1711242&amp;Row=614&amp;Col=1","No Title Assigned - #15278242046")</f>
        <v>No Title Assigned - #15278242046</v>
      </c>
      <c r="B622" t="s">
        <v>973</v>
      </c>
      <c r="E622" t="s">
        <v>15</v>
      </c>
      <c r="F622" t="s">
        <v>15</v>
      </c>
      <c r="G622" t="s">
        <v>137</v>
      </c>
      <c r="H622" s="1">
        <v>49992.295899999997</v>
      </c>
    </row>
    <row r="623" spans="1:8" hidden="1" x14ac:dyDescent="0.25">
      <c r="A623" s="5" t="str">
        <f>HYPERLINK("https://app.vivvix.com/360/KMI/IntelliDrive/ApplUI/Pages/CreativePages/CustomReportCreativeDetail.aspx?App=23&amp;ReportView=4&amp;Qid=1711242&amp;Row=615&amp;Col=1","No Title Assigned - #15278242580")</f>
        <v>No Title Assigned - #15278242580</v>
      </c>
      <c r="B623" t="s">
        <v>974</v>
      </c>
      <c r="E623" t="s">
        <v>15</v>
      </c>
      <c r="F623" t="s">
        <v>15</v>
      </c>
      <c r="G623" t="s">
        <v>137</v>
      </c>
      <c r="H623" s="1">
        <v>383.80799999999999</v>
      </c>
    </row>
    <row r="624" spans="1:8" hidden="1" x14ac:dyDescent="0.25">
      <c r="A624" s="5" t="str">
        <f>HYPERLINK("https://app.vivvix.com/360/KMI/IntelliDrive/ApplUI/Pages/CreativePages/CustomReportCreativeDetail.aspx?App=23&amp;ReportView=4&amp;Qid=1711242&amp;Row=616&amp;Col=1","No Title Assigned - #15278359905")</f>
        <v>No Title Assigned - #15278359905</v>
      </c>
      <c r="B624" t="s">
        <v>975</v>
      </c>
      <c r="E624" t="s">
        <v>15</v>
      </c>
      <c r="F624" t="s">
        <v>20</v>
      </c>
      <c r="G624" t="s">
        <v>31</v>
      </c>
      <c r="H624" s="1">
        <v>18947.914000000001</v>
      </c>
    </row>
    <row r="625" spans="1:8" hidden="1" x14ac:dyDescent="0.25">
      <c r="A625" s="5" t="str">
        <f>HYPERLINK("https://app.vivvix.com/360/KMI/IntelliDrive/ApplUI/Pages/CreativePages/CustomReportCreativeDetail.aspx?App=23&amp;ReportView=4&amp;Qid=1711242&amp;Row=617&amp;Col=1","No Title Assigned - #15278359905")</f>
        <v>No Title Assigned - #15278359905</v>
      </c>
      <c r="B625" t="s">
        <v>975</v>
      </c>
      <c r="E625" t="s">
        <v>15</v>
      </c>
      <c r="F625" t="s">
        <v>20</v>
      </c>
      <c r="G625" t="s">
        <v>31</v>
      </c>
      <c r="H625" s="1">
        <v>9338.5630000000001</v>
      </c>
    </row>
    <row r="626" spans="1:8" hidden="1" x14ac:dyDescent="0.25">
      <c r="A626" s="5" t="str">
        <f>HYPERLINK("https://app.vivvix.com/360/KMI/IntelliDrive/ApplUI/Pages/CreativePages/CustomReportCreativeDetail.aspx?App=23&amp;ReportView=4&amp;Qid=1711242&amp;Row=618&amp;Col=1","No Title Assigned - #15278361855")</f>
        <v>No Title Assigned - #15278361855</v>
      </c>
      <c r="B626" t="s">
        <v>976</v>
      </c>
      <c r="C626" t="s">
        <v>977</v>
      </c>
      <c r="D626" t="s">
        <v>977</v>
      </c>
      <c r="E626" t="s">
        <v>15</v>
      </c>
      <c r="F626" t="s">
        <v>15</v>
      </c>
      <c r="G626" t="s">
        <v>137</v>
      </c>
      <c r="H626" s="1">
        <v>3649.2215000000001</v>
      </c>
    </row>
    <row r="627" spans="1:8" hidden="1" x14ac:dyDescent="0.25">
      <c r="A627" s="5" t="str">
        <f>HYPERLINK("https://app.vivvix.com/360/KMI/IntelliDrive/ApplUI/Pages/CreativePages/CustomReportCreativeDetail.aspx?App=23&amp;ReportView=4&amp;Qid=1711242&amp;Row=619&amp;Col=1","No Title Assigned - #15278361855")</f>
        <v>No Title Assigned - #15278361855</v>
      </c>
      <c r="B627" t="s">
        <v>976</v>
      </c>
      <c r="E627" t="s">
        <v>15</v>
      </c>
      <c r="F627" t="s">
        <v>15</v>
      </c>
      <c r="G627" t="s">
        <v>137</v>
      </c>
      <c r="H627" s="1">
        <v>285458.50329999998</v>
      </c>
    </row>
    <row r="628" spans="1:8" hidden="1" x14ac:dyDescent="0.25">
      <c r="A628" s="5" t="str">
        <f>HYPERLINK("https://app.vivvix.com/360/KMI/IntelliDrive/ApplUI/Pages/CreativePages/CustomReportCreativeDetail.aspx?App=23&amp;ReportView=4&amp;Qid=1711242&amp;Row=620&amp;Col=1","No Title Assigned - #15278386465")</f>
        <v>No Title Assigned - #15278386465</v>
      </c>
      <c r="B628" t="s">
        <v>978</v>
      </c>
      <c r="E628" t="s">
        <v>15</v>
      </c>
      <c r="F628" t="s">
        <v>15</v>
      </c>
      <c r="G628" t="s">
        <v>137</v>
      </c>
      <c r="H628" s="1">
        <v>3850.7177999999999</v>
      </c>
    </row>
    <row r="629" spans="1:8" hidden="1" x14ac:dyDescent="0.25">
      <c r="A629" s="5" t="str">
        <f>HYPERLINK("https://app.vivvix.com/360/KMI/IntelliDrive/ApplUI/Pages/CreativePages/CustomReportCreativeDetail.aspx?App=23&amp;ReportView=4&amp;Qid=1711242&amp;Row=621&amp;Col=1","No Title Assigned - #15278405871")</f>
        <v>No Title Assigned - #15278405871</v>
      </c>
      <c r="B629" t="s">
        <v>979</v>
      </c>
      <c r="C629" t="s">
        <v>980</v>
      </c>
      <c r="D629" t="s">
        <v>980</v>
      </c>
      <c r="E629" t="s">
        <v>15</v>
      </c>
      <c r="F629" t="s">
        <v>20</v>
      </c>
      <c r="G629" t="s">
        <v>31</v>
      </c>
      <c r="H629" s="1">
        <v>20658.548500000001</v>
      </c>
    </row>
    <row r="630" spans="1:8" hidden="1" x14ac:dyDescent="0.25">
      <c r="A630" s="5" t="str">
        <f>HYPERLINK("https://app.vivvix.com/360/KMI/IntelliDrive/ApplUI/Pages/CreativePages/CustomReportCreativeDetail.aspx?App=23&amp;ReportView=4&amp;Qid=1711242&amp;Row=622&amp;Col=1","No Title Assigned - #15278406518")</f>
        <v>No Title Assigned - #15278406518</v>
      </c>
      <c r="B630" t="s">
        <v>981</v>
      </c>
      <c r="C630" t="s">
        <v>982</v>
      </c>
      <c r="D630" t="s">
        <v>982</v>
      </c>
      <c r="E630" t="s">
        <v>15</v>
      </c>
      <c r="F630" t="s">
        <v>20</v>
      </c>
      <c r="G630" t="s">
        <v>31</v>
      </c>
      <c r="H630" s="1">
        <v>158973.82440000001</v>
      </c>
    </row>
    <row r="631" spans="1:8" hidden="1" x14ac:dyDescent="0.25">
      <c r="A631" s="5" t="str">
        <f>HYPERLINK("https://app.vivvix.com/360/KMI/IntelliDrive/ApplUI/Pages/CreativePages/CustomReportCreativeDetail.aspx?App=23&amp;ReportView=4&amp;Qid=1711242&amp;Row=623&amp;Col=1","No Title Assigned - #15278415400")</f>
        <v>No Title Assigned - #15278415400</v>
      </c>
      <c r="B631" t="s">
        <v>983</v>
      </c>
      <c r="E631" t="s">
        <v>15</v>
      </c>
      <c r="F631" t="s">
        <v>15</v>
      </c>
      <c r="G631" t="s">
        <v>137</v>
      </c>
      <c r="H631" s="1">
        <v>1385.0432000000001</v>
      </c>
    </row>
    <row r="632" spans="1:8" hidden="1" x14ac:dyDescent="0.25">
      <c r="A632" s="5" t="str">
        <f>HYPERLINK("https://app.vivvix.com/360/KMI/IntelliDrive/ApplUI/Pages/CreativePages/CustomReportCreativeDetail.aspx?App=23&amp;ReportView=4&amp;Qid=1711242&amp;Row=624&amp;Col=1","No Title Assigned - #15278415738")</f>
        <v>No Title Assigned - #15278415738</v>
      </c>
      <c r="B632" t="s">
        <v>984</v>
      </c>
      <c r="E632" t="s">
        <v>15</v>
      </c>
      <c r="F632" t="s">
        <v>15</v>
      </c>
      <c r="G632" t="s">
        <v>137</v>
      </c>
      <c r="H632" s="1">
        <v>4915.7901000000002</v>
      </c>
    </row>
    <row r="633" spans="1:8" hidden="1" x14ac:dyDescent="0.25">
      <c r="A633" s="5" t="str">
        <f>HYPERLINK("https://app.vivvix.com/360/KMI/IntelliDrive/ApplUI/Pages/CreativePages/CustomReportCreativeDetail.aspx?App=23&amp;ReportView=4&amp;Qid=1711242&amp;Row=625&amp;Col=1","No Title Assigned - #15278417227")</f>
        <v>No Title Assigned - #15278417227</v>
      </c>
      <c r="B633" t="s">
        <v>985</v>
      </c>
      <c r="E633" t="s">
        <v>15</v>
      </c>
      <c r="F633" t="s">
        <v>15</v>
      </c>
      <c r="G633" t="s">
        <v>137</v>
      </c>
      <c r="H633" s="1">
        <v>566.89660000000003</v>
      </c>
    </row>
    <row r="634" spans="1:8" hidden="1" x14ac:dyDescent="0.25">
      <c r="A634" s="5" t="str">
        <f>HYPERLINK("https://app.vivvix.com/360/KMI/IntelliDrive/ApplUI/Pages/CreativePages/CustomReportCreativeDetail.aspx?App=23&amp;ReportView=4&amp;Qid=1711242&amp;Row=626&amp;Col=1","No Title Assigned - #15278417816")</f>
        <v>No Title Assigned - #15278417816</v>
      </c>
      <c r="B634" t="s">
        <v>986</v>
      </c>
      <c r="E634" t="s">
        <v>15</v>
      </c>
      <c r="F634" t="s">
        <v>15</v>
      </c>
      <c r="G634" t="s">
        <v>137</v>
      </c>
      <c r="H634" s="1">
        <v>503.89949999999999</v>
      </c>
    </row>
    <row r="635" spans="1:8" hidden="1" x14ac:dyDescent="0.25">
      <c r="A635" s="5" t="str">
        <f>HYPERLINK("https://app.vivvix.com/360/KMI/IntelliDrive/ApplUI/Pages/CreativePages/CustomReportCreativeDetail.aspx?App=23&amp;ReportView=4&amp;Qid=1711242&amp;Row=627&amp;Col=1","No Title Assigned - #15278431799")</f>
        <v>No Title Assigned - #15278431799</v>
      </c>
      <c r="B635" t="s">
        <v>987</v>
      </c>
      <c r="E635" t="s">
        <v>15</v>
      </c>
      <c r="F635" t="s">
        <v>15</v>
      </c>
      <c r="G635" t="s">
        <v>137</v>
      </c>
      <c r="H635" s="1">
        <v>786.08280000000002</v>
      </c>
    </row>
    <row r="636" spans="1:8" hidden="1" x14ac:dyDescent="0.25">
      <c r="A636" s="5" t="str">
        <f>HYPERLINK("https://app.vivvix.com/360/KMI/IntelliDrive/ApplUI/Pages/CreativePages/CustomReportCreativeDetail.aspx?App=23&amp;ReportView=4&amp;Qid=1711242&amp;Row=628&amp;Col=1","No Title Assigned - #15278434929")</f>
        <v>No Title Assigned - #15278434929</v>
      </c>
      <c r="B636" t="s">
        <v>988</v>
      </c>
      <c r="E636" t="s">
        <v>15</v>
      </c>
      <c r="F636" t="s">
        <v>15</v>
      </c>
      <c r="G636" t="s">
        <v>137</v>
      </c>
      <c r="H636" s="1">
        <v>306.40260000000001</v>
      </c>
    </row>
    <row r="637" spans="1:8" hidden="1" x14ac:dyDescent="0.25">
      <c r="A637" s="5" t="str">
        <f>HYPERLINK("https://app.vivvix.com/360/KMI/IntelliDrive/ApplUI/Pages/CreativePages/CustomReportCreativeDetail.aspx?App=23&amp;ReportView=4&amp;Qid=1711242&amp;Row=629&amp;Col=1","No Title Assigned - #15278434930")</f>
        <v>No Title Assigned - #15278434930</v>
      </c>
      <c r="B637" t="s">
        <v>989</v>
      </c>
      <c r="E637" t="s">
        <v>15</v>
      </c>
      <c r="F637" t="s">
        <v>15</v>
      </c>
      <c r="G637" t="s">
        <v>137</v>
      </c>
      <c r="H637" s="1">
        <v>526.16290000000004</v>
      </c>
    </row>
    <row r="638" spans="1:8" hidden="1" x14ac:dyDescent="0.25">
      <c r="A638" s="5" t="str">
        <f>HYPERLINK("https://app.vivvix.com/360/KMI/IntelliDrive/ApplUI/Pages/CreativePages/CustomReportCreativeDetail.aspx?App=23&amp;ReportView=4&amp;Qid=1711242&amp;Row=630&amp;Col=1","No Title Assigned - #15278456676")</f>
        <v>No Title Assigned - #15278456676</v>
      </c>
      <c r="B638" t="s">
        <v>990</v>
      </c>
      <c r="C638" t="s">
        <v>991</v>
      </c>
      <c r="D638" t="s">
        <v>991</v>
      </c>
      <c r="E638" t="s">
        <v>15</v>
      </c>
      <c r="F638" t="s">
        <v>20</v>
      </c>
      <c r="G638" t="s">
        <v>31</v>
      </c>
      <c r="H638" s="1">
        <v>1750.5328</v>
      </c>
    </row>
    <row r="639" spans="1:8" hidden="1" x14ac:dyDescent="0.25">
      <c r="A639" s="5" t="str">
        <f>HYPERLINK("https://app.vivvix.com/360/KMI/IntelliDrive/ApplUI/Pages/CreativePages/CustomReportCreativeDetail.aspx?App=23&amp;ReportView=4&amp;Qid=1711242&amp;Row=631&amp;Col=1","No Title Assigned - #15278460332")</f>
        <v>No Title Assigned - #15278460332</v>
      </c>
      <c r="B639" t="s">
        <v>992</v>
      </c>
      <c r="C639" t="s">
        <v>993</v>
      </c>
      <c r="D639" t="s">
        <v>993</v>
      </c>
      <c r="E639" t="s">
        <v>15</v>
      </c>
      <c r="F639" t="s">
        <v>20</v>
      </c>
      <c r="G639" t="s">
        <v>31</v>
      </c>
      <c r="H639" s="1">
        <v>482.90559999999999</v>
      </c>
    </row>
    <row r="640" spans="1:8" hidden="1" x14ac:dyDescent="0.25">
      <c r="A640" s="5" t="str">
        <f>HYPERLINK("https://app.vivvix.com/360/KMI/IntelliDrive/ApplUI/Pages/CreativePages/CustomReportCreativeDetail.aspx?App=23&amp;ReportView=4&amp;Qid=1711242&amp;Row=632&amp;Col=1","No Title Assigned - #15278527863")</f>
        <v>No Title Assigned - #15278527863</v>
      </c>
      <c r="B640" t="s">
        <v>994</v>
      </c>
      <c r="C640" t="s">
        <v>995</v>
      </c>
      <c r="D640" t="s">
        <v>931</v>
      </c>
      <c r="E640" t="s">
        <v>15</v>
      </c>
      <c r="F640" t="s">
        <v>16</v>
      </c>
      <c r="G640" t="s">
        <v>54</v>
      </c>
      <c r="H640" s="1">
        <v>626.67579999999998</v>
      </c>
    </row>
    <row r="641" spans="1:8" hidden="1" x14ac:dyDescent="0.25">
      <c r="A641" s="5" t="str">
        <f>HYPERLINK("https://app.vivvix.com/360/KMI/IntelliDrive/ApplUI/Pages/CreativePages/CustomReportCreativeDetail.aspx?App=23&amp;ReportView=4&amp;Qid=1711242&amp;Row=633&amp;Col=1","No Title Assigned - #15278536650")</f>
        <v>No Title Assigned - #15278536650</v>
      </c>
      <c r="B641" t="s">
        <v>996</v>
      </c>
      <c r="C641" t="s">
        <v>997</v>
      </c>
      <c r="D641" t="s">
        <v>997</v>
      </c>
      <c r="E641" t="s">
        <v>15</v>
      </c>
      <c r="F641" t="s">
        <v>20</v>
      </c>
      <c r="G641" t="s">
        <v>31</v>
      </c>
      <c r="H641" s="1">
        <v>1791.8204000000001</v>
      </c>
    </row>
    <row r="642" spans="1:8" hidden="1" x14ac:dyDescent="0.25">
      <c r="A642" s="5" t="str">
        <f>HYPERLINK("https://app.vivvix.com/360/KMI/IntelliDrive/ApplUI/Pages/CreativePages/CustomReportCreativeDetail.aspx?App=23&amp;ReportView=4&amp;Qid=1711242&amp;Row=634&amp;Col=1","No Title Assigned - #15278592007")</f>
        <v>No Title Assigned - #15278592007</v>
      </c>
      <c r="B642" t="s">
        <v>998</v>
      </c>
      <c r="C642" t="s">
        <v>999</v>
      </c>
      <c r="D642" t="s">
        <v>999</v>
      </c>
      <c r="E642" t="s">
        <v>15</v>
      </c>
      <c r="F642" t="s">
        <v>20</v>
      </c>
      <c r="G642" t="s">
        <v>31</v>
      </c>
      <c r="H642" s="1">
        <v>1716.6940999999999</v>
      </c>
    </row>
    <row r="643" spans="1:8" hidden="1" x14ac:dyDescent="0.25">
      <c r="A643" s="5" t="str">
        <f>HYPERLINK("https://app.vivvix.com/360/KMI/IntelliDrive/ApplUI/Pages/CreativePages/CustomReportCreativeDetail.aspx?App=23&amp;ReportView=4&amp;Qid=1711242&amp;Row=635&amp;Col=1","No Title Assigned - #15278601591")</f>
        <v>No Title Assigned - #15278601591</v>
      </c>
      <c r="B643" t="s">
        <v>1000</v>
      </c>
      <c r="E643" t="s">
        <v>15</v>
      </c>
      <c r="F643" t="s">
        <v>15</v>
      </c>
      <c r="G643" t="s">
        <v>137</v>
      </c>
      <c r="H643" s="1">
        <v>547.4606</v>
      </c>
    </row>
    <row r="644" spans="1:8" hidden="1" x14ac:dyDescent="0.25">
      <c r="A644" s="5" t="str">
        <f>HYPERLINK("https://app.vivvix.com/360/KMI/IntelliDrive/ApplUI/Pages/CreativePages/CustomReportCreativeDetail.aspx?App=23&amp;ReportView=4&amp;Qid=1711242&amp;Row=636&amp;Col=1","No Title Assigned - #15278608645")</f>
        <v>No Title Assigned - #15278608645</v>
      </c>
      <c r="B644" t="s">
        <v>1001</v>
      </c>
      <c r="E644" t="s">
        <v>15</v>
      </c>
      <c r="F644" t="s">
        <v>15</v>
      </c>
      <c r="G644" t="s">
        <v>137</v>
      </c>
      <c r="H644" s="1">
        <v>14982.9735</v>
      </c>
    </row>
    <row r="645" spans="1:8" hidden="1" x14ac:dyDescent="0.25">
      <c r="A645" s="5" t="str">
        <f>HYPERLINK("https://app.vivvix.com/360/KMI/IntelliDrive/ApplUI/Pages/CreativePages/CustomReportCreativeDetail.aspx?App=23&amp;ReportView=4&amp;Qid=1711242&amp;Row=637&amp;Col=1","No Title Assigned - #15278609683")</f>
        <v>No Title Assigned - #15278609683</v>
      </c>
      <c r="B645" t="s">
        <v>1002</v>
      </c>
      <c r="E645" t="s">
        <v>15</v>
      </c>
      <c r="F645" t="s">
        <v>15</v>
      </c>
      <c r="G645" t="s">
        <v>137</v>
      </c>
      <c r="H645" s="1">
        <v>120.0472</v>
      </c>
    </row>
    <row r="646" spans="1:8" hidden="1" x14ac:dyDescent="0.25">
      <c r="A646" s="5" t="str">
        <f>HYPERLINK("https://app.vivvix.com/360/KMI/IntelliDrive/ApplUI/Pages/CreativePages/CustomReportCreativeDetail.aspx?App=23&amp;ReportView=4&amp;Qid=1711242&amp;Row=638&amp;Col=1","No Title Assigned - #15278670814")</f>
        <v>No Title Assigned - #15278670814</v>
      </c>
      <c r="B646" t="s">
        <v>1003</v>
      </c>
      <c r="E646" t="s">
        <v>15</v>
      </c>
      <c r="F646" t="s">
        <v>15</v>
      </c>
      <c r="G646" t="s">
        <v>137</v>
      </c>
      <c r="H646" s="1">
        <v>60.023600000000002</v>
      </c>
    </row>
    <row r="647" spans="1:8" hidden="1" x14ac:dyDescent="0.25">
      <c r="A647" s="5" t="str">
        <f>HYPERLINK("https://app.vivvix.com/360/KMI/IntelliDrive/ApplUI/Pages/CreativePages/CustomReportCreativeDetail.aspx?App=23&amp;ReportView=4&amp;Qid=1711242&amp;Row=639&amp;Col=1","No Title Assigned - #15278674425")</f>
        <v>No Title Assigned - #15278674425</v>
      </c>
      <c r="B647" t="s">
        <v>1004</v>
      </c>
      <c r="E647" t="s">
        <v>15</v>
      </c>
      <c r="F647" t="s">
        <v>15</v>
      </c>
      <c r="G647" t="s">
        <v>137</v>
      </c>
      <c r="H647" s="1">
        <v>11385.7601</v>
      </c>
    </row>
    <row r="648" spans="1:8" hidden="1" x14ac:dyDescent="0.25">
      <c r="A648" s="5" t="str">
        <f>HYPERLINK("https://app.vivvix.com/360/KMI/IntelliDrive/ApplUI/Pages/CreativePages/CustomReportCreativeDetail.aspx?App=23&amp;ReportView=4&amp;Qid=1711242&amp;Row=640&amp;Col=1","No Title Assigned - #15278727870")</f>
        <v>No Title Assigned - #15278727870</v>
      </c>
      <c r="B648" t="s">
        <v>1005</v>
      </c>
      <c r="C648" t="s">
        <v>1006</v>
      </c>
      <c r="D648" t="s">
        <v>1006</v>
      </c>
      <c r="E648" t="s">
        <v>15</v>
      </c>
      <c r="F648" t="s">
        <v>20</v>
      </c>
      <c r="G648" t="s">
        <v>31</v>
      </c>
      <c r="H648" s="1">
        <v>16026.7891</v>
      </c>
    </row>
    <row r="649" spans="1:8" hidden="1" x14ac:dyDescent="0.25">
      <c r="A649" s="5" t="str">
        <f>HYPERLINK("https://app.vivvix.com/360/KMI/IntelliDrive/ApplUI/Pages/CreativePages/CustomReportCreativeDetail.aspx?App=23&amp;ReportView=4&amp;Qid=1711242&amp;Row=641&amp;Col=1","No Title Assigned - #15278727877")</f>
        <v>No Title Assigned - #15278727877</v>
      </c>
      <c r="B649" t="s">
        <v>1007</v>
      </c>
      <c r="C649" t="s">
        <v>1008</v>
      </c>
      <c r="D649" t="s">
        <v>1008</v>
      </c>
      <c r="E649" t="s">
        <v>15</v>
      </c>
      <c r="F649" t="s">
        <v>20</v>
      </c>
      <c r="G649" t="s">
        <v>31</v>
      </c>
      <c r="H649" s="1">
        <v>1257.6537000000001</v>
      </c>
    </row>
    <row r="650" spans="1:8" hidden="1" x14ac:dyDescent="0.25">
      <c r="A650" s="5" t="str">
        <f>HYPERLINK("https://app.vivvix.com/360/KMI/IntelliDrive/ApplUI/Pages/CreativePages/CustomReportCreativeDetail.aspx?App=23&amp;ReportView=4&amp;Qid=1711242&amp;Row=642&amp;Col=1","No Title Assigned - #15278727898")</f>
        <v>No Title Assigned - #15278727898</v>
      </c>
      <c r="B650" t="s">
        <v>1009</v>
      </c>
      <c r="C650" t="s">
        <v>1010</v>
      </c>
      <c r="D650" t="s">
        <v>1010</v>
      </c>
      <c r="E650" t="s">
        <v>15</v>
      </c>
      <c r="F650" t="s">
        <v>20</v>
      </c>
      <c r="G650" t="s">
        <v>31</v>
      </c>
      <c r="H650" s="1">
        <v>18259.911700000001</v>
      </c>
    </row>
    <row r="651" spans="1:8" hidden="1" x14ac:dyDescent="0.25">
      <c r="A651" s="5" t="str">
        <f>HYPERLINK("https://app.vivvix.com/360/KMI/IntelliDrive/ApplUI/Pages/CreativePages/CustomReportCreativeDetail.aspx?App=23&amp;ReportView=4&amp;Qid=1711242&amp;Row=643&amp;Col=1","No Title Assigned - #15278763429")</f>
        <v>No Title Assigned - #15278763429</v>
      </c>
      <c r="B651" t="s">
        <v>1011</v>
      </c>
      <c r="E651" t="s">
        <v>15</v>
      </c>
      <c r="F651" t="s">
        <v>15</v>
      </c>
      <c r="G651" t="s">
        <v>137</v>
      </c>
      <c r="H651" s="1">
        <v>60.023600000000002</v>
      </c>
    </row>
    <row r="652" spans="1:8" hidden="1" x14ac:dyDescent="0.25">
      <c r="A652" s="5" t="str">
        <f>HYPERLINK("https://app.vivvix.com/360/KMI/IntelliDrive/ApplUI/Pages/CreativePages/CustomReportCreativeDetail.aspx?App=23&amp;ReportView=4&amp;Qid=1711242&amp;Row=644&amp;Col=1","No Title Assigned - #15278770347")</f>
        <v>No Title Assigned - #15278770347</v>
      </c>
      <c r="B652" t="s">
        <v>1012</v>
      </c>
      <c r="E652" t="s">
        <v>15</v>
      </c>
      <c r="F652" t="s">
        <v>15</v>
      </c>
      <c r="G652" t="s">
        <v>137</v>
      </c>
      <c r="H652" s="1">
        <v>213.88339999999999</v>
      </c>
    </row>
    <row r="653" spans="1:8" hidden="1" x14ac:dyDescent="0.25">
      <c r="A653" s="5" t="str">
        <f>HYPERLINK("https://app.vivvix.com/360/KMI/IntelliDrive/ApplUI/Pages/CreativePages/CustomReportCreativeDetail.aspx?App=23&amp;ReportView=4&amp;Qid=1711242&amp;Row=645&amp;Col=1","No Title Assigned - #15278805329")</f>
        <v>No Title Assigned - #15278805329</v>
      </c>
      <c r="B653" t="s">
        <v>1013</v>
      </c>
      <c r="C653" t="s">
        <v>1014</v>
      </c>
      <c r="D653" t="s">
        <v>1014</v>
      </c>
      <c r="E653" t="s">
        <v>15</v>
      </c>
      <c r="F653" t="s">
        <v>20</v>
      </c>
      <c r="G653" t="s">
        <v>31</v>
      </c>
      <c r="H653" s="1">
        <v>26.510300000000001</v>
      </c>
    </row>
    <row r="654" spans="1:8" hidden="1" x14ac:dyDescent="0.25">
      <c r="A654" s="5" t="str">
        <f>HYPERLINK("https://app.vivvix.com/360/KMI/IntelliDrive/ApplUI/Pages/CreativePages/CustomReportCreativeDetail.aspx?App=23&amp;ReportView=4&amp;Qid=1711242&amp;Row=646&amp;Col=1","No Title Assigned - #15278833403")</f>
        <v>No Title Assigned - #15278833403</v>
      </c>
      <c r="B654" t="s">
        <v>1015</v>
      </c>
      <c r="E654" t="s">
        <v>15</v>
      </c>
      <c r="F654" t="s">
        <v>15</v>
      </c>
      <c r="G654" t="s">
        <v>137</v>
      </c>
      <c r="H654" s="1">
        <v>2233.4387999999999</v>
      </c>
    </row>
    <row r="655" spans="1:8" hidden="1" x14ac:dyDescent="0.25">
      <c r="A655" s="5" t="str">
        <f>HYPERLINK("https://app.vivvix.com/360/KMI/IntelliDrive/ApplUI/Pages/CreativePages/CustomReportCreativeDetail.aspx?App=23&amp;ReportView=4&amp;Qid=1711242&amp;Row=647&amp;Col=1","No Title Assigned - #15278943818")</f>
        <v>No Title Assigned - #15278943818</v>
      </c>
      <c r="B655" t="s">
        <v>1016</v>
      </c>
      <c r="C655" t="s">
        <v>1017</v>
      </c>
      <c r="D655" t="s">
        <v>982</v>
      </c>
      <c r="E655" t="s">
        <v>15</v>
      </c>
      <c r="F655" t="s">
        <v>20</v>
      </c>
      <c r="G655" t="s">
        <v>31</v>
      </c>
      <c r="H655" s="1">
        <v>43270.125599999999</v>
      </c>
    </row>
    <row r="656" spans="1:8" hidden="1" x14ac:dyDescent="0.25">
      <c r="A656" s="5" t="str">
        <f>HYPERLINK("https://app.vivvix.com/360/KMI/IntelliDrive/ApplUI/Pages/CreativePages/CustomReportCreativeDetail.aspx?App=23&amp;ReportView=4&amp;Qid=1711242&amp;Row=648&amp;Col=1","No Title Assigned - #15279027720")</f>
        <v>No Title Assigned - #15279027720</v>
      </c>
      <c r="B656" t="s">
        <v>1018</v>
      </c>
      <c r="E656" t="s">
        <v>15</v>
      </c>
      <c r="F656" t="s">
        <v>15</v>
      </c>
      <c r="G656" t="s">
        <v>137</v>
      </c>
      <c r="H656" s="1">
        <v>42007.993600000002</v>
      </c>
    </row>
    <row r="657" spans="1:8" hidden="1" x14ac:dyDescent="0.25">
      <c r="A657" s="5" t="str">
        <f>HYPERLINK("https://app.vivvix.com/360/KMI/IntelliDrive/ApplUI/Pages/CreativePages/CustomReportCreativeDetail.aspx?App=23&amp;ReportView=4&amp;Qid=1711242&amp;Row=649&amp;Col=1","No Title Assigned - #15279037480")</f>
        <v>No Title Assigned - #15279037480</v>
      </c>
      <c r="B657" t="s">
        <v>1019</v>
      </c>
      <c r="E657" t="s">
        <v>15</v>
      </c>
      <c r="F657" t="s">
        <v>15</v>
      </c>
      <c r="G657" t="s">
        <v>137</v>
      </c>
      <c r="H657" s="1">
        <v>4039.3915000000002</v>
      </c>
    </row>
    <row r="658" spans="1:8" hidden="1" x14ac:dyDescent="0.25">
      <c r="A658" s="5" t="str">
        <f>HYPERLINK("https://app.vivvix.com/360/KMI/IntelliDrive/ApplUI/Pages/CreativePages/CustomReportCreativeDetail.aspx?App=23&amp;ReportView=4&amp;Qid=1711242&amp;Row=650&amp;Col=1","No Title Assigned - #15279113896")</f>
        <v>No Title Assigned - #15279113896</v>
      </c>
      <c r="B658" t="s">
        <v>1020</v>
      </c>
      <c r="C658" t="s">
        <v>1021</v>
      </c>
      <c r="D658" t="s">
        <v>1021</v>
      </c>
      <c r="E658" t="s">
        <v>15</v>
      </c>
      <c r="F658" t="s">
        <v>20</v>
      </c>
      <c r="G658" t="s">
        <v>31</v>
      </c>
      <c r="H658" s="1">
        <v>13.263500000000001</v>
      </c>
    </row>
    <row r="659" spans="1:8" hidden="1" x14ac:dyDescent="0.25">
      <c r="A659" s="5" t="str">
        <f>HYPERLINK("https://app.vivvix.com/360/KMI/IntelliDrive/ApplUI/Pages/CreativePages/CustomReportCreativeDetail.aspx?App=23&amp;ReportView=4&amp;Qid=1711242&amp;Row=651&amp;Col=1","No Title Assigned - #15279192334")</f>
        <v>No Title Assigned - #15279192334</v>
      </c>
      <c r="B659" t="s">
        <v>1022</v>
      </c>
      <c r="E659" t="s">
        <v>15</v>
      </c>
      <c r="F659" t="s">
        <v>15</v>
      </c>
      <c r="G659" t="s">
        <v>137</v>
      </c>
      <c r="H659" s="1">
        <v>546.40470000000005</v>
      </c>
    </row>
    <row r="660" spans="1:8" hidden="1" x14ac:dyDescent="0.25">
      <c r="A660" s="5" t="str">
        <f>HYPERLINK("https://app.vivvix.com/360/KMI/IntelliDrive/ApplUI/Pages/CreativePages/CustomReportCreativeDetail.aspx?App=23&amp;ReportView=4&amp;Qid=1711242&amp;Row=652&amp;Col=1","No Title Assigned - #15279216536")</f>
        <v>No Title Assigned - #15279216536</v>
      </c>
      <c r="B660" t="s">
        <v>1023</v>
      </c>
      <c r="E660" t="s">
        <v>15</v>
      </c>
      <c r="F660" t="s">
        <v>15</v>
      </c>
      <c r="G660" t="s">
        <v>137</v>
      </c>
      <c r="H660" s="1">
        <v>446.48579999999998</v>
      </c>
    </row>
    <row r="661" spans="1:8" hidden="1" x14ac:dyDescent="0.25">
      <c r="A661" s="5" t="str">
        <f>HYPERLINK("https://app.vivvix.com/360/KMI/IntelliDrive/ApplUI/Pages/CreativePages/CustomReportCreativeDetail.aspx?App=23&amp;ReportView=4&amp;Qid=1711242&amp;Row=653&amp;Col=1","No Title Assigned - #15279225751")</f>
        <v>No Title Assigned - #15279225751</v>
      </c>
      <c r="B661" t="s">
        <v>1024</v>
      </c>
      <c r="C661" t="s">
        <v>1025</v>
      </c>
      <c r="D661" t="s">
        <v>1025</v>
      </c>
      <c r="E661" t="s">
        <v>15</v>
      </c>
      <c r="F661" t="s">
        <v>181</v>
      </c>
      <c r="G661" t="s">
        <v>182</v>
      </c>
      <c r="H661" s="1">
        <v>851.14819999999997</v>
      </c>
    </row>
    <row r="662" spans="1:8" hidden="1" x14ac:dyDescent="0.25">
      <c r="A662" s="5" t="str">
        <f>HYPERLINK("https://app.vivvix.com/360/KMI/IntelliDrive/ApplUI/Pages/CreativePages/CustomReportCreativeDetail.aspx?App=23&amp;ReportView=4&amp;Qid=1711242&amp;Row=654&amp;Col=1","No Title Assigned - #15279229960")</f>
        <v>No Title Assigned - #15279229960</v>
      </c>
      <c r="B662" t="s">
        <v>1026</v>
      </c>
      <c r="E662" t="s">
        <v>15</v>
      </c>
      <c r="F662" t="s">
        <v>15</v>
      </c>
      <c r="G662" t="s">
        <v>137</v>
      </c>
      <c r="H662" s="1">
        <v>14327.5867</v>
      </c>
    </row>
    <row r="663" spans="1:8" hidden="1" x14ac:dyDescent="0.25">
      <c r="A663" s="5" t="str">
        <f>HYPERLINK("https://app.vivvix.com/360/KMI/IntelliDrive/ApplUI/Pages/CreativePages/CustomReportCreativeDetail.aspx?App=23&amp;ReportView=4&amp;Qid=1711242&amp;Row=655&amp;Col=1","No Title Assigned - #15279246637")</f>
        <v>No Title Assigned - #15279246637</v>
      </c>
      <c r="B663" t="s">
        <v>1027</v>
      </c>
      <c r="E663" t="s">
        <v>15</v>
      </c>
      <c r="F663" t="s">
        <v>15</v>
      </c>
      <c r="G663" t="s">
        <v>137</v>
      </c>
      <c r="H663" s="1">
        <v>14621.492200000001</v>
      </c>
    </row>
    <row r="664" spans="1:8" hidden="1" x14ac:dyDescent="0.25">
      <c r="A664" s="5" t="str">
        <f>HYPERLINK("https://app.vivvix.com/360/KMI/IntelliDrive/ApplUI/Pages/CreativePages/CustomReportCreativeDetail.aspx?App=23&amp;ReportView=4&amp;Qid=1711242&amp;Row=656&amp;Col=1","No Title Assigned - #15279246669")</f>
        <v>No Title Assigned - #15279246669</v>
      </c>
      <c r="B664" t="s">
        <v>1028</v>
      </c>
      <c r="E664" t="s">
        <v>15</v>
      </c>
      <c r="F664" t="s">
        <v>15</v>
      </c>
      <c r="G664" t="s">
        <v>137</v>
      </c>
      <c r="H664" s="1">
        <v>865.4325</v>
      </c>
    </row>
    <row r="665" spans="1:8" hidden="1" x14ac:dyDescent="0.25">
      <c r="A665" s="5" t="str">
        <f>HYPERLINK("https://app.vivvix.com/360/KMI/IntelliDrive/ApplUI/Pages/CreativePages/CustomReportCreativeDetail.aspx?App=23&amp;ReportView=4&amp;Qid=1711242&amp;Row=657&amp;Col=1","No Title Assigned - #15279317250")</f>
        <v>No Title Assigned - #15279317250</v>
      </c>
      <c r="B665" t="s">
        <v>1029</v>
      </c>
      <c r="E665" t="s">
        <v>15</v>
      </c>
      <c r="F665" t="s">
        <v>15</v>
      </c>
      <c r="G665" t="s">
        <v>137</v>
      </c>
      <c r="H665" s="1">
        <v>5928.4283999999998</v>
      </c>
    </row>
    <row r="666" spans="1:8" hidden="1" x14ac:dyDescent="0.25">
      <c r="A666" s="5" t="str">
        <f>HYPERLINK("https://app.vivvix.com/360/KMI/IntelliDrive/ApplUI/Pages/CreativePages/CustomReportCreativeDetail.aspx?App=23&amp;ReportView=4&amp;Qid=1711242&amp;Row=658&amp;Col=1","No Title Assigned - #15279346594")</f>
        <v>No Title Assigned - #15279346594</v>
      </c>
      <c r="B666" t="s">
        <v>1030</v>
      </c>
      <c r="E666" t="s">
        <v>15</v>
      </c>
      <c r="F666" t="s">
        <v>15</v>
      </c>
      <c r="G666" t="s">
        <v>137</v>
      </c>
      <c r="H666" s="1">
        <v>4038.06</v>
      </c>
    </row>
    <row r="667" spans="1:8" hidden="1" x14ac:dyDescent="0.25">
      <c r="A667" s="5" t="str">
        <f>HYPERLINK("https://app.vivvix.com/360/KMI/IntelliDrive/ApplUI/Pages/CreativePages/CustomReportCreativeDetail.aspx?App=23&amp;ReportView=4&amp;Qid=1711242&amp;Row=659&amp;Col=1","No Title Assigned - #15279346595")</f>
        <v>No Title Assigned - #15279346595</v>
      </c>
      <c r="B667" t="s">
        <v>1031</v>
      </c>
      <c r="C667" t="s">
        <v>1032</v>
      </c>
      <c r="D667" t="s">
        <v>1032</v>
      </c>
      <c r="E667" t="s">
        <v>15</v>
      </c>
      <c r="F667" t="s">
        <v>15</v>
      </c>
      <c r="G667" t="s">
        <v>137</v>
      </c>
      <c r="H667" s="1">
        <v>5280.54</v>
      </c>
    </row>
    <row r="668" spans="1:8" hidden="1" x14ac:dyDescent="0.25">
      <c r="A668" s="5" t="str">
        <f>HYPERLINK("https://app.vivvix.com/360/KMI/IntelliDrive/ApplUI/Pages/CreativePages/CustomReportCreativeDetail.aspx?App=23&amp;ReportView=4&amp;Qid=1711242&amp;Row=660&amp;Col=1","No Title Assigned - #15279346633")</f>
        <v>No Title Assigned - #15279346633</v>
      </c>
      <c r="B668" t="s">
        <v>1033</v>
      </c>
      <c r="E668" t="s">
        <v>15</v>
      </c>
      <c r="F668" t="s">
        <v>15</v>
      </c>
      <c r="G668" t="s">
        <v>137</v>
      </c>
      <c r="H668" s="1">
        <v>621.24</v>
      </c>
    </row>
    <row r="669" spans="1:8" hidden="1" x14ac:dyDescent="0.25">
      <c r="A669" s="5" t="str">
        <f>HYPERLINK("https://app.vivvix.com/360/KMI/IntelliDrive/ApplUI/Pages/CreativePages/CustomReportCreativeDetail.aspx?App=23&amp;ReportView=4&amp;Qid=1711242&amp;Row=661&amp;Col=1","No Title Assigned - #15279351093")</f>
        <v>No Title Assigned - #15279351093</v>
      </c>
      <c r="B669" t="s">
        <v>1034</v>
      </c>
      <c r="C669" t="s">
        <v>1035</v>
      </c>
      <c r="D669" t="s">
        <v>1035</v>
      </c>
      <c r="E669" t="s">
        <v>15</v>
      </c>
      <c r="F669" t="s">
        <v>15</v>
      </c>
      <c r="G669" t="s">
        <v>137</v>
      </c>
      <c r="H669" s="1">
        <v>213.88339999999999</v>
      </c>
    </row>
    <row r="670" spans="1:8" hidden="1" x14ac:dyDescent="0.25">
      <c r="A670" s="5" t="str">
        <f>HYPERLINK("https://app.vivvix.com/360/KMI/IntelliDrive/ApplUI/Pages/CreativePages/CustomReportCreativeDetail.aspx?App=23&amp;ReportView=4&amp;Qid=1711242&amp;Row=662&amp;Col=1","No Title Assigned - #15279369659")</f>
        <v>No Title Assigned - #15279369659</v>
      </c>
      <c r="B670" t="s">
        <v>1036</v>
      </c>
      <c r="C670" t="s">
        <v>1037</v>
      </c>
      <c r="D670" t="s">
        <v>1037</v>
      </c>
      <c r="E670" t="s">
        <v>15</v>
      </c>
      <c r="F670" t="s">
        <v>15</v>
      </c>
      <c r="G670" t="s">
        <v>137</v>
      </c>
      <c r="H670" s="1">
        <v>313.77820000000003</v>
      </c>
    </row>
    <row r="671" spans="1:8" hidden="1" x14ac:dyDescent="0.25">
      <c r="A671" s="5" t="str">
        <f>HYPERLINK("https://app.vivvix.com/360/KMI/IntelliDrive/ApplUI/Pages/CreativePages/CustomReportCreativeDetail.aspx?App=23&amp;ReportView=4&amp;Qid=1711242&amp;Row=663&amp;Col=1","No Title Assigned - #15279423369")</f>
        <v>No Title Assigned - #15279423369</v>
      </c>
      <c r="B671" t="s">
        <v>1038</v>
      </c>
      <c r="C671" t="s">
        <v>1039</v>
      </c>
      <c r="D671" t="s">
        <v>1039</v>
      </c>
      <c r="E671" t="s">
        <v>15</v>
      </c>
      <c r="F671" t="s">
        <v>20</v>
      </c>
      <c r="G671" t="s">
        <v>31</v>
      </c>
      <c r="H671" s="1">
        <v>4562.5919000000004</v>
      </c>
    </row>
    <row r="672" spans="1:8" hidden="1" x14ac:dyDescent="0.25">
      <c r="A672" s="5" t="str">
        <f>HYPERLINK("https://app.vivvix.com/360/KMI/IntelliDrive/ApplUI/Pages/CreativePages/CustomReportCreativeDetail.aspx?App=23&amp;ReportView=4&amp;Qid=1711242&amp;Row=664&amp;Col=1","No Title Assigned - #15279464082")</f>
        <v>No Title Assigned - #15279464082</v>
      </c>
      <c r="B672" t="s">
        <v>1040</v>
      </c>
      <c r="C672" t="s">
        <v>1041</v>
      </c>
      <c r="D672" t="s">
        <v>1041</v>
      </c>
      <c r="E672" t="s">
        <v>15</v>
      </c>
      <c r="F672" t="s">
        <v>181</v>
      </c>
      <c r="G672" t="s">
        <v>182</v>
      </c>
      <c r="H672" s="1">
        <v>1454.3735999999999</v>
      </c>
    </row>
    <row r="673" spans="1:8" hidden="1" x14ac:dyDescent="0.25">
      <c r="A673" s="5" t="str">
        <f>HYPERLINK("https://app.vivvix.com/360/KMI/IntelliDrive/ApplUI/Pages/CreativePages/CustomReportCreativeDetail.aspx?App=23&amp;ReportView=4&amp;Qid=1711242&amp;Row=665&amp;Col=1","No Title Assigned - #15279464116")</f>
        <v>No Title Assigned - #15279464116</v>
      </c>
      <c r="B673" t="s">
        <v>1042</v>
      </c>
      <c r="C673" t="s">
        <v>1043</v>
      </c>
      <c r="D673" t="s">
        <v>1043</v>
      </c>
      <c r="E673" t="s">
        <v>15</v>
      </c>
      <c r="F673" t="s">
        <v>181</v>
      </c>
      <c r="G673" t="s">
        <v>182</v>
      </c>
      <c r="H673" s="1">
        <v>969.58240000000001</v>
      </c>
    </row>
    <row r="674" spans="1:8" hidden="1" x14ac:dyDescent="0.25">
      <c r="A674" s="5" t="str">
        <f>HYPERLINK("https://app.vivvix.com/360/KMI/IntelliDrive/ApplUI/Pages/CreativePages/CustomReportCreativeDetail.aspx?App=23&amp;ReportView=4&amp;Qid=1711242&amp;Row=666&amp;Col=1","No Title Assigned - #15279464143")</f>
        <v>No Title Assigned - #15279464143</v>
      </c>
      <c r="B674" t="s">
        <v>1044</v>
      </c>
      <c r="E674" t="s">
        <v>15</v>
      </c>
      <c r="F674" t="s">
        <v>15</v>
      </c>
      <c r="G674" t="s">
        <v>119</v>
      </c>
      <c r="H674" s="1">
        <v>240.75640000000001</v>
      </c>
    </row>
    <row r="675" spans="1:8" hidden="1" x14ac:dyDescent="0.25">
      <c r="A675" s="5" t="str">
        <f>HYPERLINK("https://app.vivvix.com/360/KMI/IntelliDrive/ApplUI/Pages/CreativePages/CustomReportCreativeDetail.aspx?App=23&amp;ReportView=4&amp;Qid=1711242&amp;Row=667&amp;Col=1","No Title Assigned - #15279464163")</f>
        <v>No Title Assigned - #15279464163</v>
      </c>
      <c r="B675" t="s">
        <v>1045</v>
      </c>
      <c r="E675" t="s">
        <v>15</v>
      </c>
      <c r="F675" t="s">
        <v>15</v>
      </c>
      <c r="G675" t="s">
        <v>119</v>
      </c>
      <c r="H675" s="1">
        <v>1203.7819999999999</v>
      </c>
    </row>
    <row r="676" spans="1:8" hidden="1" x14ac:dyDescent="0.25">
      <c r="A676" s="5" t="str">
        <f>HYPERLINK("https://app.vivvix.com/360/KMI/IntelliDrive/ApplUI/Pages/CreativePages/CustomReportCreativeDetail.aspx?App=23&amp;ReportView=4&amp;Qid=1711242&amp;Row=668&amp;Col=1","No Title Assigned - #15279464173")</f>
        <v>No Title Assigned - #15279464173</v>
      </c>
      <c r="B676" t="s">
        <v>1046</v>
      </c>
      <c r="E676" t="s">
        <v>15</v>
      </c>
      <c r="F676" t="s">
        <v>15</v>
      </c>
      <c r="G676" t="s">
        <v>119</v>
      </c>
      <c r="H676" s="1">
        <v>1847.1328000000001</v>
      </c>
    </row>
    <row r="677" spans="1:8" hidden="1" x14ac:dyDescent="0.25">
      <c r="A677" s="5" t="str">
        <f>HYPERLINK("https://app.vivvix.com/360/KMI/IntelliDrive/ApplUI/Pages/CreativePages/CustomReportCreativeDetail.aspx?App=23&amp;ReportView=4&amp;Qid=1711242&amp;Row=669&amp;Col=1","No Title Assigned - #15279464191")</f>
        <v>No Title Assigned - #15279464191</v>
      </c>
      <c r="B677" t="s">
        <v>1047</v>
      </c>
      <c r="E677" t="s">
        <v>15</v>
      </c>
      <c r="F677" t="s">
        <v>15</v>
      </c>
      <c r="G677" t="s">
        <v>119</v>
      </c>
      <c r="H677" s="1">
        <v>240.75640000000001</v>
      </c>
    </row>
    <row r="678" spans="1:8" hidden="1" x14ac:dyDescent="0.25">
      <c r="A678" s="5" t="str">
        <f>HYPERLINK("https://app.vivvix.com/360/KMI/IntelliDrive/ApplUI/Pages/CreativePages/CustomReportCreativeDetail.aspx?App=23&amp;ReportView=4&amp;Qid=1711242&amp;Row=670&amp;Col=1","No Title Assigned - #15279465799")</f>
        <v>No Title Assigned - #15279465799</v>
      </c>
      <c r="B678" t="s">
        <v>1048</v>
      </c>
      <c r="E678" t="s">
        <v>15</v>
      </c>
      <c r="F678" t="s">
        <v>20</v>
      </c>
      <c r="G678" t="s">
        <v>31</v>
      </c>
      <c r="H678" s="1">
        <v>2164.2777999999998</v>
      </c>
    </row>
    <row r="679" spans="1:8" hidden="1" x14ac:dyDescent="0.25">
      <c r="A679" s="5" t="str">
        <f>HYPERLINK("https://app.vivvix.com/360/KMI/IntelliDrive/ApplUI/Pages/CreativePages/CustomReportCreativeDetail.aspx?App=23&amp;ReportView=4&amp;Qid=1711242&amp;Row=671&amp;Col=1","No Title Assigned - #15279525643")</f>
        <v>No Title Assigned - #15279525643</v>
      </c>
      <c r="B679" t="s">
        <v>1049</v>
      </c>
      <c r="C679" t="s">
        <v>1050</v>
      </c>
      <c r="D679" t="s">
        <v>1050</v>
      </c>
      <c r="E679" t="s">
        <v>15</v>
      </c>
      <c r="F679" t="s">
        <v>20</v>
      </c>
      <c r="G679" t="s">
        <v>31</v>
      </c>
      <c r="H679" s="1">
        <v>75.108000000000004</v>
      </c>
    </row>
    <row r="680" spans="1:8" hidden="1" x14ac:dyDescent="0.25">
      <c r="A680" s="5" t="str">
        <f>HYPERLINK("https://app.vivvix.com/360/KMI/IntelliDrive/ApplUI/Pages/CreativePages/CustomReportCreativeDetail.aspx?App=23&amp;ReportView=4&amp;Qid=1711242&amp;Row=672&amp;Col=1","No Title Assigned - #15279538718")</f>
        <v>No Title Assigned - #15279538718</v>
      </c>
      <c r="B680" t="s">
        <v>1051</v>
      </c>
      <c r="E680" t="s">
        <v>15</v>
      </c>
      <c r="F680" t="s">
        <v>15</v>
      </c>
      <c r="G680" t="s">
        <v>137</v>
      </c>
      <c r="H680" s="1">
        <v>36.139000000000003</v>
      </c>
    </row>
    <row r="681" spans="1:8" hidden="1" x14ac:dyDescent="0.25">
      <c r="A681" s="5" t="str">
        <f>HYPERLINK("https://app.vivvix.com/360/KMI/IntelliDrive/ApplUI/Pages/CreativePages/CustomReportCreativeDetail.aspx?App=23&amp;ReportView=4&amp;Qid=1711242&amp;Row=673&amp;Col=1","No Title Assigned - #15279540976")</f>
        <v>No Title Assigned - #15279540976</v>
      </c>
      <c r="B681" t="s">
        <v>1052</v>
      </c>
      <c r="E681" t="s">
        <v>15</v>
      </c>
      <c r="F681" t="s">
        <v>15</v>
      </c>
      <c r="G681" t="s">
        <v>137</v>
      </c>
      <c r="H681" s="1">
        <v>313.77820000000003</v>
      </c>
    </row>
    <row r="682" spans="1:8" hidden="1" x14ac:dyDescent="0.25">
      <c r="A682" s="5" t="str">
        <f>HYPERLINK("https://app.vivvix.com/360/KMI/IntelliDrive/ApplUI/Pages/CreativePages/CustomReportCreativeDetail.aspx?App=23&amp;ReportView=4&amp;Qid=1711242&amp;Row=674&amp;Col=1","No Title Assigned - #15279642502")</f>
        <v>No Title Assigned - #15279642502</v>
      </c>
      <c r="B682" t="s">
        <v>1053</v>
      </c>
      <c r="C682" t="s">
        <v>1054</v>
      </c>
      <c r="D682" t="s">
        <v>1054</v>
      </c>
      <c r="E682" t="s">
        <v>15</v>
      </c>
      <c r="F682" t="s">
        <v>20</v>
      </c>
      <c r="G682" t="s">
        <v>31</v>
      </c>
      <c r="H682" s="1">
        <v>4097.6786000000002</v>
      </c>
    </row>
    <row r="683" spans="1:8" hidden="1" x14ac:dyDescent="0.25">
      <c r="A683" s="5" t="str">
        <f>HYPERLINK("https://app.vivvix.com/360/KMI/IntelliDrive/ApplUI/Pages/CreativePages/CustomReportCreativeDetail.aspx?App=23&amp;ReportView=4&amp;Qid=1711242&amp;Row=675&amp;Col=1","No Title Assigned - #15279650954")</f>
        <v>No Title Assigned - #15279650954</v>
      </c>
      <c r="B683" t="s">
        <v>1055</v>
      </c>
      <c r="E683" t="s">
        <v>15</v>
      </c>
      <c r="F683" t="s">
        <v>15</v>
      </c>
      <c r="G683" t="s">
        <v>137</v>
      </c>
      <c r="H683" s="1">
        <v>34717.915099999998</v>
      </c>
    </row>
    <row r="684" spans="1:8" hidden="1" x14ac:dyDescent="0.25">
      <c r="A684" s="5" t="str">
        <f>HYPERLINK("https://app.vivvix.com/360/KMI/IntelliDrive/ApplUI/Pages/CreativePages/CustomReportCreativeDetail.aspx?App=23&amp;ReportView=4&amp;Qid=1711242&amp;Row=676&amp;Col=1","No Title Assigned - #15279683432")</f>
        <v>No Title Assigned - #15279683432</v>
      </c>
      <c r="B684" t="s">
        <v>1056</v>
      </c>
      <c r="C684" t="s">
        <v>1057</v>
      </c>
      <c r="D684" t="s">
        <v>1057</v>
      </c>
      <c r="E684" t="s">
        <v>15</v>
      </c>
      <c r="F684" t="s">
        <v>50</v>
      </c>
      <c r="G684" t="s">
        <v>51</v>
      </c>
      <c r="H684" s="1">
        <v>323.43759999999997</v>
      </c>
    </row>
    <row r="685" spans="1:8" hidden="1" x14ac:dyDescent="0.25">
      <c r="A685" s="5" t="str">
        <f>HYPERLINK("https://app.vivvix.com/360/KMI/IntelliDrive/ApplUI/Pages/CreativePages/CustomReportCreativeDetail.aspx?App=23&amp;ReportView=4&amp;Qid=1711242&amp;Row=677&amp;Col=1","No Title Assigned - #15279811994")</f>
        <v>No Title Assigned - #15279811994</v>
      </c>
      <c r="B685" t="s">
        <v>1058</v>
      </c>
      <c r="C685" t="s">
        <v>1059</v>
      </c>
      <c r="D685" t="s">
        <v>1059</v>
      </c>
      <c r="E685" t="s">
        <v>15</v>
      </c>
      <c r="F685" t="s">
        <v>15</v>
      </c>
      <c r="G685" t="s">
        <v>137</v>
      </c>
      <c r="H685" s="1">
        <v>806.26099999999997</v>
      </c>
    </row>
    <row r="686" spans="1:8" hidden="1" x14ac:dyDescent="0.25">
      <c r="A686" s="5" t="str">
        <f>HYPERLINK("https://app.vivvix.com/360/KMI/IntelliDrive/ApplUI/Pages/CreativePages/CustomReportCreativeDetail.aspx?App=23&amp;ReportView=4&amp;Qid=1711242&amp;Row=678&amp;Col=1","No Title Assigned - #15279903550")</f>
        <v>No Title Assigned - #15279903550</v>
      </c>
      <c r="B686" t="s">
        <v>1060</v>
      </c>
      <c r="C686" t="s">
        <v>1061</v>
      </c>
      <c r="D686" t="s">
        <v>1062</v>
      </c>
      <c r="E686" t="s">
        <v>15</v>
      </c>
      <c r="F686" t="s">
        <v>20</v>
      </c>
      <c r="G686" t="s">
        <v>31</v>
      </c>
      <c r="H686" s="1">
        <v>482.55900000000003</v>
      </c>
    </row>
    <row r="687" spans="1:8" hidden="1" x14ac:dyDescent="0.25">
      <c r="A687" s="5" t="str">
        <f>HYPERLINK("https://app.vivvix.com/360/KMI/IntelliDrive/ApplUI/Pages/CreativePages/CustomReportCreativeDetail.aspx?App=23&amp;ReportView=4&amp;Qid=1711242&amp;Row=679&amp;Col=1","No Title Assigned - #15279915619")</f>
        <v>No Title Assigned - #15279915619</v>
      </c>
      <c r="B687" t="s">
        <v>1063</v>
      </c>
      <c r="E687" t="s">
        <v>15</v>
      </c>
      <c r="F687" t="s">
        <v>15</v>
      </c>
      <c r="G687" t="s">
        <v>137</v>
      </c>
      <c r="H687" s="1">
        <v>21143.1764</v>
      </c>
    </row>
    <row r="688" spans="1:8" hidden="1" x14ac:dyDescent="0.25">
      <c r="A688" s="5" t="str">
        <f>HYPERLINK("https://app.vivvix.com/360/KMI/IntelliDrive/ApplUI/Pages/CreativePages/CustomReportCreativeDetail.aspx?App=23&amp;ReportView=4&amp;Qid=1711242&amp;Row=680&amp;Col=1","No Title Assigned - #15279916633")</f>
        <v>No Title Assigned - #15279916633</v>
      </c>
      <c r="B688" t="s">
        <v>1064</v>
      </c>
      <c r="E688" t="s">
        <v>15</v>
      </c>
      <c r="F688" t="s">
        <v>15</v>
      </c>
      <c r="G688" t="s">
        <v>137</v>
      </c>
      <c r="H688" s="1">
        <v>782.62789999999995</v>
      </c>
    </row>
    <row r="689" spans="1:8" hidden="1" x14ac:dyDescent="0.25">
      <c r="A689" s="5" t="str">
        <f>HYPERLINK("https://app.vivvix.com/360/KMI/IntelliDrive/ApplUI/Pages/CreativePages/CustomReportCreativeDetail.aspx?App=23&amp;ReportView=4&amp;Qid=1711242&amp;Row=681&amp;Col=1","No Title Assigned - #15279942145")</f>
        <v>No Title Assigned - #15279942145</v>
      </c>
      <c r="B689" t="s">
        <v>1065</v>
      </c>
      <c r="C689" t="s">
        <v>1066</v>
      </c>
      <c r="D689" t="s">
        <v>1066</v>
      </c>
      <c r="E689" t="s">
        <v>15</v>
      </c>
      <c r="F689" t="s">
        <v>20</v>
      </c>
      <c r="G689" t="s">
        <v>31</v>
      </c>
      <c r="H689" s="1">
        <v>522.76480000000004</v>
      </c>
    </row>
    <row r="690" spans="1:8" hidden="1" x14ac:dyDescent="0.25">
      <c r="A690" s="5" t="str">
        <f>HYPERLINK("https://app.vivvix.com/360/KMI/IntelliDrive/ApplUI/Pages/CreativePages/CustomReportCreativeDetail.aspx?App=23&amp;ReportView=4&amp;Qid=1711242&amp;Row=682&amp;Col=1","No Title Assigned - #15279966861")</f>
        <v>No Title Assigned - #15279966861</v>
      </c>
      <c r="B690" t="s">
        <v>1067</v>
      </c>
      <c r="E690" t="s">
        <v>15</v>
      </c>
      <c r="F690" t="s">
        <v>15</v>
      </c>
      <c r="G690" t="s">
        <v>137</v>
      </c>
      <c r="H690" s="1">
        <v>184.77629999999999</v>
      </c>
    </row>
    <row r="691" spans="1:8" hidden="1" x14ac:dyDescent="0.25">
      <c r="A691" s="5" t="str">
        <f>HYPERLINK("https://app.vivvix.com/360/KMI/IntelliDrive/ApplUI/Pages/CreativePages/CustomReportCreativeDetail.aspx?App=23&amp;ReportView=4&amp;Qid=1711242&amp;Row=683&amp;Col=1","No Title Assigned - #15279998960")</f>
        <v>No Title Assigned - #15279998960</v>
      </c>
      <c r="B691" t="s">
        <v>1068</v>
      </c>
      <c r="C691" t="s">
        <v>1069</v>
      </c>
      <c r="D691" t="s">
        <v>1069</v>
      </c>
      <c r="E691" t="s">
        <v>15</v>
      </c>
      <c r="F691" t="s">
        <v>20</v>
      </c>
      <c r="G691" t="s">
        <v>31</v>
      </c>
      <c r="H691" s="1">
        <v>2782.2719000000002</v>
      </c>
    </row>
    <row r="692" spans="1:8" hidden="1" x14ac:dyDescent="0.25">
      <c r="A692" s="5" t="str">
        <f>HYPERLINK("https://app.vivvix.com/360/KMI/IntelliDrive/ApplUI/Pages/CreativePages/CustomReportCreativeDetail.aspx?App=23&amp;ReportView=4&amp;Qid=1711242&amp;Row=684&amp;Col=1","No Title Assigned - #15279998960")</f>
        <v>No Title Assigned - #15279998960</v>
      </c>
      <c r="B692" t="s">
        <v>1068</v>
      </c>
      <c r="C692" t="s">
        <v>1070</v>
      </c>
      <c r="D692" t="s">
        <v>1070</v>
      </c>
      <c r="E692" t="s">
        <v>15</v>
      </c>
      <c r="F692" t="s">
        <v>20</v>
      </c>
      <c r="G692" t="s">
        <v>31</v>
      </c>
      <c r="H692" s="1">
        <v>920.92280000000005</v>
      </c>
    </row>
    <row r="693" spans="1:8" hidden="1" x14ac:dyDescent="0.25">
      <c r="A693" s="5" t="str">
        <f>HYPERLINK("https://app.vivvix.com/360/KMI/IntelliDrive/ApplUI/Pages/CreativePages/CustomReportCreativeDetail.aspx?App=23&amp;ReportView=4&amp;Qid=1711242&amp;Row=685&amp;Col=1","No Title Assigned - #15280006475")</f>
        <v>No Title Assigned - #15280006475</v>
      </c>
      <c r="B693" t="s">
        <v>1071</v>
      </c>
      <c r="C693" t="s">
        <v>1062</v>
      </c>
      <c r="D693" t="s">
        <v>1062</v>
      </c>
      <c r="E693" t="s">
        <v>15</v>
      </c>
      <c r="F693" t="s">
        <v>20</v>
      </c>
      <c r="G693" t="s">
        <v>31</v>
      </c>
      <c r="H693" s="1">
        <v>496.87360000000001</v>
      </c>
    </row>
    <row r="694" spans="1:8" hidden="1" x14ac:dyDescent="0.25">
      <c r="A694" s="5" t="str">
        <f>HYPERLINK("https://app.vivvix.com/360/KMI/IntelliDrive/ApplUI/Pages/CreativePages/CustomReportCreativeDetail.aspx?App=23&amp;ReportView=4&amp;Qid=1711242&amp;Row=686&amp;Col=1","No Title Assigned - #15280130830")</f>
        <v>No Title Assigned - #15280130830</v>
      </c>
      <c r="B694" t="s">
        <v>1072</v>
      </c>
      <c r="E694" t="s">
        <v>15</v>
      </c>
      <c r="F694" t="s">
        <v>15</v>
      </c>
      <c r="G694" t="s">
        <v>137</v>
      </c>
      <c r="H694" s="1">
        <v>6898.4422000000004</v>
      </c>
    </row>
    <row r="695" spans="1:8" hidden="1" x14ac:dyDescent="0.25">
      <c r="A695" s="5" t="str">
        <f>HYPERLINK("https://app.vivvix.com/360/KMI/IntelliDrive/ApplUI/Pages/CreativePages/CustomReportCreativeDetail.aspx?App=23&amp;ReportView=4&amp;Qid=1711242&amp;Row=687&amp;Col=1","No Title Assigned - #15280161507")</f>
        <v>No Title Assigned - #15280161507</v>
      </c>
      <c r="B695" t="s">
        <v>1073</v>
      </c>
      <c r="E695" t="s">
        <v>15</v>
      </c>
      <c r="F695" t="s">
        <v>15</v>
      </c>
      <c r="G695" t="s">
        <v>137</v>
      </c>
      <c r="H695" s="1">
        <v>71.583500000000001</v>
      </c>
    </row>
    <row r="696" spans="1:8" hidden="1" x14ac:dyDescent="0.25">
      <c r="A696" s="5" t="str">
        <f>HYPERLINK("https://app.vivvix.com/360/KMI/IntelliDrive/ApplUI/Pages/CreativePages/CustomReportCreativeDetail.aspx?App=23&amp;ReportView=4&amp;Qid=1711242&amp;Row=688&amp;Col=1","No Title Assigned - #15280211232")</f>
        <v>No Title Assigned - #15280211232</v>
      </c>
      <c r="B696" t="s">
        <v>1074</v>
      </c>
      <c r="E696" t="s">
        <v>15</v>
      </c>
      <c r="F696" t="s">
        <v>15</v>
      </c>
      <c r="G696" t="s">
        <v>137</v>
      </c>
      <c r="H696" s="1">
        <v>24567.497200000002</v>
      </c>
    </row>
    <row r="697" spans="1:8" hidden="1" x14ac:dyDescent="0.25">
      <c r="A697" s="5" t="str">
        <f>HYPERLINK("https://app.vivvix.com/360/KMI/IntelliDrive/ApplUI/Pages/CreativePages/CustomReportCreativeDetail.aspx?App=23&amp;ReportView=4&amp;Qid=1711242&amp;Row=689&amp;Col=1","No Title Assigned - #15280240276")</f>
        <v>No Title Assigned - #15280240276</v>
      </c>
      <c r="B697" t="s">
        <v>1075</v>
      </c>
      <c r="C697" t="s">
        <v>1076</v>
      </c>
      <c r="D697" t="s">
        <v>1076</v>
      </c>
      <c r="E697" t="s">
        <v>15</v>
      </c>
      <c r="F697" t="s">
        <v>15</v>
      </c>
      <c r="G697" t="s">
        <v>137</v>
      </c>
      <c r="H697" s="1">
        <v>366.77179999999998</v>
      </c>
    </row>
    <row r="698" spans="1:8" hidden="1" x14ac:dyDescent="0.25">
      <c r="A698" s="5" t="str">
        <f>HYPERLINK("https://app.vivvix.com/360/KMI/IntelliDrive/ApplUI/Pages/CreativePages/CustomReportCreativeDetail.aspx?App=23&amp;ReportView=4&amp;Qid=1711242&amp;Row=690&amp;Col=1","No Title Assigned - #15280273142")</f>
        <v>No Title Assigned - #15280273142</v>
      </c>
      <c r="B698" t="s">
        <v>1077</v>
      </c>
      <c r="C698" t="s">
        <v>1078</v>
      </c>
      <c r="D698" t="s">
        <v>918</v>
      </c>
      <c r="E698" t="s">
        <v>15</v>
      </c>
      <c r="F698" t="s">
        <v>16</v>
      </c>
      <c r="G698" t="s">
        <v>54</v>
      </c>
      <c r="H698" s="1">
        <v>7082.8706000000002</v>
      </c>
    </row>
    <row r="699" spans="1:8" hidden="1" x14ac:dyDescent="0.25">
      <c r="A699" s="5" t="str">
        <f>HYPERLINK("https://app.vivvix.com/360/KMI/IntelliDrive/ApplUI/Pages/CreativePages/CustomReportCreativeDetail.aspx?App=23&amp;ReportView=4&amp;Qid=1711242&amp;Row=691&amp;Col=1","No Title Assigned - #15280395807")</f>
        <v>No Title Assigned - #15280395807</v>
      </c>
      <c r="B699" t="s">
        <v>1079</v>
      </c>
      <c r="E699" t="s">
        <v>15</v>
      </c>
      <c r="F699" t="s">
        <v>15</v>
      </c>
      <c r="G699" t="s">
        <v>137</v>
      </c>
      <c r="H699" s="1">
        <v>5024.4567999999999</v>
      </c>
    </row>
    <row r="700" spans="1:8" hidden="1" x14ac:dyDescent="0.25">
      <c r="A700" s="5" t="str">
        <f>HYPERLINK("https://app.vivvix.com/360/KMI/IntelliDrive/ApplUI/Pages/CreativePages/CustomReportCreativeDetail.aspx?App=23&amp;ReportView=4&amp;Qid=1711242&amp;Row=692&amp;Col=1","No Title Assigned - #15280442867")</f>
        <v>No Title Assigned - #15280442867</v>
      </c>
      <c r="B700" t="s">
        <v>1080</v>
      </c>
      <c r="C700" t="s">
        <v>1081</v>
      </c>
      <c r="D700" t="s">
        <v>1081</v>
      </c>
      <c r="E700" t="s">
        <v>15</v>
      </c>
      <c r="F700" t="s">
        <v>20</v>
      </c>
      <c r="G700" t="s">
        <v>31</v>
      </c>
      <c r="H700" s="1">
        <v>373.77460000000002</v>
      </c>
    </row>
    <row r="701" spans="1:8" hidden="1" x14ac:dyDescent="0.25">
      <c r="A701" s="5" t="str">
        <f>HYPERLINK("https://app.vivvix.com/360/KMI/IntelliDrive/ApplUI/Pages/CreativePages/CustomReportCreativeDetail.aspx?App=23&amp;ReportView=4&amp;Qid=1711242&amp;Row=693&amp;Col=1","No Title Assigned - #15280504642")</f>
        <v>No Title Assigned - #15280504642</v>
      </c>
      <c r="B701" t="s">
        <v>1082</v>
      </c>
      <c r="E701" t="s">
        <v>15</v>
      </c>
      <c r="F701" t="s">
        <v>15</v>
      </c>
      <c r="G701" t="s">
        <v>137</v>
      </c>
      <c r="H701" s="1">
        <v>9948.1746000000003</v>
      </c>
    </row>
    <row r="702" spans="1:8" hidden="1" x14ac:dyDescent="0.25">
      <c r="A702" s="5" t="str">
        <f>HYPERLINK("https://app.vivvix.com/360/KMI/IntelliDrive/ApplUI/Pages/CreativePages/CustomReportCreativeDetail.aspx?App=23&amp;ReportView=4&amp;Qid=1711242&amp;Row=694&amp;Col=1","No Title Assigned - #15280508710")</f>
        <v>No Title Assigned - #15280508710</v>
      </c>
      <c r="B702" t="s">
        <v>1083</v>
      </c>
      <c r="E702" t="s">
        <v>15</v>
      </c>
      <c r="F702" t="s">
        <v>15</v>
      </c>
      <c r="G702" t="s">
        <v>137</v>
      </c>
      <c r="H702" s="1">
        <v>11606.813700000001</v>
      </c>
    </row>
    <row r="703" spans="1:8" hidden="1" x14ac:dyDescent="0.25">
      <c r="A703" s="5" t="str">
        <f>HYPERLINK("https://app.vivvix.com/360/KMI/IntelliDrive/ApplUI/Pages/CreativePages/CustomReportCreativeDetail.aspx?App=23&amp;ReportView=4&amp;Qid=1711242&amp;Row=695&amp;Col=1","No Title Assigned - #15280508952")</f>
        <v>No Title Assigned - #15280508952</v>
      </c>
      <c r="B703" t="s">
        <v>1084</v>
      </c>
      <c r="E703" t="s">
        <v>15</v>
      </c>
      <c r="F703" t="s">
        <v>15</v>
      </c>
      <c r="G703" t="s">
        <v>137</v>
      </c>
      <c r="H703" s="1">
        <v>19652.3145</v>
      </c>
    </row>
    <row r="704" spans="1:8" hidden="1" x14ac:dyDescent="0.25">
      <c r="A704" s="5" t="str">
        <f>HYPERLINK("https://app.vivvix.com/360/KMI/IntelliDrive/ApplUI/Pages/CreativePages/CustomReportCreativeDetail.aspx?App=23&amp;ReportView=4&amp;Qid=1711242&amp;Row=696&amp;Col=1","No Title Assigned - #15280508953")</f>
        <v>No Title Assigned - #15280508953</v>
      </c>
      <c r="B704" t="s">
        <v>1085</v>
      </c>
      <c r="C704" t="s">
        <v>1086</v>
      </c>
      <c r="D704" t="s">
        <v>1086</v>
      </c>
      <c r="E704" t="s">
        <v>15</v>
      </c>
      <c r="F704" t="s">
        <v>15</v>
      </c>
      <c r="G704" t="s">
        <v>137</v>
      </c>
      <c r="H704" s="1">
        <v>10453.5111</v>
      </c>
    </row>
    <row r="705" spans="1:8" hidden="1" x14ac:dyDescent="0.25">
      <c r="A705" s="5" t="str">
        <f>HYPERLINK("https://app.vivvix.com/360/KMI/IntelliDrive/ApplUI/Pages/CreativePages/CustomReportCreativeDetail.aspx?App=23&amp;ReportView=4&amp;Qid=1711242&amp;Row=697&amp;Col=1","No Title Assigned - #15280525161")</f>
        <v>No Title Assigned - #15280525161</v>
      </c>
      <c r="B705" t="s">
        <v>1087</v>
      </c>
      <c r="E705" t="s">
        <v>15</v>
      </c>
      <c r="F705" t="s">
        <v>15</v>
      </c>
      <c r="G705" t="s">
        <v>137</v>
      </c>
      <c r="H705" s="1">
        <v>59006.341800000002</v>
      </c>
    </row>
    <row r="706" spans="1:8" hidden="1" x14ac:dyDescent="0.25">
      <c r="A706" s="5" t="str">
        <f>HYPERLINK("https://app.vivvix.com/360/KMI/IntelliDrive/ApplUI/Pages/CreativePages/CustomReportCreativeDetail.aspx?App=23&amp;ReportView=4&amp;Qid=1711242&amp;Row=698&amp;Col=1","No Title Assigned - #15280531497")</f>
        <v>No Title Assigned - #15280531497</v>
      </c>
      <c r="B706" t="s">
        <v>1088</v>
      </c>
      <c r="E706" t="s">
        <v>15</v>
      </c>
      <c r="F706" t="s">
        <v>15</v>
      </c>
      <c r="G706" t="s">
        <v>137</v>
      </c>
      <c r="H706" s="1">
        <v>5070.6062000000002</v>
      </c>
    </row>
    <row r="707" spans="1:8" hidden="1" x14ac:dyDescent="0.25">
      <c r="A707" s="5" t="str">
        <f>HYPERLINK("https://app.vivvix.com/360/KMI/IntelliDrive/ApplUI/Pages/CreativePages/CustomReportCreativeDetail.aspx?App=23&amp;ReportView=4&amp;Qid=1711242&amp;Row=699&amp;Col=1","No Title Assigned - #15280586924")</f>
        <v>No Title Assigned - #15280586924</v>
      </c>
      <c r="B707" t="s">
        <v>1089</v>
      </c>
      <c r="C707" t="s">
        <v>1090</v>
      </c>
      <c r="D707" t="s">
        <v>1090</v>
      </c>
      <c r="E707" t="s">
        <v>15</v>
      </c>
      <c r="F707" t="s">
        <v>20</v>
      </c>
      <c r="G707" t="s">
        <v>31</v>
      </c>
      <c r="H707" s="1">
        <v>1243.1175000000001</v>
      </c>
    </row>
    <row r="708" spans="1:8" hidden="1" x14ac:dyDescent="0.25">
      <c r="A708" s="5" t="str">
        <f>HYPERLINK("https://app.vivvix.com/360/KMI/IntelliDrive/ApplUI/Pages/CreativePages/CustomReportCreativeDetail.aspx?App=23&amp;ReportView=4&amp;Qid=1711242&amp;Row=700&amp;Col=1","No Title Assigned - #15280587032")</f>
        <v>No Title Assigned - #15280587032</v>
      </c>
      <c r="B708" t="s">
        <v>1091</v>
      </c>
      <c r="C708" t="s">
        <v>1092</v>
      </c>
      <c r="D708" t="s">
        <v>1092</v>
      </c>
      <c r="E708" t="s">
        <v>15</v>
      </c>
      <c r="F708" t="s">
        <v>20</v>
      </c>
      <c r="G708" t="s">
        <v>31</v>
      </c>
      <c r="H708" s="1">
        <v>1197.2684999999999</v>
      </c>
    </row>
    <row r="709" spans="1:8" hidden="1" x14ac:dyDescent="0.25">
      <c r="A709" s="5" t="str">
        <f>HYPERLINK("https://app.vivvix.com/360/KMI/IntelliDrive/ApplUI/Pages/CreativePages/CustomReportCreativeDetail.aspx?App=23&amp;ReportView=4&amp;Qid=1711242&amp;Row=701&amp;Col=1","No Title Assigned - #15280617154")</f>
        <v>No Title Assigned - #15280617154</v>
      </c>
      <c r="B709" t="s">
        <v>1093</v>
      </c>
      <c r="E709" t="s">
        <v>15</v>
      </c>
      <c r="F709" t="s">
        <v>15</v>
      </c>
      <c r="G709" t="s">
        <v>137</v>
      </c>
      <c r="H709" s="1">
        <v>81.168599999999998</v>
      </c>
    </row>
    <row r="710" spans="1:8" hidden="1" x14ac:dyDescent="0.25">
      <c r="A710" s="5" t="str">
        <f>HYPERLINK("https://app.vivvix.com/360/KMI/IntelliDrive/ApplUI/Pages/CreativePages/CustomReportCreativeDetail.aspx?App=23&amp;ReportView=4&amp;Qid=1711242&amp;Row=702&amp;Col=1","No Title Assigned - #15280629463")</f>
        <v>No Title Assigned - #15280629463</v>
      </c>
      <c r="B710" t="s">
        <v>1094</v>
      </c>
      <c r="C710" t="s">
        <v>1095</v>
      </c>
      <c r="D710" t="s">
        <v>1095</v>
      </c>
      <c r="E710" t="s">
        <v>15</v>
      </c>
      <c r="F710" t="s">
        <v>20</v>
      </c>
      <c r="G710" t="s">
        <v>31</v>
      </c>
      <c r="H710" s="1">
        <v>139.6052</v>
      </c>
    </row>
    <row r="711" spans="1:8" hidden="1" x14ac:dyDescent="0.25">
      <c r="A711" s="5" t="str">
        <f>HYPERLINK("https://app.vivvix.com/360/KMI/IntelliDrive/ApplUI/Pages/CreativePages/CustomReportCreativeDetail.aspx?App=23&amp;ReportView=4&amp;Qid=1711242&amp;Row=703&amp;Col=1","No Title Assigned - #15280638364")</f>
        <v>No Title Assigned - #15280638364</v>
      </c>
      <c r="B711" t="s">
        <v>1096</v>
      </c>
      <c r="C711" t="s">
        <v>1097</v>
      </c>
      <c r="D711" t="s">
        <v>1039</v>
      </c>
      <c r="E711" t="s">
        <v>15</v>
      </c>
      <c r="F711" t="s">
        <v>20</v>
      </c>
      <c r="G711" t="s">
        <v>31</v>
      </c>
      <c r="H711" s="1">
        <v>351.51940000000002</v>
      </c>
    </row>
    <row r="712" spans="1:8" hidden="1" x14ac:dyDescent="0.25">
      <c r="A712" s="5" t="str">
        <f>HYPERLINK("https://app.vivvix.com/360/KMI/IntelliDrive/ApplUI/Pages/CreativePages/CustomReportCreativeDetail.aspx?App=23&amp;ReportView=4&amp;Qid=1711242&amp;Row=704&amp;Col=1","No Title Assigned - #15280638365")</f>
        <v>No Title Assigned - #15280638365</v>
      </c>
      <c r="B712" t="s">
        <v>1098</v>
      </c>
      <c r="C712" t="s">
        <v>1099</v>
      </c>
      <c r="D712" t="s">
        <v>1039</v>
      </c>
      <c r="E712" t="s">
        <v>15</v>
      </c>
      <c r="F712" t="s">
        <v>20</v>
      </c>
      <c r="G712" t="s">
        <v>31</v>
      </c>
      <c r="H712" s="1">
        <v>12206.251899999999</v>
      </c>
    </row>
    <row r="713" spans="1:8" hidden="1" x14ac:dyDescent="0.25">
      <c r="A713" s="5" t="str">
        <f>HYPERLINK("https://app.vivvix.com/360/KMI/IntelliDrive/ApplUI/Pages/CreativePages/CustomReportCreativeDetail.aspx?App=23&amp;ReportView=4&amp;Qid=1711242&amp;Row=705&amp;Col=1","No Title Assigned - #15280638593")</f>
        <v>No Title Assigned - #15280638593</v>
      </c>
      <c r="B713" t="s">
        <v>1100</v>
      </c>
      <c r="C713" t="s">
        <v>1101</v>
      </c>
      <c r="D713" t="s">
        <v>1101</v>
      </c>
      <c r="E713" t="s">
        <v>15</v>
      </c>
      <c r="F713" t="s">
        <v>20</v>
      </c>
      <c r="G713" t="s">
        <v>31</v>
      </c>
      <c r="H713" s="1">
        <v>1576.2994000000001</v>
      </c>
    </row>
    <row r="714" spans="1:8" hidden="1" x14ac:dyDescent="0.25">
      <c r="A714" s="5" t="str">
        <f>HYPERLINK("https://app.vivvix.com/360/KMI/IntelliDrive/ApplUI/Pages/CreativePages/CustomReportCreativeDetail.aspx?App=23&amp;ReportView=4&amp;Qid=1711242&amp;Row=706&amp;Col=1","No Title Assigned - #15280676080")</f>
        <v>No Title Assigned - #15280676080</v>
      </c>
      <c r="B714" t="s">
        <v>1102</v>
      </c>
      <c r="C714" t="s">
        <v>1103</v>
      </c>
      <c r="D714" t="s">
        <v>1103</v>
      </c>
      <c r="E714" t="s">
        <v>15</v>
      </c>
      <c r="F714" t="s">
        <v>133</v>
      </c>
      <c r="G714" t="s">
        <v>187</v>
      </c>
      <c r="H714" s="1">
        <v>851.46540000000005</v>
      </c>
    </row>
    <row r="715" spans="1:8" hidden="1" x14ac:dyDescent="0.25">
      <c r="A715" s="5" t="str">
        <f>HYPERLINK("https://app.vivvix.com/360/KMI/IntelliDrive/ApplUI/Pages/CreativePages/CustomReportCreativeDetail.aspx?App=23&amp;ReportView=4&amp;Qid=1711242&amp;Row=707&amp;Col=1","No Title Assigned - #15280696364")</f>
        <v>No Title Assigned - #15280696364</v>
      </c>
      <c r="B715" t="s">
        <v>1104</v>
      </c>
      <c r="E715" t="s">
        <v>15</v>
      </c>
      <c r="F715" t="s">
        <v>15</v>
      </c>
      <c r="G715" t="s">
        <v>137</v>
      </c>
      <c r="H715" s="1">
        <v>9289.8402000000006</v>
      </c>
    </row>
    <row r="716" spans="1:8" hidden="1" x14ac:dyDescent="0.25">
      <c r="A716" s="5" t="str">
        <f>HYPERLINK("https://app.vivvix.com/360/KMI/IntelliDrive/ApplUI/Pages/CreativePages/CustomReportCreativeDetail.aspx?App=23&amp;ReportView=4&amp;Qid=1711242&amp;Row=708&amp;Col=1","No Title Assigned - #15280701497")</f>
        <v>No Title Assigned - #15280701497</v>
      </c>
      <c r="B716" t="s">
        <v>1105</v>
      </c>
      <c r="E716" t="s">
        <v>15</v>
      </c>
      <c r="F716" t="s">
        <v>15</v>
      </c>
      <c r="G716" t="s">
        <v>137</v>
      </c>
      <c r="H716" s="1">
        <v>306.33010000000002</v>
      </c>
    </row>
    <row r="717" spans="1:8" hidden="1" x14ac:dyDescent="0.25">
      <c r="A717" s="5" t="str">
        <f>HYPERLINK("https://app.vivvix.com/360/KMI/IntelliDrive/ApplUI/Pages/CreativePages/CustomReportCreativeDetail.aspx?App=23&amp;ReportView=4&amp;Qid=1711242&amp;Row=709&amp;Col=1","No Title Assigned - #15280730976")</f>
        <v>No Title Assigned - #15280730976</v>
      </c>
      <c r="B717" t="s">
        <v>1106</v>
      </c>
      <c r="C717" t="s">
        <v>1107</v>
      </c>
      <c r="D717" t="s">
        <v>1107</v>
      </c>
      <c r="E717" t="s">
        <v>15</v>
      </c>
      <c r="F717" t="s">
        <v>20</v>
      </c>
      <c r="G717" t="s">
        <v>31</v>
      </c>
      <c r="H717" s="1">
        <v>2.1162999999999998</v>
      </c>
    </row>
    <row r="718" spans="1:8" hidden="1" x14ac:dyDescent="0.25">
      <c r="A718" s="5" t="str">
        <f>HYPERLINK("https://app.vivvix.com/360/KMI/IntelliDrive/ApplUI/Pages/CreativePages/CustomReportCreativeDetail.aspx?App=23&amp;ReportView=4&amp;Qid=1711242&amp;Row=710&amp;Col=1","No Title Assigned - #15280733138")</f>
        <v>No Title Assigned - #15280733138</v>
      </c>
      <c r="B718" t="s">
        <v>1108</v>
      </c>
      <c r="C718" t="s">
        <v>1109</v>
      </c>
      <c r="D718" t="s">
        <v>1109</v>
      </c>
      <c r="E718" t="s">
        <v>15</v>
      </c>
      <c r="F718" t="s">
        <v>133</v>
      </c>
      <c r="G718" t="s">
        <v>187</v>
      </c>
      <c r="H718" s="1">
        <v>23203.4928</v>
      </c>
    </row>
    <row r="719" spans="1:8" hidden="1" x14ac:dyDescent="0.25">
      <c r="A719" s="5" t="str">
        <f>HYPERLINK("https://app.vivvix.com/360/KMI/IntelliDrive/ApplUI/Pages/CreativePages/CustomReportCreativeDetail.aspx?App=23&amp;ReportView=4&amp;Qid=1711242&amp;Row=711&amp;Col=1","No Title Assigned - #15280754840")</f>
        <v>No Title Assigned - #15280754840</v>
      </c>
      <c r="B719" t="s">
        <v>1110</v>
      </c>
      <c r="C719" t="s">
        <v>1111</v>
      </c>
      <c r="D719" t="s">
        <v>1111</v>
      </c>
      <c r="E719" t="s">
        <v>15</v>
      </c>
      <c r="F719" t="s">
        <v>50</v>
      </c>
      <c r="G719" t="s">
        <v>51</v>
      </c>
      <c r="H719" s="1">
        <v>163.05359999999999</v>
      </c>
    </row>
    <row r="720" spans="1:8" hidden="1" x14ac:dyDescent="0.25">
      <c r="A720" s="5" t="str">
        <f>HYPERLINK("https://app.vivvix.com/360/KMI/IntelliDrive/ApplUI/Pages/CreativePages/CustomReportCreativeDetail.aspx?App=23&amp;ReportView=4&amp;Qid=1711242&amp;Row=712&amp;Col=1","No Title Assigned - #15280759525")</f>
        <v>No Title Assigned - #15280759525</v>
      </c>
      <c r="B720" t="s">
        <v>1112</v>
      </c>
      <c r="E720" t="s">
        <v>15</v>
      </c>
      <c r="F720" t="s">
        <v>15</v>
      </c>
      <c r="G720" t="s">
        <v>137</v>
      </c>
      <c r="H720" s="1">
        <v>6553.4142000000002</v>
      </c>
    </row>
    <row r="721" spans="1:8" hidden="1" x14ac:dyDescent="0.25">
      <c r="A721" s="5" t="str">
        <f>HYPERLINK("https://app.vivvix.com/360/KMI/IntelliDrive/ApplUI/Pages/CreativePages/CustomReportCreativeDetail.aspx?App=23&amp;ReportView=4&amp;Qid=1711242&amp;Row=713&amp;Col=1","No Title Assigned - #15280785491")</f>
        <v>No Title Assigned - #15280785491</v>
      </c>
      <c r="B721" t="s">
        <v>1113</v>
      </c>
      <c r="C721" t="s">
        <v>1114</v>
      </c>
      <c r="D721" t="s">
        <v>1114</v>
      </c>
      <c r="E721" t="s">
        <v>15</v>
      </c>
      <c r="F721" t="s">
        <v>50</v>
      </c>
      <c r="G721" t="s">
        <v>51</v>
      </c>
      <c r="H721" s="1">
        <v>163.05359999999999</v>
      </c>
    </row>
    <row r="722" spans="1:8" hidden="1" x14ac:dyDescent="0.25">
      <c r="A722" s="5" t="str">
        <f>HYPERLINK("https://app.vivvix.com/360/KMI/IntelliDrive/ApplUI/Pages/CreativePages/CustomReportCreativeDetail.aspx?App=23&amp;ReportView=4&amp;Qid=1711242&amp;Row=714&amp;Col=1","No Title Assigned - #15280785693")</f>
        <v>No Title Assigned - #15280785693</v>
      </c>
      <c r="B722" t="s">
        <v>1115</v>
      </c>
      <c r="C722" t="s">
        <v>1116</v>
      </c>
      <c r="D722" t="s">
        <v>1116</v>
      </c>
      <c r="E722" t="s">
        <v>15</v>
      </c>
      <c r="F722" t="s">
        <v>50</v>
      </c>
      <c r="G722" t="s">
        <v>51</v>
      </c>
      <c r="H722" s="1">
        <v>163.05359999999999</v>
      </c>
    </row>
    <row r="723" spans="1:8" hidden="1" x14ac:dyDescent="0.25">
      <c r="A723" s="5" t="str">
        <f>HYPERLINK("https://app.vivvix.com/360/KMI/IntelliDrive/ApplUI/Pages/CreativePages/CustomReportCreativeDetail.aspx?App=23&amp;ReportView=4&amp;Qid=1711242&amp;Row=715&amp;Col=1","No Title Assigned - #15280821683")</f>
        <v>No Title Assigned - #15280821683</v>
      </c>
      <c r="B723" t="s">
        <v>1117</v>
      </c>
      <c r="E723" t="s">
        <v>15</v>
      </c>
      <c r="F723" t="s">
        <v>15</v>
      </c>
      <c r="G723" t="s">
        <v>137</v>
      </c>
      <c r="H723" s="1">
        <v>6342.0627999999997</v>
      </c>
    </row>
    <row r="724" spans="1:8" hidden="1" x14ac:dyDescent="0.25">
      <c r="A724" s="5" t="str">
        <f>HYPERLINK("https://app.vivvix.com/360/KMI/IntelliDrive/ApplUI/Pages/CreativePages/CustomReportCreativeDetail.aspx?App=23&amp;ReportView=4&amp;Qid=1711242&amp;Row=716&amp;Col=1","No Title Assigned - #15280823427")</f>
        <v>No Title Assigned - #15280823427</v>
      </c>
      <c r="B724" t="s">
        <v>1118</v>
      </c>
      <c r="E724" t="s">
        <v>15</v>
      </c>
      <c r="F724" t="s">
        <v>15</v>
      </c>
      <c r="G724" t="s">
        <v>137</v>
      </c>
      <c r="H724" s="1">
        <v>47934.971599999997</v>
      </c>
    </row>
    <row r="725" spans="1:8" hidden="1" x14ac:dyDescent="0.25">
      <c r="A725" s="5" t="str">
        <f>HYPERLINK("https://app.vivvix.com/360/KMI/IntelliDrive/ApplUI/Pages/CreativePages/CustomReportCreativeDetail.aspx?App=23&amp;ReportView=4&amp;Qid=1711242&amp;Row=717&amp;Col=1","No Title Assigned - #15280823440")</f>
        <v>No Title Assigned - #15280823440</v>
      </c>
      <c r="B725" t="s">
        <v>1119</v>
      </c>
      <c r="E725" t="s">
        <v>15</v>
      </c>
      <c r="F725" t="s">
        <v>15</v>
      </c>
      <c r="G725" t="s">
        <v>137</v>
      </c>
      <c r="H725" s="1">
        <v>2289.0169000000001</v>
      </c>
    </row>
    <row r="726" spans="1:8" hidden="1" x14ac:dyDescent="0.25">
      <c r="A726" s="5" t="str">
        <f>HYPERLINK("https://app.vivvix.com/360/KMI/IntelliDrive/ApplUI/Pages/CreativePages/CustomReportCreativeDetail.aspx?App=23&amp;ReportView=4&amp;Qid=1711242&amp;Row=718&amp;Col=1","No Title Assigned - #15280824916")</f>
        <v>No Title Assigned - #15280824916</v>
      </c>
      <c r="B726" t="s">
        <v>1120</v>
      </c>
      <c r="E726" t="s">
        <v>15</v>
      </c>
      <c r="F726" t="s">
        <v>15</v>
      </c>
      <c r="G726" t="s">
        <v>137</v>
      </c>
      <c r="H726" s="1">
        <v>98997.338499999998</v>
      </c>
    </row>
    <row r="727" spans="1:8" hidden="1" x14ac:dyDescent="0.25">
      <c r="A727" s="5" t="str">
        <f>HYPERLINK("https://app.vivvix.com/360/KMI/IntelliDrive/ApplUI/Pages/CreativePages/CustomReportCreativeDetail.aspx?App=23&amp;ReportView=4&amp;Qid=1711242&amp;Row=719&amp;Col=1","No Title Assigned - #15280828138")</f>
        <v>No Title Assigned - #15280828138</v>
      </c>
      <c r="B727" t="s">
        <v>1121</v>
      </c>
      <c r="C727" t="s">
        <v>1122</v>
      </c>
      <c r="D727" t="s">
        <v>1122</v>
      </c>
      <c r="E727" t="s">
        <v>15</v>
      </c>
      <c r="F727" t="s">
        <v>15</v>
      </c>
      <c r="G727" t="s">
        <v>137</v>
      </c>
      <c r="H727" s="1">
        <v>352.50529999999998</v>
      </c>
    </row>
    <row r="728" spans="1:8" hidden="1" x14ac:dyDescent="0.25">
      <c r="A728" s="5" t="str">
        <f>HYPERLINK("https://app.vivvix.com/360/KMI/IntelliDrive/ApplUI/Pages/CreativePages/CustomReportCreativeDetail.aspx?App=23&amp;ReportView=4&amp;Qid=1711242&amp;Row=720&amp;Col=1","No Title Assigned - #15280828152")</f>
        <v>No Title Assigned - #15280828152</v>
      </c>
      <c r="B728" t="s">
        <v>1123</v>
      </c>
      <c r="E728" t="s">
        <v>15</v>
      </c>
      <c r="F728" t="s">
        <v>15</v>
      </c>
      <c r="G728" t="s">
        <v>137</v>
      </c>
      <c r="H728" s="1">
        <v>22787.063300000002</v>
      </c>
    </row>
    <row r="729" spans="1:8" hidden="1" x14ac:dyDescent="0.25">
      <c r="A729" s="5" t="str">
        <f>HYPERLINK("https://app.vivvix.com/360/KMI/IntelliDrive/ApplUI/Pages/CreativePages/CustomReportCreativeDetail.aspx?App=23&amp;ReportView=4&amp;Qid=1711242&amp;Row=721&amp;Col=1","No Title Assigned - #15280831882")</f>
        <v>No Title Assigned - #15280831882</v>
      </c>
      <c r="B729" t="s">
        <v>1124</v>
      </c>
      <c r="E729" t="s">
        <v>15</v>
      </c>
      <c r="F729" t="s">
        <v>15</v>
      </c>
      <c r="G729" t="s">
        <v>137</v>
      </c>
      <c r="H729" s="1">
        <v>554.32889999999998</v>
      </c>
    </row>
    <row r="730" spans="1:8" hidden="1" x14ac:dyDescent="0.25">
      <c r="A730" s="5" t="str">
        <f>HYPERLINK("https://app.vivvix.com/360/KMI/IntelliDrive/ApplUI/Pages/CreativePages/CustomReportCreativeDetail.aspx?App=23&amp;ReportView=4&amp;Qid=1711242&amp;Row=722&amp;Col=1","No Title Assigned - #15280832422")</f>
        <v>No Title Assigned - #15280832422</v>
      </c>
      <c r="B730" t="s">
        <v>1125</v>
      </c>
      <c r="E730" t="s">
        <v>15</v>
      </c>
      <c r="F730" t="s">
        <v>15</v>
      </c>
      <c r="G730" t="s">
        <v>137</v>
      </c>
      <c r="H730" s="1">
        <v>13180.7215</v>
      </c>
    </row>
    <row r="731" spans="1:8" hidden="1" x14ac:dyDescent="0.25">
      <c r="A731" s="5" t="str">
        <f>HYPERLINK("https://app.vivvix.com/360/KMI/IntelliDrive/ApplUI/Pages/CreativePages/CustomReportCreativeDetail.aspx?App=23&amp;ReportView=4&amp;Qid=1711242&amp;Row=723&amp;Col=1","No Title Assigned - #15280878345")</f>
        <v>No Title Assigned - #15280878345</v>
      </c>
      <c r="B731" t="s">
        <v>1126</v>
      </c>
      <c r="E731" t="s">
        <v>15</v>
      </c>
      <c r="F731" t="s">
        <v>15</v>
      </c>
      <c r="G731" t="s">
        <v>137</v>
      </c>
      <c r="H731" s="1">
        <v>106.19</v>
      </c>
    </row>
    <row r="732" spans="1:8" hidden="1" x14ac:dyDescent="0.25">
      <c r="A732" s="5" t="str">
        <f>HYPERLINK("https://app.vivvix.com/360/KMI/IntelliDrive/ApplUI/Pages/CreativePages/CustomReportCreativeDetail.aspx?App=23&amp;ReportView=4&amp;Qid=1711242&amp;Row=724&amp;Col=1","No Title Assigned - #15280902626")</f>
        <v>No Title Assigned - #15280902626</v>
      </c>
      <c r="B732" t="s">
        <v>1127</v>
      </c>
      <c r="E732" t="s">
        <v>15</v>
      </c>
      <c r="F732" t="s">
        <v>15</v>
      </c>
      <c r="G732" t="s">
        <v>137</v>
      </c>
      <c r="H732" s="1">
        <v>278.59469999999999</v>
      </c>
    </row>
    <row r="733" spans="1:8" hidden="1" x14ac:dyDescent="0.25">
      <c r="A733" s="5" t="str">
        <f>HYPERLINK("https://app.vivvix.com/360/KMI/IntelliDrive/ApplUI/Pages/CreativePages/CustomReportCreativeDetail.aspx?App=23&amp;ReportView=4&amp;Qid=1711242&amp;Row=725&amp;Col=1","No Title Assigned - #15280908900")</f>
        <v>No Title Assigned - #15280908900</v>
      </c>
      <c r="B733" t="s">
        <v>1128</v>
      </c>
      <c r="C733" t="s">
        <v>1129</v>
      </c>
      <c r="D733" t="s">
        <v>1090</v>
      </c>
      <c r="E733" t="s">
        <v>15</v>
      </c>
      <c r="F733" t="s">
        <v>20</v>
      </c>
      <c r="G733" t="s">
        <v>31</v>
      </c>
      <c r="H733" s="1">
        <v>23.853400000000001</v>
      </c>
    </row>
    <row r="734" spans="1:8" hidden="1" x14ac:dyDescent="0.25">
      <c r="A734" s="5" t="str">
        <f>HYPERLINK("https://app.vivvix.com/360/KMI/IntelliDrive/ApplUI/Pages/CreativePages/CustomReportCreativeDetail.aspx?App=23&amp;ReportView=4&amp;Qid=1711242&amp;Row=726&amp;Col=1","No Title Assigned - #15280961975")</f>
        <v>No Title Assigned - #15280961975</v>
      </c>
      <c r="B734" t="s">
        <v>1130</v>
      </c>
      <c r="C734" t="s">
        <v>1131</v>
      </c>
      <c r="D734" t="s">
        <v>1131</v>
      </c>
      <c r="E734" t="s">
        <v>15</v>
      </c>
      <c r="F734" t="s">
        <v>20</v>
      </c>
      <c r="G734" t="s">
        <v>31</v>
      </c>
      <c r="H734" s="1">
        <v>129133.35</v>
      </c>
    </row>
    <row r="735" spans="1:8" hidden="1" x14ac:dyDescent="0.25">
      <c r="A735" s="5" t="str">
        <f>HYPERLINK("https://app.vivvix.com/360/KMI/IntelliDrive/ApplUI/Pages/CreativePages/CustomReportCreativeDetail.aspx?App=23&amp;ReportView=4&amp;Qid=1711242&amp;Row=727&amp;Col=1","No Title Assigned - #15280961976")</f>
        <v>No Title Assigned - #15280961976</v>
      </c>
      <c r="B735" t="s">
        <v>1132</v>
      </c>
      <c r="C735" t="s">
        <v>1133</v>
      </c>
      <c r="D735" t="s">
        <v>1133</v>
      </c>
      <c r="E735" t="s">
        <v>15</v>
      </c>
      <c r="F735" t="s">
        <v>20</v>
      </c>
      <c r="G735" t="s">
        <v>31</v>
      </c>
      <c r="H735" s="1">
        <v>32283.337500000001</v>
      </c>
    </row>
    <row r="736" spans="1:8" hidden="1" x14ac:dyDescent="0.25">
      <c r="A736" s="5" t="str">
        <f>HYPERLINK("https://app.vivvix.com/360/KMI/IntelliDrive/ApplUI/Pages/CreativePages/CustomReportCreativeDetail.aspx?App=23&amp;ReportView=4&amp;Qid=1711242&amp;Row=728&amp;Col=1","No Title Assigned - #15280961978")</f>
        <v>No Title Assigned - #15280961978</v>
      </c>
      <c r="B736" t="s">
        <v>1134</v>
      </c>
      <c r="C736" t="s">
        <v>1135</v>
      </c>
      <c r="D736" t="s">
        <v>1135</v>
      </c>
      <c r="E736" t="s">
        <v>15</v>
      </c>
      <c r="F736" t="s">
        <v>20</v>
      </c>
      <c r="G736" t="s">
        <v>31</v>
      </c>
      <c r="H736" s="1">
        <v>32283.337500000001</v>
      </c>
    </row>
    <row r="737" spans="1:8" hidden="1" x14ac:dyDescent="0.25">
      <c r="A737" s="5" t="str">
        <f>HYPERLINK("https://app.vivvix.com/360/KMI/IntelliDrive/ApplUI/Pages/CreativePages/CustomReportCreativeDetail.aspx?App=23&amp;ReportView=4&amp;Qid=1711242&amp;Row=729&amp;Col=1","No Title Assigned - #15280976148")</f>
        <v>No Title Assigned - #15280976148</v>
      </c>
      <c r="B737" t="s">
        <v>1136</v>
      </c>
      <c r="E737" t="s">
        <v>15</v>
      </c>
      <c r="F737" t="s">
        <v>15</v>
      </c>
      <c r="G737" t="s">
        <v>137</v>
      </c>
      <c r="H737" s="1">
        <v>2222.3321999999998</v>
      </c>
    </row>
    <row r="738" spans="1:8" hidden="1" x14ac:dyDescent="0.25">
      <c r="A738" s="5" t="str">
        <f>HYPERLINK("https://app.vivvix.com/360/KMI/IntelliDrive/ApplUI/Pages/CreativePages/CustomReportCreativeDetail.aspx?App=23&amp;ReportView=4&amp;Qid=1711242&amp;Row=730&amp;Col=1","No Title Assigned - #15280985823")</f>
        <v>No Title Assigned - #15280985823</v>
      </c>
      <c r="B738" t="s">
        <v>1137</v>
      </c>
      <c r="E738" t="s">
        <v>15</v>
      </c>
      <c r="F738" t="s">
        <v>15</v>
      </c>
      <c r="G738" t="s">
        <v>137</v>
      </c>
      <c r="H738" s="1">
        <v>327.39249999999998</v>
      </c>
    </row>
    <row r="739" spans="1:8" hidden="1" x14ac:dyDescent="0.25">
      <c r="A739" s="5" t="str">
        <f>HYPERLINK("https://app.vivvix.com/360/KMI/IntelliDrive/ApplUI/Pages/CreativePages/CustomReportCreativeDetail.aspx?App=23&amp;ReportView=4&amp;Qid=1711242&amp;Row=731&amp;Col=1","No Title Assigned - #15281000620")</f>
        <v>No Title Assigned - #15281000620</v>
      </c>
      <c r="B739" t="s">
        <v>1138</v>
      </c>
      <c r="C739" t="s">
        <v>1139</v>
      </c>
      <c r="D739" t="s">
        <v>1139</v>
      </c>
      <c r="E739" t="s">
        <v>15</v>
      </c>
      <c r="F739" t="s">
        <v>181</v>
      </c>
      <c r="G739" t="s">
        <v>182</v>
      </c>
      <c r="H739" s="1">
        <v>7336.6527999999998</v>
      </c>
    </row>
    <row r="740" spans="1:8" hidden="1" x14ac:dyDescent="0.25">
      <c r="A740" s="5" t="str">
        <f>HYPERLINK("https://app.vivvix.com/360/KMI/IntelliDrive/ApplUI/Pages/CreativePages/CustomReportCreativeDetail.aspx?App=23&amp;ReportView=4&amp;Qid=1711242&amp;Row=732&amp;Col=1","No Title Assigned - #15281009974")</f>
        <v>No Title Assigned - #15281009974</v>
      </c>
      <c r="B740" t="s">
        <v>1140</v>
      </c>
      <c r="C740" t="s">
        <v>1141</v>
      </c>
      <c r="D740" t="s">
        <v>1141</v>
      </c>
      <c r="E740" t="s">
        <v>15</v>
      </c>
      <c r="F740" t="s">
        <v>50</v>
      </c>
      <c r="G740" t="s">
        <v>51</v>
      </c>
      <c r="H740" s="1">
        <v>423.06369999999998</v>
      </c>
    </row>
    <row r="741" spans="1:8" hidden="1" x14ac:dyDescent="0.25">
      <c r="A741" s="5" t="str">
        <f>HYPERLINK("https://app.vivvix.com/360/KMI/IntelliDrive/ApplUI/Pages/CreativePages/CustomReportCreativeDetail.aspx?App=23&amp;ReportView=4&amp;Qid=1711242&amp;Row=733&amp;Col=1","No Title Assigned - #15281014370")</f>
        <v>No Title Assigned - #15281014370</v>
      </c>
      <c r="B741" t="s">
        <v>1142</v>
      </c>
      <c r="C741" t="s">
        <v>1143</v>
      </c>
      <c r="D741" t="s">
        <v>1143</v>
      </c>
      <c r="E741" t="s">
        <v>15</v>
      </c>
      <c r="F741" t="s">
        <v>20</v>
      </c>
      <c r="G741" t="s">
        <v>31</v>
      </c>
      <c r="H741" s="1">
        <v>69.802599999999998</v>
      </c>
    </row>
    <row r="742" spans="1:8" hidden="1" x14ac:dyDescent="0.25">
      <c r="A742" s="5" t="str">
        <f>HYPERLINK("https://app.vivvix.com/360/KMI/IntelliDrive/ApplUI/Pages/CreativePages/CustomReportCreativeDetail.aspx?App=23&amp;ReportView=4&amp;Qid=1711242&amp;Row=734&amp;Col=1","No Title Assigned - #15281014371")</f>
        <v>No Title Assigned - #15281014371</v>
      </c>
      <c r="B742" t="s">
        <v>1144</v>
      </c>
      <c r="C742" t="s">
        <v>1145</v>
      </c>
      <c r="D742" t="s">
        <v>1145</v>
      </c>
      <c r="E742" t="s">
        <v>15</v>
      </c>
      <c r="F742" t="s">
        <v>20</v>
      </c>
      <c r="G742" t="s">
        <v>31</v>
      </c>
      <c r="H742" s="1">
        <v>1034.9384</v>
      </c>
    </row>
    <row r="743" spans="1:8" hidden="1" x14ac:dyDescent="0.25">
      <c r="A743" s="5" t="str">
        <f>HYPERLINK("https://app.vivvix.com/360/KMI/IntelliDrive/ApplUI/Pages/CreativePages/CustomReportCreativeDetail.aspx?App=23&amp;ReportView=4&amp;Qid=1711242&amp;Row=735&amp;Col=1","No Title Assigned - #15281021208")</f>
        <v>No Title Assigned - #15281021208</v>
      </c>
      <c r="B743" t="s">
        <v>1146</v>
      </c>
      <c r="C743" t="s">
        <v>1147</v>
      </c>
      <c r="D743" t="s">
        <v>1147</v>
      </c>
      <c r="E743" t="s">
        <v>15</v>
      </c>
      <c r="F743" t="s">
        <v>133</v>
      </c>
      <c r="G743" t="s">
        <v>187</v>
      </c>
      <c r="H743" s="1">
        <v>29305.613300000001</v>
      </c>
    </row>
    <row r="744" spans="1:8" hidden="1" x14ac:dyDescent="0.25">
      <c r="A744" s="5" t="str">
        <f>HYPERLINK("https://app.vivvix.com/360/KMI/IntelliDrive/ApplUI/Pages/CreativePages/CustomReportCreativeDetail.aspx?App=23&amp;ReportView=4&amp;Qid=1711242&amp;Row=736&amp;Col=1","No Title Assigned - #15281029449")</f>
        <v>No Title Assigned - #15281029449</v>
      </c>
      <c r="B744" t="s">
        <v>1148</v>
      </c>
      <c r="E744" t="s">
        <v>15</v>
      </c>
      <c r="F744" t="s">
        <v>15</v>
      </c>
      <c r="G744" t="s">
        <v>137</v>
      </c>
      <c r="H744" s="1">
        <v>1805.6224999999999</v>
      </c>
    </row>
    <row r="745" spans="1:8" hidden="1" x14ac:dyDescent="0.25">
      <c r="A745" s="5" t="str">
        <f>HYPERLINK("https://app.vivvix.com/360/KMI/IntelliDrive/ApplUI/Pages/CreativePages/CustomReportCreativeDetail.aspx?App=23&amp;ReportView=4&amp;Qid=1711242&amp;Row=737&amp;Col=1","No Title Assigned - #15281056318")</f>
        <v>No Title Assigned - #15281056318</v>
      </c>
      <c r="B745" t="s">
        <v>1149</v>
      </c>
      <c r="C745" t="s">
        <v>1150</v>
      </c>
      <c r="D745" t="s">
        <v>1150</v>
      </c>
      <c r="E745" t="s">
        <v>15</v>
      </c>
      <c r="F745" t="s">
        <v>181</v>
      </c>
      <c r="G745" t="s">
        <v>182</v>
      </c>
      <c r="H745" s="1">
        <v>546.22590000000002</v>
      </c>
    </row>
    <row r="746" spans="1:8" hidden="1" x14ac:dyDescent="0.25">
      <c r="A746" s="5" t="str">
        <f>HYPERLINK("https://app.vivvix.com/360/KMI/IntelliDrive/ApplUI/Pages/CreativePages/CustomReportCreativeDetail.aspx?App=23&amp;ReportView=4&amp;Qid=1711242&amp;Row=738&amp;Col=1","No Title Assigned - #15281068651")</f>
        <v>No Title Assigned - #15281068651</v>
      </c>
      <c r="B746" t="s">
        <v>1151</v>
      </c>
      <c r="C746" t="s">
        <v>1152</v>
      </c>
      <c r="D746" t="s">
        <v>1152</v>
      </c>
      <c r="E746" t="s">
        <v>15</v>
      </c>
      <c r="F746" t="s">
        <v>15</v>
      </c>
      <c r="G746" t="s">
        <v>137</v>
      </c>
      <c r="H746" s="1">
        <v>2877.4879000000001</v>
      </c>
    </row>
    <row r="747" spans="1:8" hidden="1" x14ac:dyDescent="0.25">
      <c r="A747" s="5" t="str">
        <f>HYPERLINK("https://app.vivvix.com/360/KMI/IntelliDrive/ApplUI/Pages/CreativePages/CustomReportCreativeDetail.aspx?App=23&amp;ReportView=4&amp;Qid=1711242&amp;Row=739&amp;Col=1","No Title Assigned - #15281072015")</f>
        <v>No Title Assigned - #15281072015</v>
      </c>
      <c r="B747" t="s">
        <v>1153</v>
      </c>
      <c r="C747" t="s">
        <v>1154</v>
      </c>
      <c r="D747" t="s">
        <v>1154</v>
      </c>
      <c r="E747" t="s">
        <v>15</v>
      </c>
      <c r="F747" t="s">
        <v>15</v>
      </c>
      <c r="G747" t="s">
        <v>137</v>
      </c>
      <c r="H747" s="1">
        <v>353.38690000000003</v>
      </c>
    </row>
    <row r="748" spans="1:8" hidden="1" x14ac:dyDescent="0.25">
      <c r="A748" s="5" t="str">
        <f>HYPERLINK("https://app.vivvix.com/360/KMI/IntelliDrive/ApplUI/Pages/CreativePages/CustomReportCreativeDetail.aspx?App=23&amp;ReportView=4&amp;Qid=1711242&amp;Row=740&amp;Col=1","No Title Assigned - #15281209552")</f>
        <v>No Title Assigned - #15281209552</v>
      </c>
      <c r="B748" t="s">
        <v>1155</v>
      </c>
      <c r="E748" t="s">
        <v>15</v>
      </c>
      <c r="F748" t="s">
        <v>15</v>
      </c>
      <c r="G748" t="s">
        <v>137</v>
      </c>
      <c r="H748" s="1">
        <v>150.71700000000001</v>
      </c>
    </row>
    <row r="749" spans="1:8" hidden="1" x14ac:dyDescent="0.25">
      <c r="A749" s="5" t="str">
        <f>HYPERLINK("https://app.vivvix.com/360/KMI/IntelliDrive/ApplUI/Pages/CreativePages/CustomReportCreativeDetail.aspx?App=23&amp;ReportView=4&amp;Qid=1711242&amp;Row=741&amp;Col=1","No Title Assigned - #15281209580")</f>
        <v>No Title Assigned - #15281209580</v>
      </c>
      <c r="B749" t="s">
        <v>1156</v>
      </c>
      <c r="E749" t="s">
        <v>15</v>
      </c>
      <c r="F749" t="s">
        <v>15</v>
      </c>
      <c r="G749" t="s">
        <v>137</v>
      </c>
      <c r="H749" s="1">
        <v>11.8142</v>
      </c>
    </row>
    <row r="750" spans="1:8" hidden="1" x14ac:dyDescent="0.25">
      <c r="A750" s="5" t="str">
        <f>HYPERLINK("https://app.vivvix.com/360/KMI/IntelliDrive/ApplUI/Pages/CreativePages/CustomReportCreativeDetail.aspx?App=23&amp;ReportView=4&amp;Qid=1711242&amp;Row=742&amp;Col=1","No Title Assigned - #15281212983")</f>
        <v>No Title Assigned - #15281212983</v>
      </c>
      <c r="B750" t="s">
        <v>1157</v>
      </c>
      <c r="E750" t="s">
        <v>15</v>
      </c>
      <c r="F750" t="s">
        <v>15</v>
      </c>
      <c r="G750" t="s">
        <v>137</v>
      </c>
      <c r="H750" s="1">
        <v>572.73199999999997</v>
      </c>
    </row>
    <row r="751" spans="1:8" hidden="1" x14ac:dyDescent="0.25">
      <c r="A751" s="5" t="str">
        <f>HYPERLINK("https://app.vivvix.com/360/KMI/IntelliDrive/ApplUI/Pages/CreativePages/CustomReportCreativeDetail.aspx?App=23&amp;ReportView=4&amp;Qid=1711242&amp;Row=743&amp;Col=1","No Title Assigned - #15281223780")</f>
        <v>No Title Assigned - #15281223780</v>
      </c>
      <c r="B751" t="s">
        <v>1158</v>
      </c>
      <c r="C751" t="s">
        <v>1159</v>
      </c>
      <c r="D751" t="s">
        <v>1159</v>
      </c>
      <c r="E751" t="s">
        <v>15</v>
      </c>
      <c r="F751" t="s">
        <v>20</v>
      </c>
      <c r="G751" t="s">
        <v>31</v>
      </c>
      <c r="H751" s="1">
        <v>130.5925</v>
      </c>
    </row>
    <row r="752" spans="1:8" hidden="1" x14ac:dyDescent="0.25">
      <c r="A752" s="5" t="str">
        <f>HYPERLINK("https://app.vivvix.com/360/KMI/IntelliDrive/ApplUI/Pages/CreativePages/CustomReportCreativeDetail.aspx?App=23&amp;ReportView=4&amp;Qid=1711242&amp;Row=744&amp;Col=1","No Title Assigned - #15281225434")</f>
        <v>No Title Assigned - #15281225434</v>
      </c>
      <c r="B752" t="s">
        <v>1160</v>
      </c>
      <c r="C752" t="s">
        <v>1161</v>
      </c>
      <c r="D752" t="s">
        <v>1090</v>
      </c>
      <c r="E752" t="s">
        <v>15</v>
      </c>
      <c r="F752" t="s">
        <v>20</v>
      </c>
      <c r="G752" t="s">
        <v>31</v>
      </c>
      <c r="H752" s="1">
        <v>62.179200000000002</v>
      </c>
    </row>
    <row r="753" spans="1:8" hidden="1" x14ac:dyDescent="0.25">
      <c r="A753" s="5" t="str">
        <f>HYPERLINK("https://app.vivvix.com/360/KMI/IntelliDrive/ApplUI/Pages/CreativePages/CustomReportCreativeDetail.aspx?App=23&amp;ReportView=4&amp;Qid=1711242&amp;Row=745&amp;Col=1","No Title Assigned - #15281237006")</f>
        <v>No Title Assigned - #15281237006</v>
      </c>
      <c r="B753" t="s">
        <v>1162</v>
      </c>
      <c r="C753" t="s">
        <v>1163</v>
      </c>
      <c r="D753" t="s">
        <v>1163</v>
      </c>
      <c r="E753" t="s">
        <v>15</v>
      </c>
      <c r="F753" t="s">
        <v>20</v>
      </c>
      <c r="G753" t="s">
        <v>31</v>
      </c>
      <c r="H753" s="1">
        <v>1353.0553</v>
      </c>
    </row>
    <row r="754" spans="1:8" hidden="1" x14ac:dyDescent="0.25">
      <c r="A754" s="5" t="str">
        <f>HYPERLINK("https://app.vivvix.com/360/KMI/IntelliDrive/ApplUI/Pages/CreativePages/CustomReportCreativeDetail.aspx?App=23&amp;ReportView=4&amp;Qid=1711242&amp;Row=746&amp;Col=1","No Title Assigned - #15281256052")</f>
        <v>No Title Assigned - #15281256052</v>
      </c>
      <c r="B754" t="s">
        <v>1164</v>
      </c>
      <c r="E754" t="s">
        <v>15</v>
      </c>
      <c r="F754" t="s">
        <v>15</v>
      </c>
      <c r="G754" t="s">
        <v>137</v>
      </c>
      <c r="H754" s="1">
        <v>1367.5876000000001</v>
      </c>
    </row>
    <row r="755" spans="1:8" hidden="1" x14ac:dyDescent="0.25">
      <c r="A755" s="5" t="str">
        <f>HYPERLINK("https://app.vivvix.com/360/KMI/IntelliDrive/ApplUI/Pages/CreativePages/CustomReportCreativeDetail.aspx?App=23&amp;ReportView=4&amp;Qid=1711242&amp;Row=747&amp;Col=1","No Title Assigned - #15281256053")</f>
        <v>No Title Assigned - #15281256053</v>
      </c>
      <c r="B755" t="s">
        <v>1165</v>
      </c>
      <c r="E755" t="s">
        <v>15</v>
      </c>
      <c r="F755" t="s">
        <v>15</v>
      </c>
      <c r="G755" t="s">
        <v>137</v>
      </c>
      <c r="H755" s="1">
        <v>1277.481</v>
      </c>
    </row>
    <row r="756" spans="1:8" hidden="1" x14ac:dyDescent="0.25">
      <c r="A756" s="5" t="str">
        <f>HYPERLINK("https://app.vivvix.com/360/KMI/IntelliDrive/ApplUI/Pages/CreativePages/CustomReportCreativeDetail.aspx?App=23&amp;ReportView=4&amp;Qid=1711242&amp;Row=748&amp;Col=1","No Title Assigned - #15281265008")</f>
        <v>No Title Assigned - #15281265008</v>
      </c>
      <c r="B756" t="s">
        <v>1166</v>
      </c>
      <c r="C756" t="s">
        <v>1167</v>
      </c>
      <c r="D756" t="s">
        <v>1167</v>
      </c>
      <c r="E756" t="s">
        <v>15</v>
      </c>
      <c r="F756" t="s">
        <v>20</v>
      </c>
      <c r="G756" t="s">
        <v>31</v>
      </c>
      <c r="H756" s="1">
        <v>5589.5218000000004</v>
      </c>
    </row>
    <row r="757" spans="1:8" hidden="1" x14ac:dyDescent="0.25">
      <c r="A757" s="5" t="str">
        <f>HYPERLINK("https://app.vivvix.com/360/KMI/IntelliDrive/ApplUI/Pages/CreativePages/CustomReportCreativeDetail.aspx?App=23&amp;ReportView=4&amp;Qid=1711242&amp;Row=749&amp;Col=1","No Title Assigned - #15281294576")</f>
        <v>No Title Assigned - #15281294576</v>
      </c>
      <c r="B757" t="s">
        <v>1168</v>
      </c>
      <c r="E757" t="s">
        <v>15</v>
      </c>
      <c r="F757" t="s">
        <v>15</v>
      </c>
      <c r="G757" t="s">
        <v>137</v>
      </c>
      <c r="H757" s="1">
        <v>3365.9214000000002</v>
      </c>
    </row>
    <row r="758" spans="1:8" hidden="1" x14ac:dyDescent="0.25">
      <c r="A758" s="5" t="str">
        <f>HYPERLINK("https://app.vivvix.com/360/KMI/IntelliDrive/ApplUI/Pages/CreativePages/CustomReportCreativeDetail.aspx?App=23&amp;ReportView=4&amp;Qid=1711242&amp;Row=750&amp;Col=1","No Title Assigned - #15281294577")</f>
        <v>No Title Assigned - #15281294577</v>
      </c>
      <c r="B758" t="s">
        <v>1169</v>
      </c>
      <c r="E758" t="s">
        <v>15</v>
      </c>
      <c r="F758" t="s">
        <v>15</v>
      </c>
      <c r="G758" t="s">
        <v>137</v>
      </c>
      <c r="H758" s="1">
        <v>2239.5889000000002</v>
      </c>
    </row>
    <row r="759" spans="1:8" hidden="1" x14ac:dyDescent="0.25">
      <c r="A759" s="5" t="str">
        <f>HYPERLINK("https://app.vivvix.com/360/KMI/IntelliDrive/ApplUI/Pages/CreativePages/CustomReportCreativeDetail.aspx?App=23&amp;ReportView=4&amp;Qid=1711242&amp;Row=751&amp;Col=1","No Title Assigned - #15281300371")</f>
        <v>No Title Assigned - #15281300371</v>
      </c>
      <c r="B759" t="s">
        <v>1170</v>
      </c>
      <c r="E759" t="s">
        <v>15</v>
      </c>
      <c r="F759" t="s">
        <v>15</v>
      </c>
      <c r="G759" t="s">
        <v>137</v>
      </c>
      <c r="H759" s="1">
        <v>104.90860000000001</v>
      </c>
    </row>
    <row r="760" spans="1:8" hidden="1" x14ac:dyDescent="0.25">
      <c r="A760" s="5" t="str">
        <f>HYPERLINK("https://app.vivvix.com/360/KMI/IntelliDrive/ApplUI/Pages/CreativePages/CustomReportCreativeDetail.aspx?App=23&amp;ReportView=4&amp;Qid=1711242&amp;Row=752&amp;Col=1","No Title Assigned - #15281310596")</f>
        <v>No Title Assigned - #15281310596</v>
      </c>
      <c r="B760" t="s">
        <v>1171</v>
      </c>
      <c r="C760" t="s">
        <v>1172</v>
      </c>
      <c r="D760" t="s">
        <v>1039</v>
      </c>
      <c r="E760" t="s">
        <v>15</v>
      </c>
      <c r="F760" t="s">
        <v>20</v>
      </c>
      <c r="G760" t="s">
        <v>31</v>
      </c>
      <c r="H760" s="1">
        <v>5292.3521000000001</v>
      </c>
    </row>
    <row r="761" spans="1:8" hidden="1" x14ac:dyDescent="0.25">
      <c r="A761" s="5" t="str">
        <f>HYPERLINK("https://app.vivvix.com/360/KMI/IntelliDrive/ApplUI/Pages/CreativePages/CustomReportCreativeDetail.aspx?App=23&amp;ReportView=4&amp;Qid=1711242&amp;Row=753&amp;Col=1","No Title Assigned - #15281312820")</f>
        <v>No Title Assigned - #15281312820</v>
      </c>
      <c r="B761" t="s">
        <v>1173</v>
      </c>
      <c r="C761" t="s">
        <v>1174</v>
      </c>
      <c r="D761" t="s">
        <v>1174</v>
      </c>
      <c r="E761" t="s">
        <v>15</v>
      </c>
      <c r="F761" t="s">
        <v>20</v>
      </c>
      <c r="G761" t="s">
        <v>31</v>
      </c>
      <c r="H761" s="1">
        <v>1378.6081999999999</v>
      </c>
    </row>
    <row r="762" spans="1:8" hidden="1" x14ac:dyDescent="0.25">
      <c r="A762" s="5" t="str">
        <f>HYPERLINK("https://app.vivvix.com/360/KMI/IntelliDrive/ApplUI/Pages/CreativePages/CustomReportCreativeDetail.aspx?App=23&amp;ReportView=4&amp;Qid=1711242&amp;Row=754&amp;Col=1","No Title Assigned - #15281312821")</f>
        <v>No Title Assigned - #15281312821</v>
      </c>
      <c r="B762" t="s">
        <v>1175</v>
      </c>
      <c r="C762" t="s">
        <v>1176</v>
      </c>
      <c r="D762" t="s">
        <v>1176</v>
      </c>
      <c r="E762" t="s">
        <v>15</v>
      </c>
      <c r="F762" t="s">
        <v>20</v>
      </c>
      <c r="G762" t="s">
        <v>31</v>
      </c>
      <c r="H762" s="1">
        <v>1024.3331000000001</v>
      </c>
    </row>
    <row r="763" spans="1:8" hidden="1" x14ac:dyDescent="0.25">
      <c r="A763" s="5" t="str">
        <f>HYPERLINK("https://app.vivvix.com/360/KMI/IntelliDrive/ApplUI/Pages/CreativePages/CustomReportCreativeDetail.aspx?App=23&amp;ReportView=4&amp;Qid=1711242&amp;Row=755&amp;Col=1","No Title Assigned - #15281321736")</f>
        <v>No Title Assigned - #15281321736</v>
      </c>
      <c r="B763" t="s">
        <v>1177</v>
      </c>
      <c r="C763" t="s">
        <v>1178</v>
      </c>
      <c r="D763" t="s">
        <v>1178</v>
      </c>
      <c r="E763" t="s">
        <v>15</v>
      </c>
      <c r="F763" t="s">
        <v>20</v>
      </c>
      <c r="G763" t="s">
        <v>31</v>
      </c>
      <c r="H763" s="1">
        <v>654.00099999999998</v>
      </c>
    </row>
    <row r="764" spans="1:8" hidden="1" x14ac:dyDescent="0.25">
      <c r="A764" s="5" t="str">
        <f>HYPERLINK("https://app.vivvix.com/360/KMI/IntelliDrive/ApplUI/Pages/CreativePages/CustomReportCreativeDetail.aspx?App=23&amp;ReportView=4&amp;Qid=1711242&amp;Row=756&amp;Col=1","No Title Assigned - #15281321738")</f>
        <v>No Title Assigned - #15281321738</v>
      </c>
      <c r="B764" t="s">
        <v>1179</v>
      </c>
      <c r="C764" t="s">
        <v>1180</v>
      </c>
      <c r="D764" t="s">
        <v>1180</v>
      </c>
      <c r="E764" t="s">
        <v>15</v>
      </c>
      <c r="F764" t="s">
        <v>20</v>
      </c>
      <c r="G764" t="s">
        <v>31</v>
      </c>
      <c r="H764" s="1">
        <v>654.00099999999998</v>
      </c>
    </row>
    <row r="765" spans="1:8" hidden="1" x14ac:dyDescent="0.25">
      <c r="A765" s="5" t="str">
        <f>HYPERLINK("https://app.vivvix.com/360/KMI/IntelliDrive/ApplUI/Pages/CreativePages/CustomReportCreativeDetail.aspx?App=23&amp;ReportView=4&amp;Qid=1711242&amp;Row=757&amp;Col=1","No Title Assigned - #15281332736")</f>
        <v>No Title Assigned - #15281332736</v>
      </c>
      <c r="B765" t="s">
        <v>1181</v>
      </c>
      <c r="C765" t="s">
        <v>1182</v>
      </c>
      <c r="D765" t="s">
        <v>1182</v>
      </c>
      <c r="E765" t="s">
        <v>15</v>
      </c>
      <c r="F765" t="s">
        <v>133</v>
      </c>
      <c r="G765" t="s">
        <v>187</v>
      </c>
      <c r="H765" s="1">
        <v>5033.4867000000004</v>
      </c>
    </row>
    <row r="766" spans="1:8" hidden="1" x14ac:dyDescent="0.25">
      <c r="A766" s="5" t="str">
        <f>HYPERLINK("https://app.vivvix.com/360/KMI/IntelliDrive/ApplUI/Pages/CreativePages/CustomReportCreativeDetail.aspx?App=23&amp;ReportView=4&amp;Qid=1711242&amp;Row=758&amp;Col=1","No Title Assigned - #15281336684")</f>
        <v>No Title Assigned - #15281336684</v>
      </c>
      <c r="B766" t="s">
        <v>1183</v>
      </c>
      <c r="E766" t="s">
        <v>15</v>
      </c>
      <c r="F766" t="s">
        <v>15</v>
      </c>
      <c r="G766" t="s">
        <v>137</v>
      </c>
      <c r="H766" s="1">
        <v>24.3826</v>
      </c>
    </row>
    <row r="767" spans="1:8" hidden="1" x14ac:dyDescent="0.25">
      <c r="A767" s="5" t="str">
        <f>HYPERLINK("https://app.vivvix.com/360/KMI/IntelliDrive/ApplUI/Pages/CreativePages/CustomReportCreativeDetail.aspx?App=23&amp;ReportView=4&amp;Qid=1711242&amp;Row=759&amp;Col=1","No Title Assigned - #15281341779")</f>
        <v>No Title Assigned - #15281341779</v>
      </c>
      <c r="B767" t="s">
        <v>1184</v>
      </c>
      <c r="E767" t="s">
        <v>15</v>
      </c>
      <c r="F767" t="s">
        <v>15</v>
      </c>
      <c r="G767" t="s">
        <v>137</v>
      </c>
      <c r="H767" s="1">
        <v>917.05460000000005</v>
      </c>
    </row>
    <row r="768" spans="1:8" hidden="1" x14ac:dyDescent="0.25">
      <c r="A768" s="5" t="str">
        <f>HYPERLINK("https://app.vivvix.com/360/KMI/IntelliDrive/ApplUI/Pages/CreativePages/CustomReportCreativeDetail.aspx?App=23&amp;ReportView=4&amp;Qid=1711242&amp;Row=760&amp;Col=1","No Title Assigned - #15281342433")</f>
        <v>No Title Assigned - #15281342433</v>
      </c>
      <c r="B768" t="s">
        <v>1185</v>
      </c>
      <c r="C768" t="s">
        <v>1186</v>
      </c>
      <c r="D768" t="s">
        <v>1186</v>
      </c>
      <c r="E768" t="s">
        <v>15</v>
      </c>
      <c r="F768" t="s">
        <v>20</v>
      </c>
      <c r="G768" t="s">
        <v>31</v>
      </c>
      <c r="H768" s="1">
        <v>2749.7076000000002</v>
      </c>
    </row>
    <row r="769" spans="1:8" hidden="1" x14ac:dyDescent="0.25">
      <c r="A769" s="5" t="str">
        <f>HYPERLINK("https://app.vivvix.com/360/KMI/IntelliDrive/ApplUI/Pages/CreativePages/CustomReportCreativeDetail.aspx?App=23&amp;ReportView=4&amp;Qid=1711242&amp;Row=761&amp;Col=1","No Title Assigned - #15281354288")</f>
        <v>No Title Assigned - #15281354288</v>
      </c>
      <c r="B769" t="s">
        <v>1187</v>
      </c>
      <c r="C769" t="s">
        <v>1188</v>
      </c>
      <c r="D769" t="s">
        <v>1188</v>
      </c>
      <c r="E769" t="s">
        <v>15</v>
      </c>
      <c r="F769" t="s">
        <v>20</v>
      </c>
      <c r="G769" t="s">
        <v>31</v>
      </c>
      <c r="H769" s="1">
        <v>654.00099999999998</v>
      </c>
    </row>
    <row r="770" spans="1:8" hidden="1" x14ac:dyDescent="0.25">
      <c r="A770" s="5" t="str">
        <f>HYPERLINK("https://app.vivvix.com/360/KMI/IntelliDrive/ApplUI/Pages/CreativePages/CustomReportCreativeDetail.aspx?App=23&amp;ReportView=4&amp;Qid=1711242&amp;Row=762&amp;Col=1","No Title Assigned - #15281362170")</f>
        <v>No Title Assigned - #15281362170</v>
      </c>
      <c r="B770" t="s">
        <v>1189</v>
      </c>
      <c r="C770" t="s">
        <v>1190</v>
      </c>
      <c r="D770" t="s">
        <v>1190</v>
      </c>
      <c r="E770" t="s">
        <v>15</v>
      </c>
      <c r="F770" t="s">
        <v>133</v>
      </c>
      <c r="G770" t="s">
        <v>187</v>
      </c>
      <c r="H770" s="1">
        <v>7001.1163999999999</v>
      </c>
    </row>
    <row r="771" spans="1:8" hidden="1" x14ac:dyDescent="0.25">
      <c r="A771" s="5" t="str">
        <f>HYPERLINK("https://app.vivvix.com/360/KMI/IntelliDrive/ApplUI/Pages/CreativePages/CustomReportCreativeDetail.aspx?App=23&amp;ReportView=4&amp;Qid=1711242&amp;Row=763&amp;Col=1","No Title Assigned - #15281369759")</f>
        <v>No Title Assigned - #15281369759</v>
      </c>
      <c r="B771" t="s">
        <v>1191</v>
      </c>
      <c r="C771" t="s">
        <v>1192</v>
      </c>
      <c r="D771" t="s">
        <v>1192</v>
      </c>
      <c r="E771" t="s">
        <v>15</v>
      </c>
      <c r="F771" t="s">
        <v>20</v>
      </c>
      <c r="G771" t="s">
        <v>31</v>
      </c>
      <c r="H771" s="1">
        <v>924.32079999999996</v>
      </c>
    </row>
    <row r="772" spans="1:8" hidden="1" x14ac:dyDescent="0.25">
      <c r="A772" s="5" t="str">
        <f>HYPERLINK("https://app.vivvix.com/360/KMI/IntelliDrive/ApplUI/Pages/CreativePages/CustomReportCreativeDetail.aspx?App=23&amp;ReportView=4&amp;Qid=1711242&amp;Row=764&amp;Col=1","No Title Assigned - #15281372213")</f>
        <v>No Title Assigned - #15281372213</v>
      </c>
      <c r="B772" t="s">
        <v>1193</v>
      </c>
      <c r="E772" t="s">
        <v>15</v>
      </c>
      <c r="F772" t="s">
        <v>15</v>
      </c>
      <c r="G772" t="s">
        <v>137</v>
      </c>
      <c r="H772" s="1">
        <v>12.819800000000001</v>
      </c>
    </row>
    <row r="773" spans="1:8" hidden="1" x14ac:dyDescent="0.25">
      <c r="A773" s="5" t="str">
        <f>HYPERLINK("https://app.vivvix.com/360/KMI/IntelliDrive/ApplUI/Pages/CreativePages/CustomReportCreativeDetail.aspx?App=23&amp;ReportView=4&amp;Qid=1711242&amp;Row=765&amp;Col=1","No Title Assigned - #15281372438")</f>
        <v>No Title Assigned - #15281372438</v>
      </c>
      <c r="B773" t="s">
        <v>1194</v>
      </c>
      <c r="E773" t="s">
        <v>15</v>
      </c>
      <c r="F773" t="s">
        <v>15</v>
      </c>
      <c r="G773" t="s">
        <v>137</v>
      </c>
      <c r="H773" s="1">
        <v>13.071199999999999</v>
      </c>
    </row>
    <row r="774" spans="1:8" hidden="1" x14ac:dyDescent="0.25">
      <c r="A774" s="5" t="str">
        <f>HYPERLINK("https://app.vivvix.com/360/KMI/IntelliDrive/ApplUI/Pages/CreativePages/CustomReportCreativeDetail.aspx?App=23&amp;ReportView=4&amp;Qid=1711242&amp;Row=766&amp;Col=1","No Title Assigned - #15281372439")</f>
        <v>No Title Assigned - #15281372439</v>
      </c>
      <c r="B774" t="s">
        <v>1195</v>
      </c>
      <c r="E774" t="s">
        <v>15</v>
      </c>
      <c r="F774" t="s">
        <v>15</v>
      </c>
      <c r="G774" t="s">
        <v>137</v>
      </c>
      <c r="H774" s="1">
        <v>15.0824</v>
      </c>
    </row>
    <row r="775" spans="1:8" hidden="1" x14ac:dyDescent="0.25">
      <c r="A775" s="5" t="str">
        <f>HYPERLINK("https://app.vivvix.com/360/KMI/IntelliDrive/ApplUI/Pages/CreativePages/CustomReportCreativeDetail.aspx?App=23&amp;ReportView=4&amp;Qid=1711242&amp;Row=767&amp;Col=1","No Title Assigned - #15281372440")</f>
        <v>No Title Assigned - #15281372440</v>
      </c>
      <c r="B775" t="s">
        <v>1196</v>
      </c>
      <c r="E775" t="s">
        <v>15</v>
      </c>
      <c r="F775" t="s">
        <v>15</v>
      </c>
      <c r="G775" t="s">
        <v>137</v>
      </c>
      <c r="H775" s="1">
        <v>11.8142</v>
      </c>
    </row>
    <row r="776" spans="1:8" hidden="1" x14ac:dyDescent="0.25">
      <c r="A776" s="5" t="str">
        <f>HYPERLINK("https://app.vivvix.com/360/KMI/IntelliDrive/ApplUI/Pages/CreativePages/CustomReportCreativeDetail.aspx?App=23&amp;ReportView=4&amp;Qid=1711242&amp;Row=768&amp;Col=1","No Title Assigned - #15281378918")</f>
        <v>No Title Assigned - #15281378918</v>
      </c>
      <c r="B776" t="s">
        <v>1197</v>
      </c>
      <c r="E776" t="s">
        <v>15</v>
      </c>
      <c r="F776" t="s">
        <v>15</v>
      </c>
      <c r="G776" t="s">
        <v>137</v>
      </c>
      <c r="H776" s="1">
        <v>12.819800000000001</v>
      </c>
    </row>
    <row r="777" spans="1:8" hidden="1" x14ac:dyDescent="0.25">
      <c r="A777" s="5" t="str">
        <f>HYPERLINK("https://app.vivvix.com/360/KMI/IntelliDrive/ApplUI/Pages/CreativePages/CustomReportCreativeDetail.aspx?App=23&amp;ReportView=4&amp;Qid=1711242&amp;Row=769&amp;Col=1","No Title Assigned - #15281380262")</f>
        <v>No Title Assigned - #15281380262</v>
      </c>
      <c r="B777" t="s">
        <v>1198</v>
      </c>
      <c r="E777" t="s">
        <v>15</v>
      </c>
      <c r="F777" t="s">
        <v>15</v>
      </c>
      <c r="G777" t="s">
        <v>137</v>
      </c>
      <c r="H777" s="1">
        <v>12.0656</v>
      </c>
    </row>
    <row r="778" spans="1:8" hidden="1" x14ac:dyDescent="0.25">
      <c r="A778" s="5" t="str">
        <f>HYPERLINK("https://app.vivvix.com/360/KMI/IntelliDrive/ApplUI/Pages/CreativePages/CustomReportCreativeDetail.aspx?App=23&amp;ReportView=4&amp;Qid=1711242&amp;Row=770&amp;Col=1","No Title Assigned - #15281391935")</f>
        <v>No Title Assigned - #15281391935</v>
      </c>
      <c r="B778" t="s">
        <v>1199</v>
      </c>
      <c r="E778" t="s">
        <v>15</v>
      </c>
      <c r="F778" t="s">
        <v>15</v>
      </c>
      <c r="G778" t="s">
        <v>137</v>
      </c>
      <c r="H778" s="1">
        <v>1142.3210999999999</v>
      </c>
    </row>
    <row r="779" spans="1:8" hidden="1" x14ac:dyDescent="0.25">
      <c r="A779" s="5" t="str">
        <f>HYPERLINK("https://app.vivvix.com/360/KMI/IntelliDrive/ApplUI/Pages/CreativePages/CustomReportCreativeDetail.aspx?App=23&amp;ReportView=4&amp;Qid=1711242&amp;Row=771&amp;Col=1","No Title Assigned - #15281391983")</f>
        <v>No Title Assigned - #15281391983</v>
      </c>
      <c r="B779" t="s">
        <v>1200</v>
      </c>
      <c r="E779" t="s">
        <v>15</v>
      </c>
      <c r="F779" t="s">
        <v>15</v>
      </c>
      <c r="G779" t="s">
        <v>137</v>
      </c>
      <c r="H779" s="1">
        <v>1412.6409000000001</v>
      </c>
    </row>
    <row r="780" spans="1:8" hidden="1" x14ac:dyDescent="0.25">
      <c r="A780" s="5" t="str">
        <f>HYPERLINK("https://app.vivvix.com/360/KMI/IntelliDrive/ApplUI/Pages/CreativePages/CustomReportCreativeDetail.aspx?App=23&amp;ReportView=4&amp;Qid=1711242&amp;Row=772&amp;Col=1","No Title Assigned - #15281418053")</f>
        <v>No Title Assigned - #15281418053</v>
      </c>
      <c r="B780" t="s">
        <v>1201</v>
      </c>
      <c r="E780" t="s">
        <v>15</v>
      </c>
      <c r="F780" t="s">
        <v>15</v>
      </c>
      <c r="G780" t="s">
        <v>137</v>
      </c>
      <c r="H780" s="1">
        <v>135.15989999999999</v>
      </c>
    </row>
    <row r="781" spans="1:8" hidden="1" x14ac:dyDescent="0.25">
      <c r="A781" s="5" t="str">
        <f>HYPERLINK("https://app.vivvix.com/360/KMI/IntelliDrive/ApplUI/Pages/CreativePages/CustomReportCreativeDetail.aspx?App=23&amp;ReportView=4&amp;Qid=1711242&amp;Row=773&amp;Col=1","No Title Assigned - #15281442775")</f>
        <v>No Title Assigned - #15281442775</v>
      </c>
      <c r="B781" t="s">
        <v>1202</v>
      </c>
      <c r="E781" t="s">
        <v>15</v>
      </c>
      <c r="F781" t="s">
        <v>15</v>
      </c>
      <c r="G781" t="s">
        <v>137</v>
      </c>
      <c r="H781" s="1">
        <v>2.0112000000000001</v>
      </c>
    </row>
    <row r="782" spans="1:8" hidden="1" x14ac:dyDescent="0.25">
      <c r="A782" s="5" t="str">
        <f>HYPERLINK("https://app.vivvix.com/360/KMI/IntelliDrive/ApplUI/Pages/CreativePages/CustomReportCreativeDetail.aspx?App=23&amp;ReportView=4&amp;Qid=1711242&amp;Row=774&amp;Col=1","No Title Assigned - #15281443620")</f>
        <v>No Title Assigned - #15281443620</v>
      </c>
      <c r="B782" t="s">
        <v>1203</v>
      </c>
      <c r="E782" t="s">
        <v>15</v>
      </c>
      <c r="F782" t="s">
        <v>15</v>
      </c>
      <c r="G782" t="s">
        <v>137</v>
      </c>
      <c r="H782" s="1">
        <v>0.50280000000000002</v>
      </c>
    </row>
    <row r="783" spans="1:8" hidden="1" x14ac:dyDescent="0.25">
      <c r="A783" s="5" t="str">
        <f>HYPERLINK("https://app.vivvix.com/360/KMI/IntelliDrive/ApplUI/Pages/CreativePages/CustomReportCreativeDetail.aspx?App=23&amp;ReportView=4&amp;Qid=1711242&amp;Row=775&amp;Col=1","No Title Assigned - #15281444401")</f>
        <v>No Title Assigned - #15281444401</v>
      </c>
      <c r="B783" t="s">
        <v>1204</v>
      </c>
      <c r="E783" t="s">
        <v>15</v>
      </c>
      <c r="F783" t="s">
        <v>15</v>
      </c>
      <c r="G783" t="s">
        <v>137</v>
      </c>
      <c r="H783" s="1">
        <v>225.26650000000001</v>
      </c>
    </row>
    <row r="784" spans="1:8" hidden="1" x14ac:dyDescent="0.25">
      <c r="A784" s="5" t="str">
        <f>HYPERLINK("https://app.vivvix.com/360/KMI/IntelliDrive/ApplUI/Pages/CreativePages/CustomReportCreativeDetail.aspx?App=23&amp;ReportView=4&amp;Qid=1711242&amp;Row=776&amp;Col=1","No Title Assigned - #15281447241")</f>
        <v>No Title Assigned - #15281447241</v>
      </c>
      <c r="B784" t="s">
        <v>1205</v>
      </c>
      <c r="E784" t="s">
        <v>15</v>
      </c>
      <c r="F784" t="s">
        <v>15</v>
      </c>
      <c r="G784" t="s">
        <v>137</v>
      </c>
      <c r="H784" s="1">
        <v>0.25140000000000001</v>
      </c>
    </row>
    <row r="785" spans="1:8" hidden="1" x14ac:dyDescent="0.25">
      <c r="A785" s="5" t="str">
        <f>HYPERLINK("https://app.vivvix.com/360/KMI/IntelliDrive/ApplUI/Pages/CreativePages/CustomReportCreativeDetail.aspx?App=23&amp;ReportView=4&amp;Qid=1711242&amp;Row=777&amp;Col=1","No Title Assigned - #15281451819")</f>
        <v>No Title Assigned - #15281451819</v>
      </c>
      <c r="B785" t="s">
        <v>1206</v>
      </c>
      <c r="C785" t="s">
        <v>1207</v>
      </c>
      <c r="D785" t="s">
        <v>1207</v>
      </c>
      <c r="E785" t="s">
        <v>15</v>
      </c>
      <c r="F785" t="s">
        <v>20</v>
      </c>
      <c r="G785" t="s">
        <v>31</v>
      </c>
      <c r="H785" s="1">
        <v>901.06600000000003</v>
      </c>
    </row>
    <row r="786" spans="1:8" hidden="1" x14ac:dyDescent="0.25">
      <c r="A786" s="5" t="str">
        <f>HYPERLINK("https://app.vivvix.com/360/KMI/IntelliDrive/ApplUI/Pages/CreativePages/CustomReportCreativeDetail.aspx?App=23&amp;ReportView=4&amp;Qid=1711242&amp;Row=778&amp;Col=1","No Title Assigned - #15281452840")</f>
        <v>No Title Assigned - #15281452840</v>
      </c>
      <c r="B786" t="s">
        <v>1208</v>
      </c>
      <c r="C786" t="s">
        <v>1209</v>
      </c>
      <c r="D786" t="s">
        <v>1209</v>
      </c>
      <c r="E786" t="s">
        <v>15</v>
      </c>
      <c r="F786" t="s">
        <v>20</v>
      </c>
      <c r="G786" t="s">
        <v>31</v>
      </c>
      <c r="H786" s="1">
        <v>135.15989999999999</v>
      </c>
    </row>
    <row r="787" spans="1:8" hidden="1" x14ac:dyDescent="0.25">
      <c r="A787" s="5" t="str">
        <f>HYPERLINK("https://app.vivvix.com/360/KMI/IntelliDrive/ApplUI/Pages/CreativePages/CustomReportCreativeDetail.aspx?App=23&amp;ReportView=4&amp;Qid=1711242&amp;Row=779&amp;Col=1","No Title Assigned - #15281516654")</f>
        <v>No Title Assigned - #15281516654</v>
      </c>
      <c r="B787" t="s">
        <v>1210</v>
      </c>
      <c r="C787" t="s">
        <v>1211</v>
      </c>
      <c r="D787" t="s">
        <v>1211</v>
      </c>
      <c r="E787" t="s">
        <v>15</v>
      </c>
      <c r="F787" t="s">
        <v>20</v>
      </c>
      <c r="G787" t="s">
        <v>31</v>
      </c>
      <c r="H787" s="1">
        <v>196.81950000000001</v>
      </c>
    </row>
    <row r="788" spans="1:8" hidden="1" x14ac:dyDescent="0.25">
      <c r="A788" s="5" t="str">
        <f>HYPERLINK("https://app.vivvix.com/360/KMI/IntelliDrive/ApplUI/Pages/CreativePages/CustomReportCreativeDetail.aspx?App=23&amp;ReportView=4&amp;Qid=1711242&amp;Row=780&amp;Col=1","No Title Assigned - #15281522662")</f>
        <v>No Title Assigned - #15281522662</v>
      </c>
      <c r="B788" t="s">
        <v>1212</v>
      </c>
      <c r="C788" t="s">
        <v>1213</v>
      </c>
      <c r="D788" t="s">
        <v>1213</v>
      </c>
      <c r="E788" t="s">
        <v>15</v>
      </c>
      <c r="F788" t="s">
        <v>15</v>
      </c>
      <c r="G788" t="s">
        <v>137</v>
      </c>
      <c r="H788" s="1">
        <v>471.3716</v>
      </c>
    </row>
    <row r="789" spans="1:8" hidden="1" x14ac:dyDescent="0.25">
      <c r="A789" s="5" t="str">
        <f>HYPERLINK("https://app.vivvix.com/360/KMI/IntelliDrive/ApplUI/Pages/CreativePages/CustomReportCreativeDetail.aspx?App=23&amp;ReportView=4&amp;Qid=1711242&amp;Row=781&amp;Col=1","No Title Assigned - #15281522676")</f>
        <v>No Title Assigned - #15281522676</v>
      </c>
      <c r="B789" t="s">
        <v>1214</v>
      </c>
      <c r="C789" t="s">
        <v>1215</v>
      </c>
      <c r="D789" t="s">
        <v>1215</v>
      </c>
      <c r="E789" t="s">
        <v>15</v>
      </c>
      <c r="F789" t="s">
        <v>15</v>
      </c>
      <c r="G789" t="s">
        <v>137</v>
      </c>
      <c r="H789" s="1">
        <v>819.83690000000001</v>
      </c>
    </row>
    <row r="790" spans="1:8" hidden="1" x14ac:dyDescent="0.25">
      <c r="A790" s="5" t="str">
        <f>HYPERLINK("https://app.vivvix.com/360/KMI/IntelliDrive/ApplUI/Pages/CreativePages/CustomReportCreativeDetail.aspx?App=23&amp;ReportView=4&amp;Qid=1711242&amp;Row=782&amp;Col=1","No Title Assigned - #15281526471")</f>
        <v>No Title Assigned - #15281526471</v>
      </c>
      <c r="B790" t="s">
        <v>1216</v>
      </c>
      <c r="E790" t="s">
        <v>15</v>
      </c>
      <c r="F790" t="s">
        <v>15</v>
      </c>
      <c r="G790" t="s">
        <v>137</v>
      </c>
      <c r="H790" s="1">
        <v>45.0533</v>
      </c>
    </row>
    <row r="791" spans="1:8" hidden="1" x14ac:dyDescent="0.25">
      <c r="A791" s="5" t="str">
        <f>HYPERLINK("https://app.vivvix.com/360/KMI/IntelliDrive/ApplUI/Pages/CreativePages/CustomReportCreativeDetail.aspx?App=23&amp;ReportView=4&amp;Qid=1711242&amp;Row=783&amp;Col=1","No Title Assigned - #15281551118")</f>
        <v>No Title Assigned - #15281551118</v>
      </c>
      <c r="B791" t="s">
        <v>1217</v>
      </c>
      <c r="E791" t="s">
        <v>15</v>
      </c>
      <c r="F791" t="s">
        <v>15</v>
      </c>
      <c r="G791" t="s">
        <v>137</v>
      </c>
      <c r="H791" s="1">
        <v>180.2132</v>
      </c>
    </row>
    <row r="792" spans="1:8" hidden="1" x14ac:dyDescent="0.25">
      <c r="A792" s="5" t="str">
        <f>HYPERLINK("https://app.vivvix.com/360/KMI/IntelliDrive/ApplUI/Pages/CreativePages/CustomReportCreativeDetail.aspx?App=23&amp;ReportView=4&amp;Qid=1711242&amp;Row=784&amp;Col=1","No Title Assigned - #15281586201")</f>
        <v>No Title Assigned - #15281586201</v>
      </c>
      <c r="B792" t="s">
        <v>1218</v>
      </c>
      <c r="E792" t="s">
        <v>15</v>
      </c>
      <c r="F792" t="s">
        <v>15</v>
      </c>
      <c r="G792" t="s">
        <v>137</v>
      </c>
      <c r="H792" s="1">
        <v>2457.4922000000001</v>
      </c>
    </row>
    <row r="793" spans="1:8" hidden="1" x14ac:dyDescent="0.25">
      <c r="A793" s="5" t="str">
        <f>HYPERLINK("https://app.vivvix.com/360/KMI/IntelliDrive/ApplUI/Pages/CreativePages/CustomReportCreativeDetail.aspx?App=23&amp;ReportView=4&amp;Qid=1711242&amp;Row=785&amp;Col=1","No Title Assigned - #15281593429")</f>
        <v>No Title Assigned - #15281593429</v>
      </c>
      <c r="B793" t="s">
        <v>1219</v>
      </c>
      <c r="E793" t="s">
        <v>15</v>
      </c>
      <c r="F793" t="s">
        <v>15</v>
      </c>
      <c r="G793" t="s">
        <v>137</v>
      </c>
      <c r="H793" s="1">
        <v>360.4264</v>
      </c>
    </row>
    <row r="794" spans="1:8" hidden="1" x14ac:dyDescent="0.25">
      <c r="A794" s="5" t="str">
        <f>HYPERLINK("https://app.vivvix.com/360/KMI/IntelliDrive/ApplUI/Pages/CreativePages/CustomReportCreativeDetail.aspx?App=23&amp;ReportView=4&amp;Qid=1711242&amp;Row=786&amp;Col=1","No Title Assigned - #15281596584")</f>
        <v>No Title Assigned - #15281596584</v>
      </c>
      <c r="B794" t="s">
        <v>1220</v>
      </c>
      <c r="E794" t="s">
        <v>15</v>
      </c>
      <c r="F794" t="s">
        <v>15</v>
      </c>
      <c r="G794" t="s">
        <v>137</v>
      </c>
      <c r="H794" s="1">
        <v>341.1223</v>
      </c>
    </row>
    <row r="795" spans="1:8" hidden="1" x14ac:dyDescent="0.25">
      <c r="A795" s="5" t="str">
        <f>HYPERLINK("https://app.vivvix.com/360/KMI/IntelliDrive/ApplUI/Pages/CreativePages/CustomReportCreativeDetail.aspx?App=23&amp;ReportView=4&amp;Qid=1711242&amp;Row=787&amp;Col=1","No Title Assigned - #15281603760")</f>
        <v>No Title Assigned - #15281603760</v>
      </c>
      <c r="B795" t="s">
        <v>1221</v>
      </c>
      <c r="E795" t="s">
        <v>15</v>
      </c>
      <c r="F795" t="s">
        <v>15</v>
      </c>
      <c r="G795" t="s">
        <v>137</v>
      </c>
      <c r="H795" s="1">
        <v>671.07420000000002</v>
      </c>
    </row>
    <row r="796" spans="1:8" hidden="1" x14ac:dyDescent="0.25">
      <c r="A796" s="5" t="str">
        <f>HYPERLINK("https://app.vivvix.com/360/KMI/IntelliDrive/ApplUI/Pages/CreativePages/CustomReportCreativeDetail.aspx?App=23&amp;ReportView=4&amp;Qid=1711242&amp;Row=788&amp;Col=1","No Title Assigned - #15281673911")</f>
        <v>No Title Assigned - #15281673911</v>
      </c>
      <c r="B796" t="s">
        <v>1222</v>
      </c>
      <c r="E796" t="s">
        <v>15</v>
      </c>
      <c r="F796" t="s">
        <v>15</v>
      </c>
      <c r="G796" t="s">
        <v>137</v>
      </c>
      <c r="H796" s="1">
        <v>135.15989999999999</v>
      </c>
    </row>
    <row r="797" spans="1:8" hidden="1" x14ac:dyDescent="0.25">
      <c r="A797" s="5" t="str">
        <f>HYPERLINK("https://app.vivvix.com/360/KMI/IntelliDrive/ApplUI/Pages/CreativePages/CustomReportCreativeDetail.aspx?App=23&amp;ReportView=4&amp;Qid=1711242&amp;Row=789&amp;Col=1","No Title Assigned - #15281681750")</f>
        <v>No Title Assigned - #15281681750</v>
      </c>
      <c r="B797" t="s">
        <v>1223</v>
      </c>
      <c r="E797" t="s">
        <v>15</v>
      </c>
      <c r="F797" t="s">
        <v>15</v>
      </c>
      <c r="G797" t="s">
        <v>137</v>
      </c>
      <c r="H797" s="1">
        <v>420.83300000000003</v>
      </c>
    </row>
    <row r="798" spans="1:8" hidden="1" x14ac:dyDescent="0.25">
      <c r="A798" s="5" t="str">
        <f>HYPERLINK("https://app.vivvix.com/360/KMI/IntelliDrive/ApplUI/Pages/CreativePages/CustomReportCreativeDetail.aspx?App=23&amp;ReportView=4&amp;Qid=1711242&amp;Row=790&amp;Col=1","No Title Assigned - #15281762085")</f>
        <v>No Title Assigned - #15281762085</v>
      </c>
      <c r="B798" t="s">
        <v>1224</v>
      </c>
      <c r="E798" t="s">
        <v>15</v>
      </c>
      <c r="F798" t="s">
        <v>15</v>
      </c>
      <c r="G798" t="s">
        <v>137</v>
      </c>
      <c r="H798" s="1">
        <v>2305.3148000000001</v>
      </c>
    </row>
    <row r="799" spans="1:8" hidden="1" x14ac:dyDescent="0.25">
      <c r="A799" s="5" t="str">
        <f>HYPERLINK("https://app.vivvix.com/360/KMI/IntelliDrive/ApplUI/Pages/CreativePages/CustomReportCreativeDetail.aspx?App=23&amp;ReportView=4&amp;Qid=1711242&amp;Row=791&amp;Col=1","No Title Assigned - #15281769461")</f>
        <v>No Title Assigned - #15281769461</v>
      </c>
      <c r="B799" t="s">
        <v>1225</v>
      </c>
      <c r="E799" t="s">
        <v>15</v>
      </c>
      <c r="F799" t="s">
        <v>15</v>
      </c>
      <c r="G799" t="s">
        <v>137</v>
      </c>
      <c r="H799" s="1">
        <v>90.1066</v>
      </c>
    </row>
    <row r="800" spans="1:8" hidden="1" x14ac:dyDescent="0.25">
      <c r="A800" s="5" t="str">
        <f>HYPERLINK("https://app.vivvix.com/360/KMI/IntelliDrive/ApplUI/Pages/CreativePages/CustomReportCreativeDetail.aspx?App=23&amp;ReportView=4&amp;Qid=1711242&amp;Row=792&amp;Col=1","No Title Assigned - #15281772085")</f>
        <v>No Title Assigned - #15281772085</v>
      </c>
      <c r="B800" t="s">
        <v>1226</v>
      </c>
      <c r="C800" t="s">
        <v>1227</v>
      </c>
      <c r="D800" t="s">
        <v>1227</v>
      </c>
      <c r="E800" t="s">
        <v>15</v>
      </c>
      <c r="F800" t="s">
        <v>15</v>
      </c>
      <c r="G800" t="s">
        <v>119</v>
      </c>
      <c r="H800" s="1">
        <v>823.27459999999996</v>
      </c>
    </row>
    <row r="801" spans="1:8" hidden="1" x14ac:dyDescent="0.25">
      <c r="A801" s="5" t="str">
        <f>HYPERLINK("https://app.vivvix.com/360/KMI/IntelliDrive/ApplUI/Pages/CreativePages/CustomReportCreativeDetail.aspx?App=23&amp;ReportView=4&amp;Qid=1711242&amp;Row=793&amp;Col=1","No Title Assigned - #15281773369")</f>
        <v>No Title Assigned - #15281773369</v>
      </c>
      <c r="B801" t="s">
        <v>1228</v>
      </c>
      <c r="E801" t="s">
        <v>15</v>
      </c>
      <c r="F801" t="s">
        <v>15</v>
      </c>
      <c r="G801" t="s">
        <v>137</v>
      </c>
      <c r="H801" s="1">
        <v>90.1066</v>
      </c>
    </row>
    <row r="802" spans="1:8" hidden="1" x14ac:dyDescent="0.25">
      <c r="A802" s="5" t="str">
        <f>HYPERLINK("https://app.vivvix.com/360/KMI/IntelliDrive/ApplUI/Pages/CreativePages/CustomReportCreativeDetail.aspx?App=23&amp;ReportView=4&amp;Qid=1711242&amp;Row=794&amp;Col=1","No Title Assigned - #15281781414")</f>
        <v>No Title Assigned - #15281781414</v>
      </c>
      <c r="B802" t="s">
        <v>1229</v>
      </c>
      <c r="E802" t="s">
        <v>15</v>
      </c>
      <c r="F802" t="s">
        <v>15</v>
      </c>
      <c r="G802" t="s">
        <v>137</v>
      </c>
      <c r="H802" s="1">
        <v>0.50280000000000002</v>
      </c>
    </row>
    <row r="803" spans="1:8" hidden="1" x14ac:dyDescent="0.25">
      <c r="A803" s="5" t="str">
        <f>HYPERLINK("https://app.vivvix.com/360/KMI/IntelliDrive/ApplUI/Pages/CreativePages/CustomReportCreativeDetail.aspx?App=23&amp;ReportView=4&amp;Qid=1711242&amp;Row=795&amp;Col=1","No Title Assigned - #15281781416")</f>
        <v>No Title Assigned - #15281781416</v>
      </c>
      <c r="B803" t="s">
        <v>1230</v>
      </c>
      <c r="E803" t="s">
        <v>15</v>
      </c>
      <c r="F803" t="s">
        <v>15</v>
      </c>
      <c r="G803" t="s">
        <v>137</v>
      </c>
      <c r="H803" s="1">
        <v>0.25140000000000001</v>
      </c>
    </row>
    <row r="804" spans="1:8" hidden="1" x14ac:dyDescent="0.25">
      <c r="A804" s="5" t="str">
        <f>HYPERLINK("https://app.vivvix.com/360/KMI/IntelliDrive/ApplUI/Pages/CreativePages/CustomReportCreativeDetail.aspx?App=23&amp;ReportView=4&amp;Qid=1711242&amp;Row=796&amp;Col=1","No Title Assigned - #15281807190")</f>
        <v>No Title Assigned - #15281807190</v>
      </c>
      <c r="B804" t="s">
        <v>1231</v>
      </c>
      <c r="E804" t="s">
        <v>15</v>
      </c>
      <c r="F804" t="s">
        <v>15</v>
      </c>
      <c r="G804" t="s">
        <v>137</v>
      </c>
      <c r="H804" s="1">
        <v>531.37540000000001</v>
      </c>
    </row>
    <row r="805" spans="1:8" hidden="1" x14ac:dyDescent="0.25">
      <c r="A805" s="5" t="str">
        <f>HYPERLINK("https://app.vivvix.com/360/KMI/IntelliDrive/ApplUI/Pages/CreativePages/CustomReportCreativeDetail.aspx?App=23&amp;ReportView=4&amp;Qid=1711242&amp;Row=797&amp;Col=1","No Title Assigned - #15281827465")</f>
        <v>No Title Assigned - #15281827465</v>
      </c>
      <c r="B805" t="s">
        <v>1232</v>
      </c>
      <c r="E805" t="s">
        <v>15</v>
      </c>
      <c r="F805" t="s">
        <v>15</v>
      </c>
      <c r="G805" t="s">
        <v>137</v>
      </c>
      <c r="H805" s="1">
        <v>0.25140000000000001</v>
      </c>
    </row>
    <row r="806" spans="1:8" hidden="1" x14ac:dyDescent="0.25">
      <c r="A806" s="5" t="str">
        <f>HYPERLINK("https://app.vivvix.com/360/KMI/IntelliDrive/ApplUI/Pages/CreativePages/CustomReportCreativeDetail.aspx?App=23&amp;ReportView=4&amp;Qid=1711242&amp;Row=798&amp;Col=1","No Title Assigned - #15281827467")</f>
        <v>No Title Assigned - #15281827467</v>
      </c>
      <c r="B806" t="s">
        <v>1233</v>
      </c>
      <c r="E806" t="s">
        <v>15</v>
      </c>
      <c r="F806" t="s">
        <v>15</v>
      </c>
      <c r="G806" t="s">
        <v>137</v>
      </c>
      <c r="H806" s="1">
        <v>0.25140000000000001</v>
      </c>
    </row>
    <row r="807" spans="1:8" hidden="1" x14ac:dyDescent="0.25">
      <c r="A807" s="5" t="str">
        <f>HYPERLINK("https://app.vivvix.com/360/KMI/IntelliDrive/ApplUI/Pages/CreativePages/CustomReportCreativeDetail.aspx?App=23&amp;ReportView=4&amp;Qid=1711242&amp;Row=799&amp;Col=1","No Title Assigned - #15281828816")</f>
        <v>No Title Assigned - #15281828816</v>
      </c>
      <c r="B807" t="s">
        <v>1234</v>
      </c>
      <c r="E807" t="s">
        <v>15</v>
      </c>
      <c r="F807" t="s">
        <v>15</v>
      </c>
      <c r="G807" t="s">
        <v>137</v>
      </c>
      <c r="H807" s="1">
        <v>405.47969999999998</v>
      </c>
    </row>
    <row r="808" spans="1:8" hidden="1" x14ac:dyDescent="0.25">
      <c r="A808" s="5" t="str">
        <f>HYPERLINK("https://app.vivvix.com/360/KMI/IntelliDrive/ApplUI/Pages/CreativePages/CustomReportCreativeDetail.aspx?App=23&amp;ReportView=4&amp;Qid=1711242&amp;Row=800&amp;Col=1","No Title Assigned - #15281828867")</f>
        <v>No Title Assigned - #15281828867</v>
      </c>
      <c r="B808" t="s">
        <v>1235</v>
      </c>
      <c r="E808" t="s">
        <v>15</v>
      </c>
      <c r="F808" t="s">
        <v>15</v>
      </c>
      <c r="G808" t="s">
        <v>137</v>
      </c>
      <c r="H808" s="1">
        <v>0.75419999999999998</v>
      </c>
    </row>
    <row r="809" spans="1:8" hidden="1" x14ac:dyDescent="0.25">
      <c r="A809" s="5" t="str">
        <f>HYPERLINK("https://app.vivvix.com/360/KMI/IntelliDrive/ApplUI/Pages/CreativePages/CustomReportCreativeDetail.aspx?App=23&amp;ReportView=4&amp;Qid=1711242&amp;Row=801&amp;Col=1","No Title Assigned - #15281830450")</f>
        <v>No Title Assigned - #15281830450</v>
      </c>
      <c r="B809" t="s">
        <v>1236</v>
      </c>
      <c r="E809" t="s">
        <v>15</v>
      </c>
      <c r="F809" t="s">
        <v>15</v>
      </c>
      <c r="G809" t="s">
        <v>137</v>
      </c>
      <c r="H809" s="1">
        <v>17116.355299999999</v>
      </c>
    </row>
    <row r="810" spans="1:8" hidden="1" x14ac:dyDescent="0.25">
      <c r="A810" s="5" t="str">
        <f>HYPERLINK("https://app.vivvix.com/360/KMI/IntelliDrive/ApplUI/Pages/CreativePages/CustomReportCreativeDetail.aspx?App=23&amp;ReportView=4&amp;Qid=1711242&amp;Row=802&amp;Col=1","No Title Assigned - #15281831542")</f>
        <v>No Title Assigned - #15281831542</v>
      </c>
      <c r="B810" t="s">
        <v>1237</v>
      </c>
      <c r="E810" t="s">
        <v>15</v>
      </c>
      <c r="F810" t="s">
        <v>15</v>
      </c>
      <c r="G810" t="s">
        <v>137</v>
      </c>
      <c r="H810" s="1">
        <v>0.50280000000000002</v>
      </c>
    </row>
    <row r="811" spans="1:8" hidden="1" x14ac:dyDescent="0.25">
      <c r="A811" s="5" t="str">
        <f>HYPERLINK("https://app.vivvix.com/360/KMI/IntelliDrive/ApplUI/Pages/CreativePages/CustomReportCreativeDetail.aspx?App=23&amp;ReportView=4&amp;Qid=1711242&amp;Row=803&amp;Col=1","No Title Assigned - #15281843616")</f>
        <v>No Title Assigned - #15281843616</v>
      </c>
      <c r="B811" t="s">
        <v>1238</v>
      </c>
      <c r="E811" t="s">
        <v>15</v>
      </c>
      <c r="F811" t="s">
        <v>15</v>
      </c>
      <c r="G811" t="s">
        <v>137</v>
      </c>
      <c r="H811" s="1">
        <v>270.31979999999999</v>
      </c>
    </row>
    <row r="812" spans="1:8" hidden="1" x14ac:dyDescent="0.25">
      <c r="A812" s="5" t="str">
        <f>HYPERLINK("https://app.vivvix.com/360/KMI/IntelliDrive/ApplUI/Pages/CreativePages/CustomReportCreativeDetail.aspx?App=23&amp;ReportView=4&amp;Qid=1711242&amp;Row=804&amp;Col=1","No Title Assigned - #15281875865")</f>
        <v>No Title Assigned - #15281875865</v>
      </c>
      <c r="B812" t="s">
        <v>1239</v>
      </c>
      <c r="E812" t="s">
        <v>15</v>
      </c>
      <c r="F812" t="s">
        <v>15</v>
      </c>
      <c r="G812" t="s">
        <v>137</v>
      </c>
      <c r="H812" s="1">
        <v>2.2625999999999999</v>
      </c>
    </row>
    <row r="813" spans="1:8" hidden="1" x14ac:dyDescent="0.25">
      <c r="A813" s="5" t="str">
        <f>HYPERLINK("https://app.vivvix.com/360/KMI/IntelliDrive/ApplUI/Pages/CreativePages/CustomReportCreativeDetail.aspx?App=23&amp;ReportView=4&amp;Qid=1711242&amp;Row=805&amp;Col=1","No Title Assigned - #15281880717")</f>
        <v>No Title Assigned - #15281880717</v>
      </c>
      <c r="B813" t="s">
        <v>1240</v>
      </c>
      <c r="E813" t="s">
        <v>15</v>
      </c>
      <c r="F813" t="s">
        <v>15</v>
      </c>
      <c r="G813" t="s">
        <v>137</v>
      </c>
      <c r="H813" s="1">
        <v>576.32870000000003</v>
      </c>
    </row>
    <row r="814" spans="1:8" hidden="1" x14ac:dyDescent="0.25">
      <c r="A814" s="5" t="str">
        <f>HYPERLINK("https://app.vivvix.com/360/KMI/IntelliDrive/ApplUI/Pages/CreativePages/CustomReportCreativeDetail.aspx?App=23&amp;ReportView=4&amp;Qid=1711242&amp;Row=806&amp;Col=1","No Title Assigned - #15281925158")</f>
        <v>No Title Assigned - #15281925158</v>
      </c>
      <c r="B814" t="s">
        <v>1241</v>
      </c>
      <c r="E814" t="s">
        <v>15</v>
      </c>
      <c r="F814" t="s">
        <v>15</v>
      </c>
      <c r="G814" t="s">
        <v>137</v>
      </c>
      <c r="H814" s="1">
        <v>5682.4861000000001</v>
      </c>
    </row>
    <row r="815" spans="1:8" hidden="1" x14ac:dyDescent="0.25">
      <c r="A815" s="5" t="str">
        <f>HYPERLINK("https://app.vivvix.com/360/KMI/IntelliDrive/ApplUI/Pages/CreativePages/CustomReportCreativeDetail.aspx?App=23&amp;ReportView=4&amp;Qid=1711242&amp;Row=807&amp;Col=1","No Title Assigned - #15281956474")</f>
        <v>No Title Assigned - #15281956474</v>
      </c>
      <c r="B815" t="s">
        <v>1242</v>
      </c>
      <c r="C815" t="s">
        <v>1243</v>
      </c>
      <c r="D815" t="s">
        <v>1243</v>
      </c>
      <c r="E815" t="s">
        <v>15</v>
      </c>
      <c r="F815" t="s">
        <v>20</v>
      </c>
      <c r="G815" t="s">
        <v>31</v>
      </c>
      <c r="H815" s="1">
        <v>225.26650000000001</v>
      </c>
    </row>
    <row r="816" spans="1:8" hidden="1" x14ac:dyDescent="0.25">
      <c r="A816" s="5" t="str">
        <f>HYPERLINK("https://app.vivvix.com/360/KMI/IntelliDrive/ApplUI/Pages/CreativePages/CustomReportCreativeDetail.aspx?App=23&amp;ReportView=4&amp;Qid=1711242&amp;Row=808&amp;Col=1","No Title Assigned - #15282013472")</f>
        <v>No Title Assigned - #15282013472</v>
      </c>
      <c r="B816" t="s">
        <v>1244</v>
      </c>
      <c r="C816" t="s">
        <v>1245</v>
      </c>
      <c r="D816" t="s">
        <v>1245</v>
      </c>
      <c r="E816" t="s">
        <v>15</v>
      </c>
      <c r="F816" t="s">
        <v>20</v>
      </c>
      <c r="G816" t="s">
        <v>31</v>
      </c>
      <c r="H816" s="1">
        <v>180.2132</v>
      </c>
    </row>
    <row r="817" spans="1:8" hidden="1" x14ac:dyDescent="0.25">
      <c r="A817" s="5" t="str">
        <f>HYPERLINK("https://app.vivvix.com/360/KMI/IntelliDrive/ApplUI/Pages/CreativePages/CustomReportCreativeDetail.aspx?App=23&amp;ReportView=4&amp;Qid=1711242&amp;Row=809&amp;Col=1","No Title Assigned - #15282045193")</f>
        <v>No Title Assigned - #15282045193</v>
      </c>
      <c r="B817" t="s">
        <v>1246</v>
      </c>
      <c r="C817" t="s">
        <v>1247</v>
      </c>
      <c r="D817" t="s">
        <v>1247</v>
      </c>
      <c r="E817" t="s">
        <v>15</v>
      </c>
      <c r="F817" t="s">
        <v>181</v>
      </c>
      <c r="G817" t="s">
        <v>182</v>
      </c>
      <c r="H817" s="1">
        <v>530.87279999999998</v>
      </c>
    </row>
    <row r="818" spans="1:8" hidden="1" x14ac:dyDescent="0.25">
      <c r="A818" s="5" t="str">
        <f>HYPERLINK("https://app.vivvix.com/360/KMI/IntelliDrive/ApplUI/Pages/CreativePages/CustomReportCreativeDetail.aspx?App=23&amp;ReportView=4&amp;Qid=1711242&amp;Row=810&amp;Col=1","No Title Assigned - #15282057087")</f>
        <v>No Title Assigned - #15282057087</v>
      </c>
      <c r="B818" t="s">
        <v>1248</v>
      </c>
      <c r="E818" t="s">
        <v>15</v>
      </c>
      <c r="F818" t="s">
        <v>15</v>
      </c>
      <c r="G818" t="s">
        <v>137</v>
      </c>
      <c r="H818" s="1">
        <v>90.1066</v>
      </c>
    </row>
    <row r="819" spans="1:8" hidden="1" x14ac:dyDescent="0.25">
      <c r="A819" s="5" t="str">
        <f>HYPERLINK("https://app.vivvix.com/360/KMI/IntelliDrive/ApplUI/Pages/CreativePages/CustomReportCreativeDetail.aspx?App=23&amp;ReportView=4&amp;Qid=1711242&amp;Row=811&amp;Col=1","No Title Assigned - #15282063954")</f>
        <v>No Title Assigned - #15282063954</v>
      </c>
      <c r="B819" t="s">
        <v>1249</v>
      </c>
      <c r="C819" t="s">
        <v>1250</v>
      </c>
      <c r="D819" t="s">
        <v>1250</v>
      </c>
      <c r="E819" t="s">
        <v>15</v>
      </c>
      <c r="F819" t="s">
        <v>15</v>
      </c>
      <c r="G819" t="s">
        <v>119</v>
      </c>
      <c r="H819" s="1">
        <v>1045.4129</v>
      </c>
    </row>
    <row r="820" spans="1:8" hidden="1" x14ac:dyDescent="0.25">
      <c r="A820" s="5" t="str">
        <f>HYPERLINK("https://app.vivvix.com/360/KMI/IntelliDrive/ApplUI/Pages/CreativePages/CustomReportCreativeDetail.aspx?App=23&amp;ReportView=4&amp;Qid=1711242&amp;Row=812&amp;Col=1","No Title Assigned - #15282075627")</f>
        <v>No Title Assigned - #15282075627</v>
      </c>
      <c r="B820" t="s">
        <v>1251</v>
      </c>
      <c r="C820" t="s">
        <v>1252</v>
      </c>
      <c r="D820" t="s">
        <v>1252</v>
      </c>
      <c r="E820" t="s">
        <v>15</v>
      </c>
      <c r="F820" t="s">
        <v>20</v>
      </c>
      <c r="G820" t="s">
        <v>31</v>
      </c>
      <c r="H820" s="1">
        <v>225.26650000000001</v>
      </c>
    </row>
    <row r="821" spans="1:8" hidden="1" x14ac:dyDescent="0.25">
      <c r="A821" s="5" t="str">
        <f>HYPERLINK("https://app.vivvix.com/360/KMI/IntelliDrive/ApplUI/Pages/CreativePages/CustomReportCreativeDetail.aspx?App=23&amp;ReportView=4&amp;Qid=1711242&amp;Row=813&amp;Col=1","No Title Assigned - #15282104499")</f>
        <v>No Title Assigned - #15282104499</v>
      </c>
      <c r="B821" t="s">
        <v>1253</v>
      </c>
      <c r="E821" t="s">
        <v>15</v>
      </c>
      <c r="F821" t="s">
        <v>15</v>
      </c>
      <c r="G821" t="s">
        <v>137</v>
      </c>
      <c r="H821" s="1">
        <v>713.87159999999994</v>
      </c>
    </row>
    <row r="822" spans="1:8" hidden="1" x14ac:dyDescent="0.25">
      <c r="A822" s="5" t="str">
        <f>HYPERLINK("https://app.vivvix.com/360/KMI/IntelliDrive/ApplUI/Pages/CreativePages/CustomReportCreativeDetail.aspx?App=23&amp;ReportView=4&amp;Qid=1711242&amp;Row=814&amp;Col=1","No Title Assigned - #15282134287")</f>
        <v>No Title Assigned - #15282134287</v>
      </c>
      <c r="B822" t="s">
        <v>1254</v>
      </c>
      <c r="C822" t="s">
        <v>1255</v>
      </c>
      <c r="D822" t="s">
        <v>1255</v>
      </c>
      <c r="E822" t="s">
        <v>15</v>
      </c>
      <c r="F822" t="s">
        <v>20</v>
      </c>
      <c r="G822" t="s">
        <v>31</v>
      </c>
      <c r="H822" s="1">
        <v>90.1066</v>
      </c>
    </row>
    <row r="823" spans="1:8" hidden="1" x14ac:dyDescent="0.25">
      <c r="A823" s="5" t="str">
        <f>HYPERLINK("https://app.vivvix.com/360/KMI/IntelliDrive/ApplUI/Pages/CreativePages/CustomReportCreativeDetail.aspx?App=23&amp;ReportView=4&amp;Qid=1711242&amp;Row=815&amp;Col=1","No Title Assigned - #15282134288")</f>
        <v>No Title Assigned - #15282134288</v>
      </c>
      <c r="B823" t="s">
        <v>1256</v>
      </c>
      <c r="C823" t="s">
        <v>1257</v>
      </c>
      <c r="D823" t="s">
        <v>1257</v>
      </c>
      <c r="E823" t="s">
        <v>15</v>
      </c>
      <c r="F823" t="s">
        <v>20</v>
      </c>
      <c r="G823" t="s">
        <v>31</v>
      </c>
      <c r="H823" s="1">
        <v>135.15989999999999</v>
      </c>
    </row>
    <row r="824" spans="1:8" hidden="1" x14ac:dyDescent="0.25">
      <c r="A824" s="5" t="str">
        <f>HYPERLINK("https://app.vivvix.com/360/KMI/IntelliDrive/ApplUI/Pages/CreativePages/CustomReportCreativeDetail.aspx?App=23&amp;ReportView=4&amp;Qid=1711242&amp;Row=816&amp;Col=1","No Title Assigned - #15282157512")</f>
        <v>No Title Assigned - #15282157512</v>
      </c>
      <c r="B824" t="s">
        <v>1258</v>
      </c>
      <c r="E824" t="s">
        <v>15</v>
      </c>
      <c r="F824" t="s">
        <v>15</v>
      </c>
      <c r="G824" t="s">
        <v>137</v>
      </c>
      <c r="H824" s="1">
        <v>45.0533</v>
      </c>
    </row>
    <row r="825" spans="1:8" hidden="1" x14ac:dyDescent="0.25">
      <c r="A825" s="5" t="str">
        <f>HYPERLINK("https://app.vivvix.com/360/KMI/IntelliDrive/ApplUI/Pages/CreativePages/CustomReportCreativeDetail.aspx?App=23&amp;ReportView=4&amp;Qid=1711242&amp;Row=817&amp;Col=1","No Title Assigned - #15282163411")</f>
        <v>No Title Assigned - #15282163411</v>
      </c>
      <c r="B825" t="s">
        <v>1259</v>
      </c>
      <c r="E825" t="s">
        <v>15</v>
      </c>
      <c r="F825" t="s">
        <v>15</v>
      </c>
      <c r="G825" t="s">
        <v>137</v>
      </c>
      <c r="H825" s="1">
        <v>450.07659999999998</v>
      </c>
    </row>
    <row r="826" spans="1:8" hidden="1" x14ac:dyDescent="0.25">
      <c r="A826" s="5" t="str">
        <f>HYPERLINK("https://app.vivvix.com/360/KMI/IntelliDrive/ApplUI/Pages/CreativePages/CustomReportCreativeDetail.aspx?App=23&amp;ReportView=4&amp;Qid=1711242&amp;Row=818&amp;Col=1","No Title Assigned - #15282168433")</f>
        <v>No Title Assigned - #15282168433</v>
      </c>
      <c r="B826" t="s">
        <v>1260</v>
      </c>
      <c r="E826" t="s">
        <v>15</v>
      </c>
      <c r="F826" t="s">
        <v>15</v>
      </c>
      <c r="G826" t="s">
        <v>137</v>
      </c>
      <c r="H826" s="1">
        <v>90.1066</v>
      </c>
    </row>
    <row r="827" spans="1:8" hidden="1" x14ac:dyDescent="0.25">
      <c r="A827" s="5" t="str">
        <f>HYPERLINK("https://app.vivvix.com/360/KMI/IntelliDrive/ApplUI/Pages/CreativePages/CustomReportCreativeDetail.aspx?App=23&amp;ReportView=4&amp;Qid=1711242&amp;Row=819&amp;Col=1","No Title Assigned - #15282172527")</f>
        <v>No Title Assigned - #15282172527</v>
      </c>
      <c r="B827" t="s">
        <v>1261</v>
      </c>
      <c r="C827" t="s">
        <v>1262</v>
      </c>
      <c r="D827" t="s">
        <v>1262</v>
      </c>
      <c r="E827" t="s">
        <v>15</v>
      </c>
      <c r="F827" t="s">
        <v>15</v>
      </c>
      <c r="G827" t="s">
        <v>846</v>
      </c>
      <c r="H827" s="1">
        <v>697.67529999999999</v>
      </c>
    </row>
    <row r="828" spans="1:8" hidden="1" x14ac:dyDescent="0.25">
      <c r="A828" s="5" t="str">
        <f>HYPERLINK("https://app.vivvix.com/360/KMI/IntelliDrive/ApplUI/Pages/CreativePages/CustomReportCreativeDetail.aspx?App=23&amp;ReportView=4&amp;Qid=1711242&amp;Row=820&amp;Col=1","No Title Assigned - #15282217860")</f>
        <v>No Title Assigned - #15282217860</v>
      </c>
      <c r="B828" t="s">
        <v>1263</v>
      </c>
      <c r="C828" t="s">
        <v>1264</v>
      </c>
      <c r="D828" t="s">
        <v>1264</v>
      </c>
      <c r="E828" t="s">
        <v>15</v>
      </c>
      <c r="F828" t="s">
        <v>133</v>
      </c>
      <c r="G828" t="s">
        <v>187</v>
      </c>
      <c r="H828" s="1">
        <v>1061.4027000000001</v>
      </c>
    </row>
    <row r="829" spans="1:8" hidden="1" x14ac:dyDescent="0.25">
      <c r="A829" s="5" t="str">
        <f>HYPERLINK("https://app.vivvix.com/360/KMI/IntelliDrive/ApplUI/Pages/CreativePages/CustomReportCreativeDetail.aspx?App=23&amp;ReportView=4&amp;Qid=1711242&amp;Row=821&amp;Col=1","No Title Assigned - #15282224956")</f>
        <v>No Title Assigned - #15282224956</v>
      </c>
      <c r="B829" t="s">
        <v>1265</v>
      </c>
      <c r="C829" t="s">
        <v>1266</v>
      </c>
      <c r="D829" t="s">
        <v>1266</v>
      </c>
      <c r="E829" t="s">
        <v>15</v>
      </c>
      <c r="F829" t="s">
        <v>20</v>
      </c>
      <c r="G829" t="s">
        <v>31</v>
      </c>
      <c r="H829" s="1">
        <v>45.0533</v>
      </c>
    </row>
    <row r="830" spans="1:8" hidden="1" x14ac:dyDescent="0.25">
      <c r="A830" s="5" t="str">
        <f>HYPERLINK("https://app.vivvix.com/360/KMI/IntelliDrive/ApplUI/Pages/CreativePages/CustomReportCreativeDetail.aspx?App=23&amp;ReportView=4&amp;Qid=1711242&amp;Row=822&amp;Col=1","No Title Assigned - #15282238953")</f>
        <v>No Title Assigned - #15282238953</v>
      </c>
      <c r="B830" t="s">
        <v>1267</v>
      </c>
      <c r="E830" t="s">
        <v>15</v>
      </c>
      <c r="F830" t="s">
        <v>15</v>
      </c>
      <c r="G830" t="s">
        <v>137</v>
      </c>
      <c r="H830" s="1">
        <v>180.2132</v>
      </c>
    </row>
    <row r="831" spans="1:8" hidden="1" x14ac:dyDescent="0.25">
      <c r="A831" s="5" t="str">
        <f>HYPERLINK("https://app.vivvix.com/360/KMI/IntelliDrive/ApplUI/Pages/CreativePages/CustomReportCreativeDetail.aspx?App=23&amp;ReportView=4&amp;Qid=1711242&amp;Row=823&amp;Col=1","No Title Assigned - #15282261599")</f>
        <v>No Title Assigned - #15282261599</v>
      </c>
      <c r="B831" t="s">
        <v>1268</v>
      </c>
      <c r="E831" t="s">
        <v>15</v>
      </c>
      <c r="F831" t="s">
        <v>15</v>
      </c>
      <c r="G831" t="s">
        <v>137</v>
      </c>
      <c r="H831" s="1">
        <v>0.50280000000000002</v>
      </c>
    </row>
    <row r="832" spans="1:8" hidden="1" x14ac:dyDescent="0.25">
      <c r="A832" s="5" t="str">
        <f>HYPERLINK("https://app.vivvix.com/360/KMI/IntelliDrive/ApplUI/Pages/CreativePages/CustomReportCreativeDetail.aspx?App=23&amp;ReportView=4&amp;Qid=1711242&amp;Row=824&amp;Col=1","No Title Assigned - #15282306118")</f>
        <v>No Title Assigned - #15282306118</v>
      </c>
      <c r="B832" t="s">
        <v>1269</v>
      </c>
      <c r="E832" t="s">
        <v>15</v>
      </c>
      <c r="F832" t="s">
        <v>15</v>
      </c>
      <c r="G832" t="s">
        <v>137</v>
      </c>
      <c r="H832" s="1">
        <v>148.43100000000001</v>
      </c>
    </row>
    <row r="833" spans="1:8" hidden="1" x14ac:dyDescent="0.25">
      <c r="A833" s="5" t="str">
        <f>HYPERLINK("https://app.vivvix.com/360/KMI/IntelliDrive/ApplUI/Pages/CreativePages/CustomReportCreativeDetail.aspx?App=23&amp;ReportView=4&amp;Qid=1711242&amp;Row=825&amp;Col=1","No Title Assigned - #15282318262")</f>
        <v>No Title Assigned - #15282318262</v>
      </c>
      <c r="B833" t="s">
        <v>1270</v>
      </c>
      <c r="E833" t="s">
        <v>15</v>
      </c>
      <c r="F833" t="s">
        <v>15</v>
      </c>
      <c r="G833" t="s">
        <v>137</v>
      </c>
      <c r="H833" s="1">
        <v>8025.7830000000004</v>
      </c>
    </row>
    <row r="834" spans="1:8" hidden="1" x14ac:dyDescent="0.25">
      <c r="A834" s="5" t="str">
        <f>HYPERLINK("https://app.vivvix.com/360/KMI/IntelliDrive/ApplUI/Pages/CreativePages/CustomReportCreativeDetail.aspx?App=23&amp;ReportView=4&amp;Qid=1711242&amp;Row=826&amp;Col=1","No Title Assigned - #15282321680")</f>
        <v>No Title Assigned - #15282321680</v>
      </c>
      <c r="B834" t="s">
        <v>1271</v>
      </c>
      <c r="C834" t="s">
        <v>1272</v>
      </c>
      <c r="D834" t="s">
        <v>1272</v>
      </c>
      <c r="E834" t="s">
        <v>15</v>
      </c>
      <c r="F834" t="s">
        <v>20</v>
      </c>
      <c r="G834" t="s">
        <v>31</v>
      </c>
      <c r="H834" s="1">
        <v>45.0533</v>
      </c>
    </row>
    <row r="835" spans="1:8" hidden="1" x14ac:dyDescent="0.25">
      <c r="A835" s="5" t="str">
        <f>HYPERLINK("https://app.vivvix.com/360/KMI/IntelliDrive/ApplUI/Pages/CreativePages/CustomReportCreativeDetail.aspx?App=23&amp;ReportView=4&amp;Qid=1711242&amp;Row=827&amp;Col=1","No Title Assigned - #15282337444")</f>
        <v>No Title Assigned - #15282337444</v>
      </c>
      <c r="B835" t="s">
        <v>1273</v>
      </c>
      <c r="E835" t="s">
        <v>15</v>
      </c>
      <c r="F835" t="s">
        <v>15</v>
      </c>
      <c r="G835" t="s">
        <v>137</v>
      </c>
      <c r="H835" s="1">
        <v>51.752800000000001</v>
      </c>
    </row>
    <row r="836" spans="1:8" hidden="1" x14ac:dyDescent="0.25">
      <c r="A836" s="5" t="str">
        <f>HYPERLINK("https://app.vivvix.com/360/KMI/IntelliDrive/ApplUI/Pages/CreativePages/CustomReportCreativeDetail.aspx?App=23&amp;ReportView=4&amp;Qid=1711242&amp;Row=828&amp;Col=1","No Title Assigned - #15282348765")</f>
        <v>No Title Assigned - #15282348765</v>
      </c>
      <c r="B836" t="s">
        <v>1274</v>
      </c>
      <c r="E836" t="s">
        <v>15</v>
      </c>
      <c r="F836" t="s">
        <v>15</v>
      </c>
      <c r="G836" t="s">
        <v>137</v>
      </c>
      <c r="H836" s="1">
        <v>0.25140000000000001</v>
      </c>
    </row>
    <row r="837" spans="1:8" hidden="1" x14ac:dyDescent="0.25">
      <c r="A837" s="5" t="str">
        <f>HYPERLINK("https://app.vivvix.com/360/KMI/IntelliDrive/ApplUI/Pages/CreativePages/CustomReportCreativeDetail.aspx?App=23&amp;ReportView=4&amp;Qid=1711242&amp;Row=829&amp;Col=1","No Title Assigned - #15282356429")</f>
        <v>No Title Assigned - #15282356429</v>
      </c>
      <c r="B837" t="s">
        <v>1275</v>
      </c>
      <c r="C837" t="s">
        <v>1276</v>
      </c>
      <c r="D837" t="s">
        <v>1276</v>
      </c>
      <c r="E837" t="s">
        <v>15</v>
      </c>
      <c r="F837" t="s">
        <v>20</v>
      </c>
      <c r="G837" t="s">
        <v>31</v>
      </c>
      <c r="H837" s="1">
        <v>45.0533</v>
      </c>
    </row>
    <row r="838" spans="1:8" hidden="1" x14ac:dyDescent="0.25">
      <c r="A838" s="5" t="str">
        <f>HYPERLINK("https://app.vivvix.com/360/KMI/IntelliDrive/ApplUI/Pages/CreativePages/CustomReportCreativeDetail.aspx?App=23&amp;ReportView=4&amp;Qid=1711242&amp;Row=830&amp;Col=1","No Title Assigned - #15282356430")</f>
        <v>No Title Assigned - #15282356430</v>
      </c>
      <c r="B838" t="s">
        <v>1277</v>
      </c>
      <c r="C838" t="s">
        <v>1278</v>
      </c>
      <c r="D838" t="s">
        <v>1278</v>
      </c>
      <c r="E838" t="s">
        <v>15</v>
      </c>
      <c r="F838" t="s">
        <v>20</v>
      </c>
      <c r="G838" t="s">
        <v>31</v>
      </c>
      <c r="H838" s="1">
        <v>45.0533</v>
      </c>
    </row>
    <row r="839" spans="1:8" hidden="1" x14ac:dyDescent="0.25">
      <c r="A839" s="5" t="str">
        <f>HYPERLINK("https://app.vivvix.com/360/KMI/IntelliDrive/ApplUI/Pages/CreativePages/CustomReportCreativeDetail.aspx?App=23&amp;ReportView=4&amp;Qid=1711242&amp;Row=831&amp;Col=1","No Title Assigned - #15282361253")</f>
        <v>No Title Assigned - #15282361253</v>
      </c>
      <c r="B839" t="s">
        <v>1279</v>
      </c>
      <c r="E839" t="s">
        <v>15</v>
      </c>
      <c r="F839" t="s">
        <v>15</v>
      </c>
      <c r="G839" t="s">
        <v>137</v>
      </c>
      <c r="H839" s="1">
        <v>6421.7485999999999</v>
      </c>
    </row>
    <row r="840" spans="1:8" hidden="1" x14ac:dyDescent="0.25">
      <c r="A840" s="5" t="str">
        <f>HYPERLINK("https://app.vivvix.com/360/KMI/IntelliDrive/ApplUI/Pages/CreativePages/CustomReportCreativeDetail.aspx?App=23&amp;ReportView=4&amp;Qid=1711242&amp;Row=832&amp;Col=1","No Title Assigned - #15282401018")</f>
        <v>No Title Assigned - #15282401018</v>
      </c>
      <c r="B840" t="s">
        <v>1280</v>
      </c>
      <c r="C840" t="s">
        <v>1281</v>
      </c>
      <c r="D840" t="s">
        <v>1281</v>
      </c>
      <c r="E840" t="s">
        <v>15</v>
      </c>
      <c r="F840" t="s">
        <v>20</v>
      </c>
      <c r="G840" t="s">
        <v>31</v>
      </c>
      <c r="H840" s="1">
        <v>4.7130000000000001</v>
      </c>
    </row>
    <row r="841" spans="1:8" hidden="1" x14ac:dyDescent="0.25">
      <c r="A841" s="5" t="str">
        <f>HYPERLINK("https://app.vivvix.com/360/KMI/IntelliDrive/ApplUI/Pages/CreativePages/CustomReportCreativeDetail.aspx?App=23&amp;ReportView=4&amp;Qid=1711242&amp;Row=833&amp;Col=1","No Title Assigned - #15282450262")</f>
        <v>No Title Assigned - #15282450262</v>
      </c>
      <c r="B841" t="s">
        <v>1282</v>
      </c>
      <c r="E841" t="s">
        <v>15</v>
      </c>
      <c r="F841" t="s">
        <v>15</v>
      </c>
      <c r="G841" t="s">
        <v>137</v>
      </c>
      <c r="H841" s="1">
        <v>0.25140000000000001</v>
      </c>
    </row>
    <row r="842" spans="1:8" hidden="1" x14ac:dyDescent="0.25">
      <c r="A842" s="5" t="str">
        <f>HYPERLINK("https://app.vivvix.com/360/KMI/IntelliDrive/ApplUI/Pages/CreativePages/CustomReportCreativeDetail.aspx?App=23&amp;ReportView=4&amp;Qid=1711242&amp;Row=834&amp;Col=1","No Title Assigned - #15282450263")</f>
        <v>No Title Assigned - #15282450263</v>
      </c>
      <c r="B842" t="s">
        <v>1283</v>
      </c>
      <c r="E842" t="s">
        <v>15</v>
      </c>
      <c r="F842" t="s">
        <v>15</v>
      </c>
      <c r="G842" t="s">
        <v>137</v>
      </c>
      <c r="H842" s="1">
        <v>0.25140000000000001</v>
      </c>
    </row>
    <row r="843" spans="1:8" hidden="1" x14ac:dyDescent="0.25">
      <c r="A843" s="5" t="str">
        <f>HYPERLINK("https://app.vivvix.com/360/KMI/IntelliDrive/ApplUI/Pages/CreativePages/CustomReportCreativeDetail.aspx?App=23&amp;ReportView=4&amp;Qid=1711242&amp;Row=835&amp;Col=1","No Title Assigned - #15282450725")</f>
        <v>No Title Assigned - #15282450725</v>
      </c>
      <c r="B843" t="s">
        <v>1284</v>
      </c>
      <c r="E843" t="s">
        <v>15</v>
      </c>
      <c r="F843" t="s">
        <v>15</v>
      </c>
      <c r="G843" t="s">
        <v>137</v>
      </c>
      <c r="H843" s="1">
        <v>0.25140000000000001</v>
      </c>
    </row>
    <row r="844" spans="1:8" hidden="1" x14ac:dyDescent="0.25">
      <c r="A844" s="5" t="str">
        <f>HYPERLINK("https://app.vivvix.com/360/KMI/IntelliDrive/ApplUI/Pages/CreativePages/CustomReportCreativeDetail.aspx?App=23&amp;ReportView=4&amp;Qid=1711242&amp;Row=836&amp;Col=1","No Title Assigned - #15282457228")</f>
        <v>No Title Assigned - #15282457228</v>
      </c>
      <c r="B844" t="s">
        <v>1285</v>
      </c>
      <c r="E844" t="s">
        <v>15</v>
      </c>
      <c r="F844" t="s">
        <v>15</v>
      </c>
      <c r="G844" t="s">
        <v>137</v>
      </c>
      <c r="H844" s="1">
        <v>0.50280000000000002</v>
      </c>
    </row>
    <row r="845" spans="1:8" hidden="1" x14ac:dyDescent="0.25">
      <c r="A845" s="5" t="str">
        <f>HYPERLINK("https://app.vivvix.com/360/KMI/IntelliDrive/ApplUI/Pages/CreativePages/CustomReportCreativeDetail.aspx?App=23&amp;ReportView=4&amp;Qid=1711242&amp;Row=837&amp;Col=1","No Title Assigned - #15282507867")</f>
        <v>No Title Assigned - #15282507867</v>
      </c>
      <c r="B845" t="s">
        <v>1286</v>
      </c>
      <c r="E845" t="s">
        <v>15</v>
      </c>
      <c r="F845" t="s">
        <v>15</v>
      </c>
      <c r="G845" t="s">
        <v>137</v>
      </c>
      <c r="H845" s="1">
        <v>0.25140000000000001</v>
      </c>
    </row>
    <row r="846" spans="1:8" hidden="1" x14ac:dyDescent="0.25">
      <c r="A846" s="5" t="str">
        <f>HYPERLINK("https://app.vivvix.com/360/KMI/IntelliDrive/ApplUI/Pages/CreativePages/CustomReportCreativeDetail.aspx?App=23&amp;ReportView=4&amp;Qid=1711242&amp;Row=838&amp;Col=1","No Title Assigned - #15282556921")</f>
        <v>No Title Assigned - #15282556921</v>
      </c>
      <c r="B846" t="s">
        <v>1287</v>
      </c>
      <c r="E846" t="s">
        <v>15</v>
      </c>
      <c r="F846" t="s">
        <v>15</v>
      </c>
      <c r="G846" t="s">
        <v>137</v>
      </c>
      <c r="H846" s="1">
        <v>1.5084</v>
      </c>
    </row>
    <row r="847" spans="1:8" hidden="1" x14ac:dyDescent="0.25">
      <c r="A847" s="5" t="str">
        <f>HYPERLINK("https://app.vivvix.com/360/KMI/IntelliDrive/ApplUI/Pages/CreativePages/CustomReportCreativeDetail.aspx?App=23&amp;ReportView=4&amp;Qid=1711242&amp;Row=839&amp;Col=1","No Title Assigned - #15282562895")</f>
        <v>No Title Assigned - #15282562895</v>
      </c>
      <c r="B847" t="s">
        <v>1288</v>
      </c>
      <c r="E847" t="s">
        <v>15</v>
      </c>
      <c r="F847" t="s">
        <v>15</v>
      </c>
      <c r="G847" t="s">
        <v>137</v>
      </c>
      <c r="H847" s="1">
        <v>0.50280000000000002</v>
      </c>
    </row>
    <row r="848" spans="1:8" hidden="1" x14ac:dyDescent="0.25">
      <c r="A848" s="5" t="str">
        <f>HYPERLINK("https://app.vivvix.com/360/KMI/IntelliDrive/ApplUI/Pages/CreativePages/CustomReportCreativeDetail.aspx?App=23&amp;ReportView=4&amp;Qid=1711242&amp;Row=840&amp;Col=1","No Title Assigned - #15282614007")</f>
        <v>No Title Assigned - #15282614007</v>
      </c>
      <c r="B848" t="s">
        <v>1289</v>
      </c>
      <c r="E848" t="s">
        <v>15</v>
      </c>
      <c r="F848" t="s">
        <v>15</v>
      </c>
      <c r="G848" t="s">
        <v>137</v>
      </c>
      <c r="H848" s="1">
        <v>0.25140000000000001</v>
      </c>
    </row>
    <row r="849" spans="1:8" hidden="1" x14ac:dyDescent="0.25">
      <c r="A849" s="5" t="str">
        <f>HYPERLINK("https://app.vivvix.com/360/KMI/IntelliDrive/ApplUI/Pages/CreativePages/CustomReportCreativeDetail.aspx?App=23&amp;ReportView=4&amp;Qid=1711242&amp;Row=841&amp;Col=1","No Title Assigned - #15282624769")</f>
        <v>No Title Assigned - #15282624769</v>
      </c>
      <c r="B849" t="s">
        <v>1290</v>
      </c>
      <c r="E849" t="s">
        <v>15</v>
      </c>
      <c r="F849" t="s">
        <v>15</v>
      </c>
      <c r="G849" t="s">
        <v>137</v>
      </c>
      <c r="H849" s="1">
        <v>0.75419999999999998</v>
      </c>
    </row>
    <row r="850" spans="1:8" hidden="1" x14ac:dyDescent="0.25">
      <c r="A850" s="5" t="str">
        <f>HYPERLINK("https://app.vivvix.com/360/KMI/IntelliDrive/ApplUI/Pages/CreativePages/CustomReportCreativeDetail.aspx?App=23&amp;ReportView=4&amp;Qid=1711242&amp;Row=842&amp;Col=1","No Title Assigned - #15282632120")</f>
        <v>No Title Assigned - #15282632120</v>
      </c>
      <c r="B850" t="s">
        <v>1291</v>
      </c>
      <c r="E850" t="s">
        <v>15</v>
      </c>
      <c r="F850" t="s">
        <v>15</v>
      </c>
      <c r="G850" t="s">
        <v>137</v>
      </c>
      <c r="H850" s="1">
        <v>0.25140000000000001</v>
      </c>
    </row>
    <row r="851" spans="1:8" hidden="1" x14ac:dyDescent="0.25">
      <c r="A851" s="5" t="str">
        <f>HYPERLINK("https://app.vivvix.com/360/KMI/IntelliDrive/ApplUI/Pages/CreativePages/CustomReportCreativeDetail.aspx?App=23&amp;ReportView=4&amp;Qid=1711242&amp;Row=843&amp;Col=1","No Title Assigned - #15282633549")</f>
        <v>No Title Assigned - #15282633549</v>
      </c>
      <c r="B851" t="s">
        <v>1292</v>
      </c>
      <c r="E851" t="s">
        <v>15</v>
      </c>
      <c r="F851" t="s">
        <v>15</v>
      </c>
      <c r="G851" t="s">
        <v>137</v>
      </c>
      <c r="H851" s="1">
        <v>7.7091000000000003</v>
      </c>
    </row>
    <row r="852" spans="1:8" x14ac:dyDescent="0.25">
      <c r="A852" s="5" t="str">
        <f>HYPERLINK("https://app.vivvix.com/360/KMI/IntelliDrive/ApplUI/Pages/CreativePages/CustomReportCreativeDetail.aspx?App=23&amp;ReportView=4&amp;Qid=1711242&amp;Row=844&amp;Col=1","No Title Assigned - #15282641480")</f>
        <v>No Title Assigned - #15282641480</v>
      </c>
      <c r="B852" t="s">
        <v>1293</v>
      </c>
      <c r="C852" t="s">
        <v>1294</v>
      </c>
      <c r="D852" t="s">
        <v>1294</v>
      </c>
      <c r="E852" t="s">
        <v>15</v>
      </c>
      <c r="F852" t="s">
        <v>50</v>
      </c>
      <c r="G852" t="s">
        <v>51</v>
      </c>
      <c r="H852" s="1">
        <v>57375.575700000001</v>
      </c>
    </row>
    <row r="853" spans="1:8" hidden="1" x14ac:dyDescent="0.25">
      <c r="A853" s="5" t="str">
        <f>HYPERLINK("https://app.vivvix.com/360/KMI/IntelliDrive/ApplUI/Pages/CreativePages/CustomReportCreativeDetail.aspx?App=23&amp;ReportView=4&amp;Qid=1711242&amp;Row=845&amp;Col=1","No Title Assigned - #15282679602")</f>
        <v>No Title Assigned - #15282679602</v>
      </c>
      <c r="B853" t="s">
        <v>1295</v>
      </c>
      <c r="C853" t="s">
        <v>1296</v>
      </c>
      <c r="D853" t="s">
        <v>1296</v>
      </c>
      <c r="E853" t="s">
        <v>15</v>
      </c>
      <c r="F853" t="s">
        <v>50</v>
      </c>
      <c r="G853" t="s">
        <v>51</v>
      </c>
      <c r="H853" s="1">
        <v>1704.1311000000001</v>
      </c>
    </row>
    <row r="854" spans="1:8" hidden="1" x14ac:dyDescent="0.25">
      <c r="A854" s="5" t="str">
        <f>HYPERLINK("https://app.vivvix.com/360/KMI/IntelliDrive/ApplUI/Pages/CreativePages/CustomReportCreativeDetail.aspx?App=23&amp;ReportView=4&amp;Qid=1711242&amp;Row=846&amp;Col=1","No Title Assigned - #15282679671")</f>
        <v>No Title Assigned - #15282679671</v>
      </c>
      <c r="B854" t="s">
        <v>1297</v>
      </c>
      <c r="C854" t="s">
        <v>1298</v>
      </c>
      <c r="D854" t="s">
        <v>1298</v>
      </c>
      <c r="E854" t="s">
        <v>15</v>
      </c>
      <c r="F854" t="s">
        <v>50</v>
      </c>
      <c r="G854" t="s">
        <v>51</v>
      </c>
      <c r="H854" s="1">
        <v>2990.2374</v>
      </c>
    </row>
    <row r="855" spans="1:8" hidden="1" x14ac:dyDescent="0.25">
      <c r="A855" s="5" t="str">
        <f>HYPERLINK("https://app.vivvix.com/360/KMI/IntelliDrive/ApplUI/Pages/CreativePages/CustomReportCreativeDetail.aspx?App=23&amp;ReportView=4&amp;Qid=1711242&amp;Row=847&amp;Col=1","No Title Assigned - #15282680424")</f>
        <v>No Title Assigned - #15282680424</v>
      </c>
      <c r="B855" t="s">
        <v>1299</v>
      </c>
      <c r="C855" t="s">
        <v>1300</v>
      </c>
      <c r="D855" t="s">
        <v>1294</v>
      </c>
      <c r="E855" t="s">
        <v>15</v>
      </c>
      <c r="F855" t="s">
        <v>50</v>
      </c>
      <c r="G855" t="s">
        <v>51</v>
      </c>
      <c r="H855" s="1">
        <v>936.71730000000002</v>
      </c>
    </row>
    <row r="856" spans="1:8" hidden="1" x14ac:dyDescent="0.25">
      <c r="A856" s="5" t="str">
        <f>HYPERLINK("https://app.vivvix.com/360/KMI/IntelliDrive/ApplUI/Pages/CreativePages/CustomReportCreativeDetail.aspx?App=23&amp;ReportView=4&amp;Qid=1711242&amp;Row=848&amp;Col=1","No Title Assigned - #15282699303")</f>
        <v>No Title Assigned - #15282699303</v>
      </c>
      <c r="B856" t="s">
        <v>1301</v>
      </c>
      <c r="E856" t="s">
        <v>15</v>
      </c>
      <c r="F856" t="s">
        <v>15</v>
      </c>
      <c r="G856" t="s">
        <v>137</v>
      </c>
      <c r="H856" s="1">
        <v>4260.1099000000004</v>
      </c>
    </row>
    <row r="857" spans="1:8" hidden="1" x14ac:dyDescent="0.25">
      <c r="A857" s="5" t="str">
        <f>HYPERLINK("https://app.vivvix.com/360/KMI/IntelliDrive/ApplUI/Pages/CreativePages/CustomReportCreativeDetail.aspx?App=23&amp;ReportView=4&amp;Qid=1711242&amp;Row=849&amp;Col=1","No Title Assigned - #15282701266")</f>
        <v>No Title Assigned - #15282701266</v>
      </c>
      <c r="B857" t="s">
        <v>1302</v>
      </c>
      <c r="E857" t="s">
        <v>15</v>
      </c>
      <c r="F857" t="s">
        <v>15</v>
      </c>
      <c r="G857" t="s">
        <v>137</v>
      </c>
      <c r="H857" s="1">
        <v>0.25140000000000001</v>
      </c>
    </row>
    <row r="858" spans="1:8" hidden="1" x14ac:dyDescent="0.25">
      <c r="A858" s="5" t="str">
        <f>HYPERLINK("https://app.vivvix.com/360/KMI/IntelliDrive/ApplUI/Pages/CreativePages/CustomReportCreativeDetail.aspx?App=23&amp;ReportView=4&amp;Qid=1711242&amp;Row=850&amp;Col=1","No Title Assigned - #15282754983")</f>
        <v>No Title Assigned - #15282754983</v>
      </c>
      <c r="B858" t="s">
        <v>1303</v>
      </c>
      <c r="E858" t="s">
        <v>15</v>
      </c>
      <c r="F858" t="s">
        <v>15</v>
      </c>
      <c r="G858" t="s">
        <v>137</v>
      </c>
      <c r="H858" s="1">
        <v>0.25140000000000001</v>
      </c>
    </row>
    <row r="859" spans="1:8" hidden="1" x14ac:dyDescent="0.25">
      <c r="A859" s="5" t="str">
        <f>HYPERLINK("https://app.vivvix.com/360/KMI/IntelliDrive/ApplUI/Pages/CreativePages/CustomReportCreativeDetail.aspx?App=23&amp;ReportView=4&amp;Qid=1711242&amp;Row=851&amp;Col=1","No Title Assigned - #15282763236")</f>
        <v>No Title Assigned - #15282763236</v>
      </c>
      <c r="B859" t="s">
        <v>1304</v>
      </c>
      <c r="E859" t="s">
        <v>15</v>
      </c>
      <c r="F859" t="s">
        <v>15</v>
      </c>
      <c r="G859" t="s">
        <v>137</v>
      </c>
      <c r="H859" s="1">
        <v>0.25140000000000001</v>
      </c>
    </row>
    <row r="860" spans="1:8" hidden="1" x14ac:dyDescent="0.25">
      <c r="A860" s="5" t="str">
        <f>HYPERLINK("https://app.vivvix.com/360/KMI/IntelliDrive/ApplUI/Pages/CreativePages/CustomReportCreativeDetail.aspx?App=23&amp;ReportView=4&amp;Qid=1711242&amp;Row=852&amp;Col=1","No Title Assigned - #15282769127")</f>
        <v>No Title Assigned - #15282769127</v>
      </c>
      <c r="B860" t="s">
        <v>1305</v>
      </c>
      <c r="E860" t="s">
        <v>15</v>
      </c>
      <c r="F860" t="s">
        <v>15</v>
      </c>
      <c r="G860" t="s">
        <v>137</v>
      </c>
      <c r="H860" s="1">
        <v>0.25140000000000001</v>
      </c>
    </row>
    <row r="861" spans="1:8" hidden="1" x14ac:dyDescent="0.25">
      <c r="A861" s="5" t="str">
        <f>HYPERLINK("https://app.vivvix.com/360/KMI/IntelliDrive/ApplUI/Pages/CreativePages/CustomReportCreativeDetail.aspx?App=23&amp;ReportView=4&amp;Qid=1711242&amp;Row=853&amp;Col=1","No Title Assigned - #15282770124")</f>
        <v>No Title Assigned - #15282770124</v>
      </c>
      <c r="B861" t="s">
        <v>1306</v>
      </c>
      <c r="E861" t="s">
        <v>15</v>
      </c>
      <c r="F861" t="s">
        <v>15</v>
      </c>
      <c r="G861" t="s">
        <v>137</v>
      </c>
      <c r="H861" s="1">
        <v>0.25140000000000001</v>
      </c>
    </row>
    <row r="862" spans="1:8" hidden="1" x14ac:dyDescent="0.25">
      <c r="A862" s="5" t="str">
        <f>HYPERLINK("https://app.vivvix.com/360/KMI/IntelliDrive/ApplUI/Pages/CreativePages/CustomReportCreativeDetail.aspx?App=23&amp;ReportView=4&amp;Qid=1711242&amp;Row=854&amp;Col=1","No Title Assigned - #15282788246")</f>
        <v>No Title Assigned - #15282788246</v>
      </c>
      <c r="B862" t="s">
        <v>1307</v>
      </c>
      <c r="C862" t="s">
        <v>1308</v>
      </c>
      <c r="D862" t="s">
        <v>1308</v>
      </c>
      <c r="E862" t="s">
        <v>15</v>
      </c>
      <c r="F862" t="s">
        <v>20</v>
      </c>
      <c r="G862" t="s">
        <v>31</v>
      </c>
      <c r="H862" s="1">
        <v>39.363900000000001</v>
      </c>
    </row>
    <row r="863" spans="1:8" hidden="1" x14ac:dyDescent="0.25">
      <c r="A863" s="5" t="str">
        <f>HYPERLINK("https://app.vivvix.com/360/KMI/IntelliDrive/ApplUI/Pages/CreativePages/CustomReportCreativeDetail.aspx?App=23&amp;ReportView=4&amp;Qid=1711242&amp;Row=855&amp;Col=1","No Title Assigned - #15282808127")</f>
        <v>No Title Assigned - #15282808127</v>
      </c>
      <c r="B863" t="s">
        <v>1309</v>
      </c>
      <c r="E863" t="s">
        <v>15</v>
      </c>
      <c r="F863" t="s">
        <v>15</v>
      </c>
      <c r="G863" t="s">
        <v>137</v>
      </c>
      <c r="H863" s="1">
        <v>45.0533</v>
      </c>
    </row>
    <row r="864" spans="1:8" hidden="1" x14ac:dyDescent="0.25">
      <c r="A864" s="5" t="str">
        <f>HYPERLINK("https://app.vivvix.com/360/KMI/IntelliDrive/ApplUI/Pages/CreativePages/CustomReportCreativeDetail.aspx?App=23&amp;ReportView=4&amp;Qid=1711242&amp;Row=856&amp;Col=1","No Title Assigned - #15282851960")</f>
        <v>No Title Assigned - #15282851960</v>
      </c>
      <c r="B864" t="s">
        <v>1310</v>
      </c>
      <c r="C864" t="s">
        <v>1311</v>
      </c>
      <c r="D864" t="s">
        <v>1311</v>
      </c>
      <c r="E864" t="s">
        <v>15</v>
      </c>
      <c r="F864" t="s">
        <v>20</v>
      </c>
      <c r="G864" t="s">
        <v>31</v>
      </c>
      <c r="H864" s="1">
        <v>45.0533</v>
      </c>
    </row>
    <row r="865" spans="1:8" hidden="1" x14ac:dyDescent="0.25">
      <c r="A865" s="5" t="str">
        <f>HYPERLINK("https://app.vivvix.com/360/KMI/IntelliDrive/ApplUI/Pages/CreativePages/CustomReportCreativeDetail.aspx?App=23&amp;ReportView=4&amp;Qid=1711242&amp;Row=857&amp;Col=1","No Title Assigned - #15282893637")</f>
        <v>No Title Assigned - #15282893637</v>
      </c>
      <c r="B865" t="s">
        <v>1312</v>
      </c>
      <c r="E865" t="s">
        <v>15</v>
      </c>
      <c r="F865" t="s">
        <v>15</v>
      </c>
      <c r="G865" t="s">
        <v>137</v>
      </c>
      <c r="H865" s="1">
        <v>193650.8198</v>
      </c>
    </row>
    <row r="866" spans="1:8" hidden="1" x14ac:dyDescent="0.25">
      <c r="A866" s="5" t="str">
        <f>HYPERLINK("https://app.vivvix.com/360/KMI/IntelliDrive/ApplUI/Pages/CreativePages/CustomReportCreativeDetail.aspx?App=23&amp;ReportView=4&amp;Qid=1711242&amp;Row=858&amp;Col=1","No Title Assigned - #15282893965")</f>
        <v>No Title Assigned - #15282893965</v>
      </c>
      <c r="B866" t="s">
        <v>1313</v>
      </c>
      <c r="C866" t="s">
        <v>1314</v>
      </c>
      <c r="D866" t="s">
        <v>1314</v>
      </c>
      <c r="E866" t="s">
        <v>15</v>
      </c>
      <c r="F866" t="s">
        <v>133</v>
      </c>
      <c r="G866" t="s">
        <v>187</v>
      </c>
      <c r="H866" s="1">
        <v>151374.41800000001</v>
      </c>
    </row>
    <row r="867" spans="1:8" hidden="1" x14ac:dyDescent="0.25">
      <c r="A867" s="5" t="str">
        <f>HYPERLINK("https://app.vivvix.com/360/KMI/IntelliDrive/ApplUI/Pages/CreativePages/CustomReportCreativeDetail.aspx?App=23&amp;ReportView=4&amp;Qid=1711242&amp;Row=859&amp;Col=1","No Title Assigned - #15282894990")</f>
        <v>No Title Assigned - #15282894990</v>
      </c>
      <c r="B867" t="s">
        <v>1315</v>
      </c>
      <c r="C867" t="s">
        <v>1316</v>
      </c>
      <c r="D867" t="s">
        <v>1316</v>
      </c>
      <c r="E867" t="s">
        <v>15</v>
      </c>
      <c r="F867" t="s">
        <v>133</v>
      </c>
      <c r="G867" t="s">
        <v>187</v>
      </c>
      <c r="H867" s="1">
        <v>206.17930000000001</v>
      </c>
    </row>
    <row r="868" spans="1:8" hidden="1" x14ac:dyDescent="0.25">
      <c r="A868" s="5" t="str">
        <f>HYPERLINK("https://app.vivvix.com/360/KMI/IntelliDrive/ApplUI/Pages/CreativePages/CustomReportCreativeDetail.aspx?App=23&amp;ReportView=4&amp;Qid=1711242&amp;Row=860&amp;Col=1","No Title Assigned - #15282899273")</f>
        <v>No Title Assigned - #15282899273</v>
      </c>
      <c r="B868" t="s">
        <v>1317</v>
      </c>
      <c r="E868" t="s">
        <v>15</v>
      </c>
      <c r="F868" t="s">
        <v>15</v>
      </c>
      <c r="G868" t="s">
        <v>137</v>
      </c>
      <c r="H868" s="1">
        <v>4.4905999999999997</v>
      </c>
    </row>
    <row r="869" spans="1:8" hidden="1" x14ac:dyDescent="0.25">
      <c r="A869" s="5" t="str">
        <f>HYPERLINK("https://app.vivvix.com/360/KMI/IntelliDrive/ApplUI/Pages/CreativePages/CustomReportCreativeDetail.aspx?App=23&amp;ReportView=4&amp;Qid=1711242&amp;Row=861&amp;Col=1","No Title Assigned - #15282911966")</f>
        <v>No Title Assigned - #15282911966</v>
      </c>
      <c r="B869" t="s">
        <v>1318</v>
      </c>
      <c r="C869" t="s">
        <v>1319</v>
      </c>
      <c r="D869" t="s">
        <v>1319</v>
      </c>
      <c r="E869" t="s">
        <v>15</v>
      </c>
      <c r="F869" t="s">
        <v>133</v>
      </c>
      <c r="G869" t="s">
        <v>187</v>
      </c>
      <c r="H869" s="1">
        <v>150.87010000000001</v>
      </c>
    </row>
    <row r="870" spans="1:8" hidden="1" x14ac:dyDescent="0.25">
      <c r="A870" s="5" t="str">
        <f>HYPERLINK("https://app.vivvix.com/360/KMI/IntelliDrive/ApplUI/Pages/CreativePages/CustomReportCreativeDetail.aspx?App=23&amp;ReportView=4&amp;Qid=1711242&amp;Row=862&amp;Col=1","No Title Assigned - #15282923010")</f>
        <v>No Title Assigned - #15282923010</v>
      </c>
      <c r="B870" t="s">
        <v>1320</v>
      </c>
      <c r="E870" t="s">
        <v>15</v>
      </c>
      <c r="F870" t="s">
        <v>15</v>
      </c>
      <c r="G870" t="s">
        <v>137</v>
      </c>
      <c r="H870" s="1">
        <v>47.824300000000001</v>
      </c>
    </row>
    <row r="871" spans="1:8" hidden="1" x14ac:dyDescent="0.25">
      <c r="A871" s="5" t="str">
        <f>HYPERLINK("https://app.vivvix.com/360/KMI/IntelliDrive/ApplUI/Pages/CreativePages/CustomReportCreativeDetail.aspx?App=23&amp;ReportView=4&amp;Qid=1711242&amp;Row=863&amp;Col=1","No Title Assigned - #15282947689")</f>
        <v>No Title Assigned - #15282947689</v>
      </c>
      <c r="B871" t="s">
        <v>1321</v>
      </c>
      <c r="C871" t="s">
        <v>1322</v>
      </c>
      <c r="D871" t="s">
        <v>1322</v>
      </c>
      <c r="E871" t="s">
        <v>15</v>
      </c>
      <c r="F871" t="s">
        <v>133</v>
      </c>
      <c r="G871" t="s">
        <v>187</v>
      </c>
      <c r="H871" s="1">
        <v>29763.254300000001</v>
      </c>
    </row>
    <row r="872" spans="1:8" hidden="1" x14ac:dyDescent="0.25">
      <c r="A872" s="5" t="str">
        <f>HYPERLINK("https://app.vivvix.com/360/KMI/IntelliDrive/ApplUI/Pages/CreativePages/CustomReportCreativeDetail.aspx?App=23&amp;ReportView=4&amp;Qid=1711242&amp;Row=864&amp;Col=1","No Title Assigned - #15282947883")</f>
        <v>No Title Assigned - #15282947883</v>
      </c>
      <c r="B872" t="s">
        <v>1323</v>
      </c>
      <c r="C872" t="s">
        <v>1324</v>
      </c>
      <c r="D872" t="s">
        <v>1324</v>
      </c>
      <c r="E872" t="s">
        <v>15</v>
      </c>
      <c r="F872" t="s">
        <v>133</v>
      </c>
      <c r="G872" t="s">
        <v>187</v>
      </c>
      <c r="H872" s="1">
        <v>106.2831</v>
      </c>
    </row>
    <row r="873" spans="1:8" hidden="1" x14ac:dyDescent="0.25">
      <c r="A873" s="5" t="str">
        <f>HYPERLINK("https://app.vivvix.com/360/KMI/IntelliDrive/ApplUI/Pages/CreativePages/CustomReportCreativeDetail.aspx?App=23&amp;ReportView=4&amp;Qid=1711242&amp;Row=865&amp;Col=1","No Title Assigned - #15282949998")</f>
        <v>No Title Assigned - #15282949998</v>
      </c>
      <c r="B873" t="s">
        <v>1325</v>
      </c>
      <c r="C873" t="s">
        <v>1326</v>
      </c>
      <c r="D873" t="s">
        <v>1326</v>
      </c>
      <c r="E873" t="s">
        <v>15</v>
      </c>
      <c r="F873" t="s">
        <v>133</v>
      </c>
      <c r="G873" t="s">
        <v>187</v>
      </c>
      <c r="H873" s="1">
        <v>909.1096</v>
      </c>
    </row>
    <row r="874" spans="1:8" hidden="1" x14ac:dyDescent="0.25">
      <c r="A874" s="5" t="str">
        <f>HYPERLINK("https://app.vivvix.com/360/KMI/IntelliDrive/ApplUI/Pages/CreativePages/CustomReportCreativeDetail.aspx?App=23&amp;ReportView=4&amp;Qid=1711242&amp;Row=866&amp;Col=1","No Title Assigned - #15282950002")</f>
        <v>No Title Assigned - #15282950002</v>
      </c>
      <c r="B874" t="s">
        <v>1327</v>
      </c>
      <c r="C874" t="s">
        <v>1328</v>
      </c>
      <c r="D874" t="s">
        <v>1328</v>
      </c>
      <c r="E874" t="s">
        <v>15</v>
      </c>
      <c r="F874" t="s">
        <v>133</v>
      </c>
      <c r="G874" t="s">
        <v>187</v>
      </c>
      <c r="H874" s="1">
        <v>1134.7711999999999</v>
      </c>
    </row>
    <row r="875" spans="1:8" hidden="1" x14ac:dyDescent="0.25">
      <c r="A875" s="5" t="str">
        <f>HYPERLINK("https://app.vivvix.com/360/KMI/IntelliDrive/ApplUI/Pages/CreativePages/CustomReportCreativeDetail.aspx?App=23&amp;ReportView=4&amp;Qid=1711242&amp;Row=867&amp;Col=1","No Title Assigned - #15282958422")</f>
        <v>No Title Assigned - #15282958422</v>
      </c>
      <c r="B875" t="s">
        <v>1329</v>
      </c>
      <c r="E875" t="s">
        <v>15</v>
      </c>
      <c r="F875" t="s">
        <v>15</v>
      </c>
      <c r="G875" t="s">
        <v>137</v>
      </c>
      <c r="H875" s="1">
        <v>2.2625999999999999</v>
      </c>
    </row>
    <row r="876" spans="1:8" hidden="1" x14ac:dyDescent="0.25">
      <c r="A876" s="5" t="str">
        <f>HYPERLINK("https://app.vivvix.com/360/KMI/IntelliDrive/ApplUI/Pages/CreativePages/CustomReportCreativeDetail.aspx?App=23&amp;ReportView=4&amp;Qid=1711242&amp;Row=868&amp;Col=1","No Title Assigned - #15282958425")</f>
        <v>No Title Assigned - #15282958425</v>
      </c>
      <c r="B876" t="s">
        <v>1330</v>
      </c>
      <c r="E876" t="s">
        <v>15</v>
      </c>
      <c r="F876" t="s">
        <v>15</v>
      </c>
      <c r="G876" t="s">
        <v>137</v>
      </c>
      <c r="H876" s="1">
        <v>2.5139999999999998</v>
      </c>
    </row>
    <row r="877" spans="1:8" hidden="1" x14ac:dyDescent="0.25">
      <c r="A877" s="5" t="str">
        <f>HYPERLINK("https://app.vivvix.com/360/KMI/IntelliDrive/ApplUI/Pages/CreativePages/CustomReportCreativeDetail.aspx?App=23&amp;ReportView=4&amp;Qid=1711242&amp;Row=869&amp;Col=1","No Title Assigned - #15282968145")</f>
        <v>No Title Assigned - #15282968145</v>
      </c>
      <c r="B877" t="s">
        <v>1331</v>
      </c>
      <c r="E877" t="s">
        <v>15</v>
      </c>
      <c r="F877" t="s">
        <v>15</v>
      </c>
      <c r="G877" t="s">
        <v>137</v>
      </c>
      <c r="H877" s="1">
        <v>90.1066</v>
      </c>
    </row>
    <row r="878" spans="1:8" hidden="1" x14ac:dyDescent="0.25">
      <c r="A878" s="5" t="str">
        <f>HYPERLINK("https://app.vivvix.com/360/KMI/IntelliDrive/ApplUI/Pages/CreativePages/CustomReportCreativeDetail.aspx?App=23&amp;ReportView=4&amp;Qid=1711242&amp;Row=870&amp;Col=1","No Title Assigned - #15282968222")</f>
        <v>No Title Assigned - #15282968222</v>
      </c>
      <c r="B878" t="s">
        <v>1332</v>
      </c>
      <c r="E878" t="s">
        <v>15</v>
      </c>
      <c r="F878" t="s">
        <v>15</v>
      </c>
      <c r="G878" t="s">
        <v>137</v>
      </c>
      <c r="H878" s="1">
        <v>15.418200000000001</v>
      </c>
    </row>
    <row r="879" spans="1:8" hidden="1" x14ac:dyDescent="0.25">
      <c r="A879" s="5" t="str">
        <f>HYPERLINK("https://app.vivvix.com/360/KMI/IntelliDrive/ApplUI/Pages/CreativePages/CustomReportCreativeDetail.aspx?App=23&amp;ReportView=4&amp;Qid=1711242&amp;Row=871&amp;Col=1","No Title Assigned - #15282970287")</f>
        <v>No Title Assigned - #15282970287</v>
      </c>
      <c r="B879" t="s">
        <v>1333</v>
      </c>
      <c r="E879" t="s">
        <v>15</v>
      </c>
      <c r="F879" t="s">
        <v>15</v>
      </c>
      <c r="G879" t="s">
        <v>137</v>
      </c>
      <c r="H879" s="1">
        <v>1152.6574000000001</v>
      </c>
    </row>
    <row r="880" spans="1:8" hidden="1" x14ac:dyDescent="0.25">
      <c r="A880" s="5" t="str">
        <f>HYPERLINK("https://app.vivvix.com/360/KMI/IntelliDrive/ApplUI/Pages/CreativePages/CustomReportCreativeDetail.aspx?App=23&amp;ReportView=4&amp;Qid=1711242&amp;Row=872&amp;Col=1","No Title Assigned - #15282971230")</f>
        <v>No Title Assigned - #15282971230</v>
      </c>
      <c r="B880" t="s">
        <v>1334</v>
      </c>
      <c r="E880" t="s">
        <v>15</v>
      </c>
      <c r="F880" t="s">
        <v>15</v>
      </c>
      <c r="G880" t="s">
        <v>137</v>
      </c>
      <c r="H880" s="1">
        <v>2150.4594999999999</v>
      </c>
    </row>
    <row r="881" spans="1:8" hidden="1" x14ac:dyDescent="0.25">
      <c r="A881" s="5" t="str">
        <f>HYPERLINK("https://app.vivvix.com/360/KMI/IntelliDrive/ApplUI/Pages/CreativePages/CustomReportCreativeDetail.aspx?App=23&amp;ReportView=4&amp;Qid=1711242&amp;Row=873&amp;Col=1","No Title Assigned - #15282974049")</f>
        <v>No Title Assigned - #15282974049</v>
      </c>
      <c r="B881" t="s">
        <v>1335</v>
      </c>
      <c r="E881" t="s">
        <v>15</v>
      </c>
      <c r="F881" t="s">
        <v>15</v>
      </c>
      <c r="G881" t="s">
        <v>137</v>
      </c>
      <c r="H881" s="1">
        <v>1362.7852</v>
      </c>
    </row>
    <row r="882" spans="1:8" hidden="1" x14ac:dyDescent="0.25">
      <c r="A882" s="5" t="str">
        <f>HYPERLINK("https://app.vivvix.com/360/KMI/IntelliDrive/ApplUI/Pages/CreativePages/CustomReportCreativeDetail.aspx?App=23&amp;ReportView=4&amp;Qid=1711242&amp;Row=874&amp;Col=1","No Title Assigned - #15282974049")</f>
        <v>No Title Assigned - #15282974049</v>
      </c>
      <c r="B882" t="s">
        <v>1335</v>
      </c>
      <c r="E882" t="s">
        <v>15</v>
      </c>
      <c r="F882" t="s">
        <v>15</v>
      </c>
      <c r="G882" t="s">
        <v>137</v>
      </c>
      <c r="H882" s="1">
        <v>24656.6263</v>
      </c>
    </row>
    <row r="883" spans="1:8" hidden="1" x14ac:dyDescent="0.25">
      <c r="A883" s="5" t="str">
        <f>HYPERLINK("https://app.vivvix.com/360/KMI/IntelliDrive/ApplUI/Pages/CreativePages/CustomReportCreativeDetail.aspx?App=23&amp;ReportView=4&amp;Qid=1711242&amp;Row=875&amp;Col=1","No Title Assigned - #15282976463")</f>
        <v>No Title Assigned - #15282976463</v>
      </c>
      <c r="B883" t="s">
        <v>1336</v>
      </c>
      <c r="E883" t="s">
        <v>15</v>
      </c>
      <c r="F883" t="s">
        <v>15</v>
      </c>
      <c r="G883" t="s">
        <v>137</v>
      </c>
      <c r="H883" s="1">
        <v>296.9837</v>
      </c>
    </row>
    <row r="884" spans="1:8" hidden="1" x14ac:dyDescent="0.25">
      <c r="A884" s="5" t="str">
        <f>HYPERLINK("https://app.vivvix.com/360/KMI/IntelliDrive/ApplUI/Pages/CreativePages/CustomReportCreativeDetail.aspx?App=23&amp;ReportView=4&amp;Qid=1711242&amp;Row=876&amp;Col=1","No Title Assigned - #15282976464")</f>
        <v>No Title Assigned - #15282976464</v>
      </c>
      <c r="B884" t="s">
        <v>1337</v>
      </c>
      <c r="E884" t="s">
        <v>15</v>
      </c>
      <c r="F884" t="s">
        <v>15</v>
      </c>
      <c r="G884" t="s">
        <v>137</v>
      </c>
      <c r="H884" s="1">
        <v>2913.8537000000001</v>
      </c>
    </row>
    <row r="885" spans="1:8" hidden="1" x14ac:dyDescent="0.25">
      <c r="A885" s="5" t="str">
        <f>HYPERLINK("https://app.vivvix.com/360/KMI/IntelliDrive/ApplUI/Pages/CreativePages/CustomReportCreativeDetail.aspx?App=23&amp;ReportView=4&amp;Qid=1711242&amp;Row=877&amp;Col=1","No Title Assigned - #15282987769")</f>
        <v>No Title Assigned - #15282987769</v>
      </c>
      <c r="B885" t="s">
        <v>1338</v>
      </c>
      <c r="E885" t="s">
        <v>15</v>
      </c>
      <c r="F885" t="s">
        <v>15</v>
      </c>
      <c r="G885" t="s">
        <v>137</v>
      </c>
      <c r="H885" s="1">
        <v>4096.6067000000003</v>
      </c>
    </row>
    <row r="886" spans="1:8" hidden="1" x14ac:dyDescent="0.25">
      <c r="A886" s="5" t="str">
        <f>HYPERLINK("https://app.vivvix.com/360/KMI/IntelliDrive/ApplUI/Pages/CreativePages/CustomReportCreativeDetail.aspx?App=23&amp;ReportView=4&amp;Qid=1711242&amp;Row=878&amp;Col=1","No Title Assigned - #15282990622")</f>
        <v>No Title Assigned - #15282990622</v>
      </c>
      <c r="B886" t="s">
        <v>1339</v>
      </c>
      <c r="E886" t="s">
        <v>15</v>
      </c>
      <c r="F886" t="s">
        <v>15</v>
      </c>
      <c r="G886" t="s">
        <v>137</v>
      </c>
      <c r="H886" s="1">
        <v>0.25140000000000001</v>
      </c>
    </row>
    <row r="887" spans="1:8" hidden="1" x14ac:dyDescent="0.25">
      <c r="A887" s="5" t="str">
        <f>HYPERLINK("https://app.vivvix.com/360/KMI/IntelliDrive/ApplUI/Pages/CreativePages/CustomReportCreativeDetail.aspx?App=23&amp;ReportView=4&amp;Qid=1711242&amp;Row=879&amp;Col=1","No Title Assigned - #15282990624")</f>
        <v>No Title Assigned - #15282990624</v>
      </c>
      <c r="B887" t="s">
        <v>1340</v>
      </c>
      <c r="E887" t="s">
        <v>15</v>
      </c>
      <c r="F887" t="s">
        <v>15</v>
      </c>
      <c r="G887" t="s">
        <v>137</v>
      </c>
      <c r="H887" s="1">
        <v>0.25140000000000001</v>
      </c>
    </row>
    <row r="888" spans="1:8" hidden="1" x14ac:dyDescent="0.25">
      <c r="A888" s="5" t="str">
        <f>HYPERLINK("https://app.vivvix.com/360/KMI/IntelliDrive/ApplUI/Pages/CreativePages/CustomReportCreativeDetail.aspx?App=23&amp;ReportView=4&amp;Qid=1711242&amp;Row=880&amp;Col=1","No Title Assigned - #15282992058")</f>
        <v>No Title Assigned - #15282992058</v>
      </c>
      <c r="B888" t="s">
        <v>1341</v>
      </c>
      <c r="E888" t="s">
        <v>15</v>
      </c>
      <c r="F888" t="s">
        <v>15</v>
      </c>
      <c r="G888" t="s">
        <v>137</v>
      </c>
      <c r="H888" s="1">
        <v>6709.6077999999998</v>
      </c>
    </row>
    <row r="889" spans="1:8" hidden="1" x14ac:dyDescent="0.25">
      <c r="A889" s="5" t="str">
        <f>HYPERLINK("https://app.vivvix.com/360/KMI/IntelliDrive/ApplUI/Pages/CreativePages/CustomReportCreativeDetail.aspx?App=23&amp;ReportView=4&amp;Qid=1711242&amp;Row=881&amp;Col=1","No Title Assigned - #15283003902")</f>
        <v>No Title Assigned - #15283003902</v>
      </c>
      <c r="B889" t="s">
        <v>1342</v>
      </c>
      <c r="C889" t="s">
        <v>1343</v>
      </c>
      <c r="D889" t="s">
        <v>1343</v>
      </c>
      <c r="E889" t="s">
        <v>15</v>
      </c>
      <c r="F889" t="s">
        <v>133</v>
      </c>
      <c r="G889" t="s">
        <v>187</v>
      </c>
      <c r="H889" s="1">
        <v>7879.2656999999999</v>
      </c>
    </row>
    <row r="890" spans="1:8" hidden="1" x14ac:dyDescent="0.25">
      <c r="A890" s="5" t="str">
        <f>HYPERLINK("https://app.vivvix.com/360/KMI/IntelliDrive/ApplUI/Pages/CreativePages/CustomReportCreativeDetail.aspx?App=23&amp;ReportView=4&amp;Qid=1711242&amp;Row=882&amp;Col=1","No Title Assigned - #15283004318")</f>
        <v>No Title Assigned - #15283004318</v>
      </c>
      <c r="B890" t="s">
        <v>1344</v>
      </c>
      <c r="C890" t="s">
        <v>1345</v>
      </c>
      <c r="D890" t="s">
        <v>1345</v>
      </c>
      <c r="E890" t="s">
        <v>15</v>
      </c>
      <c r="F890" t="s">
        <v>133</v>
      </c>
      <c r="G890" t="s">
        <v>187</v>
      </c>
      <c r="H890" s="1">
        <v>1862.3523</v>
      </c>
    </row>
    <row r="891" spans="1:8" hidden="1" x14ac:dyDescent="0.25">
      <c r="A891" s="5" t="str">
        <f>HYPERLINK("https://app.vivvix.com/360/KMI/IntelliDrive/ApplUI/Pages/CreativePages/CustomReportCreativeDetail.aspx?App=23&amp;ReportView=4&amp;Qid=1711242&amp;Row=883&amp;Col=1","No Title Assigned - #15283004914")</f>
        <v>No Title Assigned - #15283004914</v>
      </c>
      <c r="B891" t="s">
        <v>1346</v>
      </c>
      <c r="E891" t="s">
        <v>15</v>
      </c>
      <c r="F891" t="s">
        <v>15</v>
      </c>
      <c r="G891" t="s">
        <v>119</v>
      </c>
      <c r="H891" s="1">
        <v>3229.8278</v>
      </c>
    </row>
    <row r="892" spans="1:8" hidden="1" x14ac:dyDescent="0.25">
      <c r="A892" s="5" t="str">
        <f>HYPERLINK("https://app.vivvix.com/360/KMI/IntelliDrive/ApplUI/Pages/CreativePages/CustomReportCreativeDetail.aspx?App=23&amp;ReportView=4&amp;Qid=1711242&amp;Row=884&amp;Col=1","No Title Assigned - #15283004914")</f>
        <v>No Title Assigned - #15283004914</v>
      </c>
      <c r="B892" t="s">
        <v>1346</v>
      </c>
      <c r="C892" t="s">
        <v>1347</v>
      </c>
      <c r="D892" t="s">
        <v>1347</v>
      </c>
      <c r="E892" t="s">
        <v>15</v>
      </c>
      <c r="F892" t="s">
        <v>15</v>
      </c>
      <c r="G892" t="s">
        <v>119</v>
      </c>
      <c r="H892" s="1">
        <v>30787.343499999999</v>
      </c>
    </row>
    <row r="893" spans="1:8" hidden="1" x14ac:dyDescent="0.25">
      <c r="A893" s="5" t="str">
        <f>HYPERLINK("https://app.vivvix.com/360/KMI/IntelliDrive/ApplUI/Pages/CreativePages/CustomReportCreativeDetail.aspx?App=23&amp;ReportView=4&amp;Qid=1711242&amp;Row=885&amp;Col=1","No Title Assigned - #15283033589")</f>
        <v>No Title Assigned - #15283033589</v>
      </c>
      <c r="B893" t="s">
        <v>1348</v>
      </c>
      <c r="E893" t="s">
        <v>15</v>
      </c>
      <c r="F893" t="s">
        <v>15</v>
      </c>
      <c r="G893" t="s">
        <v>137</v>
      </c>
      <c r="H893" s="1">
        <v>7.7091000000000003</v>
      </c>
    </row>
    <row r="894" spans="1:8" hidden="1" x14ac:dyDescent="0.25">
      <c r="A894" s="5" t="str">
        <f>HYPERLINK("https://app.vivvix.com/360/KMI/IntelliDrive/ApplUI/Pages/CreativePages/CustomReportCreativeDetail.aspx?App=23&amp;ReportView=4&amp;Qid=1711242&amp;Row=886&amp;Col=1","No Title Assigned - #15283049699")</f>
        <v>No Title Assigned - #15283049699</v>
      </c>
      <c r="B894" t="s">
        <v>1349</v>
      </c>
      <c r="E894" t="s">
        <v>15</v>
      </c>
      <c r="F894" t="s">
        <v>15</v>
      </c>
      <c r="G894" t="s">
        <v>137</v>
      </c>
      <c r="H894" s="1">
        <v>3242.6484</v>
      </c>
    </row>
    <row r="895" spans="1:8" hidden="1" x14ac:dyDescent="0.25">
      <c r="A895" s="5" t="str">
        <f>HYPERLINK("https://app.vivvix.com/360/KMI/IntelliDrive/ApplUI/Pages/CreativePages/CustomReportCreativeDetail.aspx?App=23&amp;ReportView=4&amp;Qid=1711242&amp;Row=887&amp;Col=1","No Title Assigned - #15283056737")</f>
        <v>No Title Assigned - #15283056737</v>
      </c>
      <c r="B895" t="s">
        <v>1350</v>
      </c>
      <c r="E895" t="s">
        <v>15</v>
      </c>
      <c r="F895" t="s">
        <v>15</v>
      </c>
      <c r="G895" t="s">
        <v>137</v>
      </c>
      <c r="H895" s="1">
        <v>222.1575</v>
      </c>
    </row>
    <row r="896" spans="1:8" hidden="1" x14ac:dyDescent="0.25">
      <c r="A896" s="5" t="str">
        <f>HYPERLINK("https://app.vivvix.com/360/KMI/IntelliDrive/ApplUI/Pages/CreativePages/CustomReportCreativeDetail.aspx?App=23&amp;ReportView=4&amp;Qid=1711242&amp;Row=888&amp;Col=1","No Title Assigned - #15283068660")</f>
        <v>No Title Assigned - #15283068660</v>
      </c>
      <c r="B896" t="s">
        <v>1351</v>
      </c>
      <c r="E896" t="s">
        <v>15</v>
      </c>
      <c r="F896" t="s">
        <v>15</v>
      </c>
      <c r="G896" t="s">
        <v>137</v>
      </c>
      <c r="H896" s="1">
        <v>740.74109999999996</v>
      </c>
    </row>
    <row r="897" spans="1:8" hidden="1" x14ac:dyDescent="0.25">
      <c r="A897" s="5" t="str">
        <f>HYPERLINK("https://app.vivvix.com/360/KMI/IntelliDrive/ApplUI/Pages/CreativePages/CustomReportCreativeDetail.aspx?App=23&amp;ReportView=4&amp;Qid=1711242&amp;Row=889&amp;Col=1","No Title Assigned - #15283089601")</f>
        <v>No Title Assigned - #15283089601</v>
      </c>
      <c r="B897" t="s">
        <v>1352</v>
      </c>
      <c r="C897" t="s">
        <v>1353</v>
      </c>
      <c r="D897" t="s">
        <v>1353</v>
      </c>
      <c r="E897" t="s">
        <v>15</v>
      </c>
      <c r="F897" t="s">
        <v>50</v>
      </c>
      <c r="G897" t="s">
        <v>51</v>
      </c>
      <c r="H897" s="1">
        <v>12406.753000000001</v>
      </c>
    </row>
    <row r="898" spans="1:8" hidden="1" x14ac:dyDescent="0.25">
      <c r="A898" s="5" t="str">
        <f>HYPERLINK("https://app.vivvix.com/360/KMI/IntelliDrive/ApplUI/Pages/CreativePages/CustomReportCreativeDetail.aspx?App=23&amp;ReportView=4&amp;Qid=1711242&amp;Row=890&amp;Col=1","No Title Assigned - #15283107283")</f>
        <v>No Title Assigned - #15283107283</v>
      </c>
      <c r="B898" t="s">
        <v>1354</v>
      </c>
      <c r="E898" t="s">
        <v>15</v>
      </c>
      <c r="F898" t="s">
        <v>15</v>
      </c>
      <c r="G898" t="s">
        <v>137</v>
      </c>
      <c r="H898" s="1">
        <v>3524.5841</v>
      </c>
    </row>
    <row r="899" spans="1:8" hidden="1" x14ac:dyDescent="0.25">
      <c r="A899" s="5" t="str">
        <f>HYPERLINK("https://app.vivvix.com/360/KMI/IntelliDrive/ApplUI/Pages/CreativePages/CustomReportCreativeDetail.aspx?App=23&amp;ReportView=4&amp;Qid=1711242&amp;Row=891&amp;Col=1","No Title Assigned - #15283180441")</f>
        <v>No Title Assigned - #15283180441</v>
      </c>
      <c r="B899" t="s">
        <v>1355</v>
      </c>
      <c r="E899" t="s">
        <v>15</v>
      </c>
      <c r="F899" t="s">
        <v>15</v>
      </c>
      <c r="G899" t="s">
        <v>137</v>
      </c>
      <c r="H899" s="1">
        <v>224.70679999999999</v>
      </c>
    </row>
    <row r="900" spans="1:8" hidden="1" x14ac:dyDescent="0.25">
      <c r="A900" s="5" t="str">
        <f>HYPERLINK("https://app.vivvix.com/360/KMI/IntelliDrive/ApplUI/Pages/CreativePages/CustomReportCreativeDetail.aspx?App=23&amp;ReportView=4&amp;Qid=1711242&amp;Row=892&amp;Col=1","No Title Assigned - #15283236424")</f>
        <v>No Title Assigned - #15283236424</v>
      </c>
      <c r="B900" t="s">
        <v>1356</v>
      </c>
      <c r="E900" t="s">
        <v>15</v>
      </c>
      <c r="F900" t="s">
        <v>15</v>
      </c>
      <c r="G900" t="s">
        <v>137</v>
      </c>
      <c r="H900" s="1">
        <v>1700.5192</v>
      </c>
    </row>
    <row r="901" spans="1:8" hidden="1" x14ac:dyDescent="0.25">
      <c r="A901" s="5" t="str">
        <f>HYPERLINK("https://app.vivvix.com/360/KMI/IntelliDrive/ApplUI/Pages/CreativePages/CustomReportCreativeDetail.aspx?App=23&amp;ReportView=4&amp;Qid=1711242&amp;Row=893&amp;Col=1","No Title Assigned - #15283236424")</f>
        <v>No Title Assigned - #15283236424</v>
      </c>
      <c r="B901" t="s">
        <v>1356</v>
      </c>
      <c r="E901" t="s">
        <v>15</v>
      </c>
      <c r="F901" t="s">
        <v>15</v>
      </c>
      <c r="G901" t="s">
        <v>137</v>
      </c>
      <c r="H901" s="1">
        <v>19262.7922</v>
      </c>
    </row>
    <row r="902" spans="1:8" hidden="1" x14ac:dyDescent="0.25">
      <c r="A902" s="5" t="str">
        <f>HYPERLINK("https://app.vivvix.com/360/KMI/IntelliDrive/ApplUI/Pages/CreativePages/CustomReportCreativeDetail.aspx?App=23&amp;ReportView=4&amp;Qid=1711242&amp;Row=894&amp;Col=1","No Title Assigned - #15283250971")</f>
        <v>No Title Assigned - #15283250971</v>
      </c>
      <c r="B902" t="s">
        <v>1357</v>
      </c>
      <c r="C902" t="s">
        <v>1358</v>
      </c>
      <c r="D902" t="s">
        <v>1358</v>
      </c>
      <c r="E902" t="s">
        <v>15</v>
      </c>
      <c r="F902" t="s">
        <v>15</v>
      </c>
      <c r="G902" t="s">
        <v>137</v>
      </c>
      <c r="H902" s="1">
        <v>7870.8432000000003</v>
      </c>
    </row>
    <row r="903" spans="1:8" hidden="1" x14ac:dyDescent="0.25">
      <c r="A903" s="5" t="str">
        <f>HYPERLINK("https://app.vivvix.com/360/KMI/IntelliDrive/ApplUI/Pages/CreativePages/CustomReportCreativeDetail.aspx?App=23&amp;ReportView=4&amp;Qid=1711242&amp;Row=895&amp;Col=1","No Title Assigned - #15283250971")</f>
        <v>No Title Assigned - #15283250971</v>
      </c>
      <c r="B903" t="s">
        <v>1357</v>
      </c>
      <c r="E903" t="s">
        <v>15</v>
      </c>
      <c r="F903" t="s">
        <v>15</v>
      </c>
      <c r="G903" t="s">
        <v>137</v>
      </c>
      <c r="H903" s="1">
        <v>27304.229200000002</v>
      </c>
    </row>
    <row r="904" spans="1:8" hidden="1" x14ac:dyDescent="0.25">
      <c r="A904" s="5" t="str">
        <f>HYPERLINK("https://app.vivvix.com/360/KMI/IntelliDrive/ApplUI/Pages/CreativePages/CustomReportCreativeDetail.aspx?App=23&amp;ReportView=4&amp;Qid=1711242&amp;Row=896&amp;Col=1","No Title Assigned - #15283256983")</f>
        <v>No Title Assigned - #15283256983</v>
      </c>
      <c r="B904" t="s">
        <v>1359</v>
      </c>
      <c r="E904" t="s">
        <v>15</v>
      </c>
      <c r="F904" t="s">
        <v>15</v>
      </c>
      <c r="G904" t="s">
        <v>137</v>
      </c>
      <c r="H904" s="1">
        <v>1879.5558000000001</v>
      </c>
    </row>
    <row r="905" spans="1:8" hidden="1" x14ac:dyDescent="0.25">
      <c r="A905" s="5" t="str">
        <f>HYPERLINK("https://app.vivvix.com/360/KMI/IntelliDrive/ApplUI/Pages/CreativePages/CustomReportCreativeDetail.aspx?App=23&amp;ReportView=4&amp;Qid=1711242&amp;Row=897&amp;Col=1","No Title Assigned - #15283256983")</f>
        <v>No Title Assigned - #15283256983</v>
      </c>
      <c r="B905" t="s">
        <v>1359</v>
      </c>
      <c r="E905" t="s">
        <v>15</v>
      </c>
      <c r="F905" t="s">
        <v>15</v>
      </c>
      <c r="G905" t="s">
        <v>137</v>
      </c>
      <c r="H905" s="1">
        <v>2790.3859000000002</v>
      </c>
    </row>
    <row r="906" spans="1:8" hidden="1" x14ac:dyDescent="0.25">
      <c r="A906" s="5" t="str">
        <f>HYPERLINK("https://app.vivvix.com/360/KMI/IntelliDrive/ApplUI/Pages/CreativePages/CustomReportCreativeDetail.aspx?App=23&amp;ReportView=4&amp;Qid=1711242&amp;Row=898&amp;Col=1","No Title Assigned - #15283283020")</f>
        <v>No Title Assigned - #15283283020</v>
      </c>
      <c r="B906" t="s">
        <v>1360</v>
      </c>
      <c r="C906" t="s">
        <v>1361</v>
      </c>
      <c r="D906" t="s">
        <v>1361</v>
      </c>
      <c r="E906" t="s">
        <v>15</v>
      </c>
      <c r="F906" t="s">
        <v>181</v>
      </c>
      <c r="G906" t="s">
        <v>182</v>
      </c>
      <c r="H906" s="1">
        <v>572.98410000000001</v>
      </c>
    </row>
    <row r="907" spans="1:8" hidden="1" x14ac:dyDescent="0.25">
      <c r="A907" s="5" t="str">
        <f>HYPERLINK("https://app.vivvix.com/360/KMI/IntelliDrive/ApplUI/Pages/CreativePages/CustomReportCreativeDetail.aspx?App=23&amp;ReportView=4&amp;Qid=1711242&amp;Row=899&amp;Col=1","No Title Assigned - #15283324028")</f>
        <v>No Title Assigned - #15283324028</v>
      </c>
      <c r="B907" t="s">
        <v>1362</v>
      </c>
      <c r="C907" t="s">
        <v>1363</v>
      </c>
      <c r="D907" t="s">
        <v>1363</v>
      </c>
      <c r="E907" t="s">
        <v>15</v>
      </c>
      <c r="F907" t="s">
        <v>16</v>
      </c>
      <c r="G907" t="s">
        <v>54</v>
      </c>
      <c r="H907" s="1">
        <v>418.0849</v>
      </c>
    </row>
    <row r="908" spans="1:8" hidden="1" x14ac:dyDescent="0.25">
      <c r="A908" s="5" t="str">
        <f>HYPERLINK("https://app.vivvix.com/360/KMI/IntelliDrive/ApplUI/Pages/CreativePages/CustomReportCreativeDetail.aspx?App=23&amp;ReportView=4&amp;Qid=1711242&amp;Row=900&amp;Col=1","No Title Assigned - #15283334649")</f>
        <v>No Title Assigned - #15283334649</v>
      </c>
      <c r="B908" t="s">
        <v>1364</v>
      </c>
      <c r="C908" t="s">
        <v>1365</v>
      </c>
      <c r="D908" t="s">
        <v>1365</v>
      </c>
      <c r="E908" t="s">
        <v>15</v>
      </c>
      <c r="F908" t="s">
        <v>15</v>
      </c>
      <c r="G908" t="s">
        <v>137</v>
      </c>
      <c r="H908" s="1">
        <v>9267.5851999999995</v>
      </c>
    </row>
    <row r="909" spans="1:8" hidden="1" x14ac:dyDescent="0.25">
      <c r="A909" s="5" t="str">
        <f>HYPERLINK("https://app.vivvix.com/360/KMI/IntelliDrive/ApplUI/Pages/CreativePages/CustomReportCreativeDetail.aspx?App=23&amp;ReportView=4&amp;Qid=1711242&amp;Row=901&amp;Col=1","No Title Assigned - #15283354642")</f>
        <v>No Title Assigned - #15283354642</v>
      </c>
      <c r="B909" t="s">
        <v>1366</v>
      </c>
      <c r="E909" t="s">
        <v>15</v>
      </c>
      <c r="F909" t="s">
        <v>15</v>
      </c>
      <c r="G909" t="s">
        <v>137</v>
      </c>
      <c r="H909" s="1">
        <v>110.25839999999999</v>
      </c>
    </row>
    <row r="910" spans="1:8" hidden="1" x14ac:dyDescent="0.25">
      <c r="A910" s="5" t="str">
        <f>HYPERLINK("https://app.vivvix.com/360/KMI/IntelliDrive/ApplUI/Pages/CreativePages/CustomReportCreativeDetail.aspx?App=23&amp;ReportView=4&amp;Qid=1711242&amp;Row=902&amp;Col=1","No Title Assigned - #15283423985")</f>
        <v>No Title Assigned - #15283423985</v>
      </c>
      <c r="B910" t="s">
        <v>1367</v>
      </c>
      <c r="E910" t="s">
        <v>15</v>
      </c>
      <c r="F910" t="s">
        <v>15</v>
      </c>
      <c r="G910" t="s">
        <v>137</v>
      </c>
      <c r="H910" s="1">
        <v>1.2434000000000001</v>
      </c>
    </row>
    <row r="911" spans="1:8" hidden="1" x14ac:dyDescent="0.25">
      <c r="A911" s="5" t="str">
        <f>HYPERLINK("https://app.vivvix.com/360/KMI/IntelliDrive/ApplUI/Pages/CreativePages/CustomReportCreativeDetail.aspx?App=23&amp;ReportView=4&amp;Qid=1711242&amp;Row=903&amp;Col=1","No Title Assigned - #15283461939")</f>
        <v>No Title Assigned - #15283461939</v>
      </c>
      <c r="B911" t="s">
        <v>1368</v>
      </c>
      <c r="C911" t="s">
        <v>1369</v>
      </c>
      <c r="D911" t="s">
        <v>1369</v>
      </c>
      <c r="E911" t="s">
        <v>15</v>
      </c>
      <c r="F911" t="s">
        <v>16</v>
      </c>
      <c r="G911" t="s">
        <v>54</v>
      </c>
      <c r="H911" s="1">
        <v>4620.2856000000002</v>
      </c>
    </row>
    <row r="912" spans="1:8" hidden="1" x14ac:dyDescent="0.25">
      <c r="A912" s="5" t="str">
        <f>HYPERLINK("https://app.vivvix.com/360/KMI/IntelliDrive/ApplUI/Pages/CreativePages/CustomReportCreativeDetail.aspx?App=23&amp;ReportView=4&amp;Qid=1711242&amp;Row=904&amp;Col=1","No Title Assigned - #15283470123")</f>
        <v>No Title Assigned - #15283470123</v>
      </c>
      <c r="B912" t="s">
        <v>1370</v>
      </c>
      <c r="C912" t="s">
        <v>1371</v>
      </c>
      <c r="D912" t="s">
        <v>1371</v>
      </c>
      <c r="E912" t="s">
        <v>15</v>
      </c>
      <c r="F912" t="s">
        <v>133</v>
      </c>
      <c r="G912" t="s">
        <v>187</v>
      </c>
      <c r="H912" s="1">
        <v>2368.3991000000001</v>
      </c>
    </row>
    <row r="913" spans="1:8" hidden="1" x14ac:dyDescent="0.25">
      <c r="A913" s="5" t="str">
        <f>HYPERLINK("https://app.vivvix.com/360/KMI/IntelliDrive/ApplUI/Pages/CreativePages/CustomReportCreativeDetail.aspx?App=23&amp;ReportView=4&amp;Qid=1711242&amp;Row=905&amp;Col=1","No Title Assigned - #15283506991")</f>
        <v>No Title Assigned - #15283506991</v>
      </c>
      <c r="B913" t="s">
        <v>1372</v>
      </c>
      <c r="E913" t="s">
        <v>15</v>
      </c>
      <c r="F913" t="s">
        <v>15</v>
      </c>
      <c r="G913" t="s">
        <v>137</v>
      </c>
      <c r="H913" s="1">
        <v>203.6713</v>
      </c>
    </row>
    <row r="914" spans="1:8" hidden="1" x14ac:dyDescent="0.25">
      <c r="A914" s="5" t="str">
        <f>HYPERLINK("https://app.vivvix.com/360/KMI/IntelliDrive/ApplUI/Pages/CreativePages/CustomReportCreativeDetail.aspx?App=23&amp;ReportView=4&amp;Qid=1711242&amp;Row=906&amp;Col=1","No Title Assigned - #15283546340")</f>
        <v>No Title Assigned - #15283546340</v>
      </c>
      <c r="B914" t="s">
        <v>1373</v>
      </c>
      <c r="E914" t="s">
        <v>15</v>
      </c>
      <c r="F914" t="s">
        <v>15</v>
      </c>
      <c r="G914" t="s">
        <v>137</v>
      </c>
      <c r="H914" s="1">
        <v>535.72609999999997</v>
      </c>
    </row>
    <row r="915" spans="1:8" hidden="1" x14ac:dyDescent="0.25">
      <c r="A915" s="5" t="str">
        <f>HYPERLINK("https://app.vivvix.com/360/KMI/IntelliDrive/ApplUI/Pages/CreativePages/CustomReportCreativeDetail.aspx?App=23&amp;ReportView=4&amp;Qid=1711242&amp;Row=907&amp;Col=1","No Title Assigned - #15283559229")</f>
        <v>No Title Assigned - #15283559229</v>
      </c>
      <c r="B915" t="s">
        <v>1374</v>
      </c>
      <c r="C915" t="s">
        <v>1375</v>
      </c>
      <c r="D915" t="s">
        <v>1109</v>
      </c>
      <c r="E915" t="s">
        <v>15</v>
      </c>
      <c r="F915" t="s">
        <v>133</v>
      </c>
      <c r="G915" t="s">
        <v>187</v>
      </c>
      <c r="H915" s="1">
        <v>5134.7335999999996</v>
      </c>
    </row>
    <row r="916" spans="1:8" hidden="1" x14ac:dyDescent="0.25">
      <c r="A916" s="5" t="str">
        <f>HYPERLINK("https://app.vivvix.com/360/KMI/IntelliDrive/ApplUI/Pages/CreativePages/CustomReportCreativeDetail.aspx?App=23&amp;ReportView=4&amp;Qid=1711242&amp;Row=908&amp;Col=1","No Title Assigned - #15283574983")</f>
        <v>No Title Assigned - #15283574983</v>
      </c>
      <c r="B916" t="s">
        <v>1376</v>
      </c>
      <c r="E916" t="s">
        <v>15</v>
      </c>
      <c r="F916" t="s">
        <v>15</v>
      </c>
      <c r="G916" t="s">
        <v>137</v>
      </c>
      <c r="H916" s="1">
        <v>3544.82</v>
      </c>
    </row>
    <row r="917" spans="1:8" hidden="1" x14ac:dyDescent="0.25">
      <c r="A917" s="5" t="str">
        <f>HYPERLINK("https://app.vivvix.com/360/KMI/IntelliDrive/ApplUI/Pages/CreativePages/CustomReportCreativeDetail.aspx?App=23&amp;ReportView=4&amp;Qid=1711242&amp;Row=909&amp;Col=1","No Title Assigned - #15283593135")</f>
        <v>No Title Assigned - #15283593135</v>
      </c>
      <c r="B917" t="s">
        <v>1377</v>
      </c>
      <c r="E917" t="s">
        <v>15</v>
      </c>
      <c r="F917" t="s">
        <v>15</v>
      </c>
      <c r="G917" t="s">
        <v>137</v>
      </c>
      <c r="H917" s="1">
        <v>170.4151</v>
      </c>
    </row>
    <row r="918" spans="1:8" hidden="1" x14ac:dyDescent="0.25">
      <c r="A918" s="5" t="str">
        <f>HYPERLINK("https://app.vivvix.com/360/KMI/IntelliDrive/ApplUI/Pages/CreativePages/CustomReportCreativeDetail.aspx?App=23&amp;ReportView=4&amp;Qid=1711242&amp;Row=910&amp;Col=1","No Title Assigned - #15283659442")</f>
        <v>No Title Assigned - #15283659442</v>
      </c>
      <c r="B918" t="s">
        <v>1378</v>
      </c>
      <c r="C918" t="s">
        <v>1379</v>
      </c>
      <c r="D918" t="s">
        <v>791</v>
      </c>
      <c r="E918" t="s">
        <v>15</v>
      </c>
      <c r="F918" t="s">
        <v>50</v>
      </c>
      <c r="G918" t="s">
        <v>51</v>
      </c>
      <c r="H918" s="1">
        <v>76.588999999999999</v>
      </c>
    </row>
    <row r="919" spans="1:8" hidden="1" x14ac:dyDescent="0.25">
      <c r="A919" s="5" t="str">
        <f>HYPERLINK("https://app.vivvix.com/360/KMI/IntelliDrive/ApplUI/Pages/CreativePages/CustomReportCreativeDetail.aspx?App=23&amp;ReportView=4&amp;Qid=1711242&amp;Row=911&amp;Col=1","No Title Assigned - #15283659467")</f>
        <v>No Title Assigned - #15283659467</v>
      </c>
      <c r="B919" t="s">
        <v>1380</v>
      </c>
      <c r="C919" t="s">
        <v>1381</v>
      </c>
      <c r="D919" t="s">
        <v>1294</v>
      </c>
      <c r="E919" t="s">
        <v>15</v>
      </c>
      <c r="F919" t="s">
        <v>50</v>
      </c>
      <c r="G919" t="s">
        <v>51</v>
      </c>
      <c r="H919" s="1">
        <v>153.178</v>
      </c>
    </row>
    <row r="920" spans="1:8" hidden="1" x14ac:dyDescent="0.25">
      <c r="A920" s="5" t="str">
        <f>HYPERLINK("https://app.vivvix.com/360/KMI/IntelliDrive/ApplUI/Pages/CreativePages/CustomReportCreativeDetail.aspx?App=23&amp;ReportView=4&amp;Qid=1711242&amp;Row=912&amp;Col=1","No Title Assigned - #15283724811")</f>
        <v>No Title Assigned - #15283724811</v>
      </c>
      <c r="B920" t="s">
        <v>1382</v>
      </c>
      <c r="C920" t="s">
        <v>1383</v>
      </c>
      <c r="D920" t="s">
        <v>931</v>
      </c>
      <c r="E920" t="s">
        <v>15</v>
      </c>
      <c r="F920" t="s">
        <v>16</v>
      </c>
      <c r="G920" t="s">
        <v>54</v>
      </c>
      <c r="H920" s="1">
        <v>123.01730000000001</v>
      </c>
    </row>
    <row r="921" spans="1:8" hidden="1" x14ac:dyDescent="0.25">
      <c r="A921" s="5" t="str">
        <f>HYPERLINK("https://app.vivvix.com/360/KMI/IntelliDrive/ApplUI/Pages/CreativePages/CustomReportCreativeDetail.aspx?App=23&amp;ReportView=4&amp;Qid=1711242&amp;Row=913&amp;Col=1","No Title Assigned - #15283728838")</f>
        <v>No Title Assigned - #15283728838</v>
      </c>
      <c r="B921" t="s">
        <v>1384</v>
      </c>
      <c r="E921" t="s">
        <v>15</v>
      </c>
      <c r="F921" t="s">
        <v>15</v>
      </c>
      <c r="G921" t="s">
        <v>137</v>
      </c>
      <c r="H921" s="1">
        <v>203.6713</v>
      </c>
    </row>
    <row r="922" spans="1:8" hidden="1" x14ac:dyDescent="0.25">
      <c r="A922" s="5" t="str">
        <f>HYPERLINK("https://app.vivvix.com/360/KMI/IntelliDrive/ApplUI/Pages/CreativePages/CustomReportCreativeDetail.aspx?App=23&amp;ReportView=4&amp;Qid=1711242&amp;Row=914&amp;Col=1","No Title Assigned - #15283729765")</f>
        <v>No Title Assigned - #15283729765</v>
      </c>
      <c r="B922" t="s">
        <v>1385</v>
      </c>
      <c r="E922" t="s">
        <v>15</v>
      </c>
      <c r="F922" t="s">
        <v>15</v>
      </c>
      <c r="G922" t="s">
        <v>137</v>
      </c>
      <c r="H922" s="1">
        <v>1373.4917</v>
      </c>
    </row>
    <row r="923" spans="1:8" hidden="1" x14ac:dyDescent="0.25">
      <c r="A923" s="5" t="str">
        <f>HYPERLINK("https://app.vivvix.com/360/KMI/IntelliDrive/ApplUI/Pages/CreativePages/CustomReportCreativeDetail.aspx?App=23&amp;ReportView=4&amp;Qid=1711242&amp;Row=915&amp;Col=1","No Title Assigned - #15283729767")</f>
        <v>No Title Assigned - #15283729767</v>
      </c>
      <c r="B923" t="s">
        <v>1386</v>
      </c>
      <c r="E923" t="s">
        <v>15</v>
      </c>
      <c r="F923" t="s">
        <v>15</v>
      </c>
      <c r="G923" t="s">
        <v>137</v>
      </c>
      <c r="H923" s="1">
        <v>1235.8033</v>
      </c>
    </row>
    <row r="924" spans="1:8" hidden="1" x14ac:dyDescent="0.25">
      <c r="A924" s="5" t="str">
        <f>HYPERLINK("https://app.vivvix.com/360/KMI/IntelliDrive/ApplUI/Pages/CreativePages/CustomReportCreativeDetail.aspx?App=23&amp;ReportView=4&amp;Qid=1711242&amp;Row=916&amp;Col=1","No Title Assigned - #15283729768")</f>
        <v>No Title Assigned - #15283729768</v>
      </c>
      <c r="B924" t="s">
        <v>1387</v>
      </c>
      <c r="E924" t="s">
        <v>15</v>
      </c>
      <c r="F924" t="s">
        <v>15</v>
      </c>
      <c r="G924" t="s">
        <v>137</v>
      </c>
      <c r="H924" s="1">
        <v>2148.4078</v>
      </c>
    </row>
    <row r="925" spans="1:8" hidden="1" x14ac:dyDescent="0.25">
      <c r="A925" s="5" t="str">
        <f>HYPERLINK("https://app.vivvix.com/360/KMI/IntelliDrive/ApplUI/Pages/CreativePages/CustomReportCreativeDetail.aspx?App=23&amp;ReportView=4&amp;Qid=1711242&amp;Row=917&amp;Col=1","No Title Assigned - #15283730400")</f>
        <v>No Title Assigned - #15283730400</v>
      </c>
      <c r="B925" t="s">
        <v>1388</v>
      </c>
      <c r="E925" t="s">
        <v>15</v>
      </c>
      <c r="F925" t="s">
        <v>15</v>
      </c>
      <c r="G925" t="s">
        <v>137</v>
      </c>
      <c r="H925" s="1">
        <v>28.3155</v>
      </c>
    </row>
    <row r="926" spans="1:8" hidden="1" x14ac:dyDescent="0.25">
      <c r="A926" s="5" t="str">
        <f>HYPERLINK("https://app.vivvix.com/360/KMI/IntelliDrive/ApplUI/Pages/CreativePages/CustomReportCreativeDetail.aspx?App=23&amp;ReportView=4&amp;Qid=1711242&amp;Row=918&amp;Col=1","No Title Assigned - #15283732793")</f>
        <v>No Title Assigned - #15283732793</v>
      </c>
      <c r="B926" t="s">
        <v>1389</v>
      </c>
      <c r="E926" t="s">
        <v>15</v>
      </c>
      <c r="F926" t="s">
        <v>15</v>
      </c>
      <c r="G926" t="s">
        <v>137</v>
      </c>
      <c r="H926" s="1">
        <v>41.142499999999998</v>
      </c>
    </row>
    <row r="927" spans="1:8" hidden="1" x14ac:dyDescent="0.25">
      <c r="A927" s="5" t="str">
        <f>HYPERLINK("https://app.vivvix.com/360/KMI/IntelliDrive/ApplUI/Pages/CreativePages/CustomReportCreativeDetail.aspx?App=23&amp;ReportView=4&amp;Qid=1711242&amp;Row=919&amp;Col=1","No Title Assigned - #15283778056")</f>
        <v>No Title Assigned - #15283778056</v>
      </c>
      <c r="B927" t="s">
        <v>1390</v>
      </c>
      <c r="C927" t="s">
        <v>1391</v>
      </c>
      <c r="D927" t="s">
        <v>1391</v>
      </c>
      <c r="E927" t="s">
        <v>15</v>
      </c>
      <c r="F927" t="s">
        <v>133</v>
      </c>
      <c r="G927" t="s">
        <v>187</v>
      </c>
      <c r="H927" s="1">
        <v>18.1648</v>
      </c>
    </row>
    <row r="928" spans="1:8" hidden="1" x14ac:dyDescent="0.25">
      <c r="A928" s="5" t="str">
        <f>HYPERLINK("https://app.vivvix.com/360/KMI/IntelliDrive/ApplUI/Pages/CreativePages/CustomReportCreativeDetail.aspx?App=23&amp;ReportView=4&amp;Qid=1711242&amp;Row=920&amp;Col=1","No Title Assigned - #15283829486")</f>
        <v>No Title Assigned - #15283829486</v>
      </c>
      <c r="B928" t="s">
        <v>1392</v>
      </c>
      <c r="C928" t="s">
        <v>1393</v>
      </c>
      <c r="D928" t="s">
        <v>1393</v>
      </c>
      <c r="E928" t="s">
        <v>15</v>
      </c>
      <c r="F928" t="s">
        <v>15</v>
      </c>
      <c r="G928" t="s">
        <v>119</v>
      </c>
      <c r="H928" s="1">
        <v>3854.2051000000001</v>
      </c>
    </row>
    <row r="929" spans="1:8" hidden="1" x14ac:dyDescent="0.25">
      <c r="A929" s="5" t="str">
        <f>HYPERLINK("https://app.vivvix.com/360/KMI/IntelliDrive/ApplUI/Pages/CreativePages/CustomReportCreativeDetail.aspx?App=23&amp;ReportView=4&amp;Qid=1711242&amp;Row=921&amp;Col=1","No Title Assigned - #15283847466")</f>
        <v>No Title Assigned - #15283847466</v>
      </c>
      <c r="B929" t="s">
        <v>1394</v>
      </c>
      <c r="E929" t="s">
        <v>15</v>
      </c>
      <c r="F929" t="s">
        <v>15</v>
      </c>
      <c r="G929" t="s">
        <v>137</v>
      </c>
      <c r="H929" s="1">
        <v>2384.444</v>
      </c>
    </row>
    <row r="930" spans="1:8" hidden="1" x14ac:dyDescent="0.25">
      <c r="A930" s="5" t="str">
        <f>HYPERLINK("https://app.vivvix.com/360/KMI/IntelliDrive/ApplUI/Pages/CreativePages/CustomReportCreativeDetail.aspx?App=23&amp;ReportView=4&amp;Qid=1711242&amp;Row=922&amp;Col=1","No Title Assigned - #15283850497")</f>
        <v>No Title Assigned - #15283850497</v>
      </c>
      <c r="B930" t="s">
        <v>1395</v>
      </c>
      <c r="C930" t="s">
        <v>1396</v>
      </c>
      <c r="D930" t="s">
        <v>1396</v>
      </c>
      <c r="E930" t="s">
        <v>15</v>
      </c>
      <c r="F930" t="s">
        <v>133</v>
      </c>
      <c r="G930" t="s">
        <v>187</v>
      </c>
      <c r="H930" s="1">
        <v>6.3498999999999999</v>
      </c>
    </row>
    <row r="931" spans="1:8" hidden="1" x14ac:dyDescent="0.25">
      <c r="A931" s="5" t="str">
        <f>HYPERLINK("https://app.vivvix.com/360/KMI/IntelliDrive/ApplUI/Pages/CreativePages/CustomReportCreativeDetail.aspx?App=23&amp;ReportView=4&amp;Qid=1711242&amp;Row=923&amp;Col=1","No Title Assigned - #15283850498")</f>
        <v>No Title Assigned - #15283850498</v>
      </c>
      <c r="B931" t="s">
        <v>1397</v>
      </c>
      <c r="C931" t="s">
        <v>1398</v>
      </c>
      <c r="D931" t="s">
        <v>1398</v>
      </c>
      <c r="E931" t="s">
        <v>15</v>
      </c>
      <c r="F931" t="s">
        <v>133</v>
      </c>
      <c r="G931" t="s">
        <v>187</v>
      </c>
      <c r="H931" s="1">
        <v>6.3498999999999999</v>
      </c>
    </row>
    <row r="932" spans="1:8" hidden="1" x14ac:dyDescent="0.25">
      <c r="A932" s="5" t="str">
        <f>HYPERLINK("https://app.vivvix.com/360/KMI/IntelliDrive/ApplUI/Pages/CreativePages/CustomReportCreativeDetail.aspx?App=23&amp;ReportView=4&amp;Qid=1711242&amp;Row=924&amp;Col=1","No Title Assigned - #15284017954")</f>
        <v>No Title Assigned - #15284017954</v>
      </c>
      <c r="B932" t="s">
        <v>1399</v>
      </c>
      <c r="E932" t="s">
        <v>15</v>
      </c>
      <c r="F932" t="s">
        <v>15</v>
      </c>
      <c r="G932" t="s">
        <v>137</v>
      </c>
      <c r="H932" s="1">
        <v>40.661999999999999</v>
      </c>
    </row>
    <row r="933" spans="1:8" hidden="1" x14ac:dyDescent="0.25">
      <c r="A933" s="5" t="str">
        <f>HYPERLINK("https://app.vivvix.com/360/KMI/IntelliDrive/ApplUI/Pages/CreativePages/CustomReportCreativeDetail.aspx?App=23&amp;ReportView=4&amp;Qid=1711242&amp;Row=925&amp;Col=1","No Title Assigned - #15284027174")</f>
        <v>No Title Assigned - #15284027174</v>
      </c>
      <c r="B933" t="s">
        <v>1400</v>
      </c>
      <c r="E933" t="s">
        <v>15</v>
      </c>
      <c r="F933" t="s">
        <v>15</v>
      </c>
      <c r="G933" t="s">
        <v>137</v>
      </c>
      <c r="H933" s="1">
        <v>28.3155</v>
      </c>
    </row>
    <row r="934" spans="1:8" hidden="1" x14ac:dyDescent="0.25">
      <c r="A934" s="5" t="str">
        <f>HYPERLINK("https://app.vivvix.com/360/KMI/IntelliDrive/ApplUI/Pages/CreativePages/CustomReportCreativeDetail.aspx?App=23&amp;ReportView=4&amp;Qid=1711242&amp;Row=926&amp;Col=1","No Title Assigned - #15284037725")</f>
        <v>No Title Assigned - #15284037725</v>
      </c>
      <c r="B934" t="s">
        <v>1401</v>
      </c>
      <c r="C934" t="s">
        <v>1402</v>
      </c>
      <c r="D934" t="s">
        <v>1402</v>
      </c>
      <c r="E934" t="s">
        <v>15</v>
      </c>
      <c r="F934" t="s">
        <v>16</v>
      </c>
      <c r="G934" t="s">
        <v>54</v>
      </c>
      <c r="H934" s="1">
        <v>169.8749</v>
      </c>
    </row>
    <row r="935" spans="1:8" hidden="1" x14ac:dyDescent="0.25">
      <c r="A935" s="5" t="str">
        <f>HYPERLINK("https://app.vivvix.com/360/KMI/IntelliDrive/ApplUI/Pages/CreativePages/CustomReportCreativeDetail.aspx?App=23&amp;ReportView=4&amp;Qid=1711242&amp;Row=927&amp;Col=1","No Title Assigned - #15284037928")</f>
        <v>No Title Assigned - #15284037928</v>
      </c>
      <c r="B935" t="s">
        <v>1403</v>
      </c>
      <c r="C935" t="s">
        <v>1404</v>
      </c>
      <c r="D935" t="s">
        <v>1404</v>
      </c>
      <c r="E935" t="s">
        <v>15</v>
      </c>
      <c r="F935" t="s">
        <v>16</v>
      </c>
      <c r="G935" t="s">
        <v>54</v>
      </c>
      <c r="H935" s="1">
        <v>169.8749</v>
      </c>
    </row>
    <row r="936" spans="1:8" hidden="1" x14ac:dyDescent="0.25">
      <c r="A936" s="5" t="str">
        <f>HYPERLINK("https://app.vivvix.com/360/KMI/IntelliDrive/ApplUI/Pages/CreativePages/CustomReportCreativeDetail.aspx?App=23&amp;ReportView=4&amp;Qid=1711242&amp;Row=928&amp;Col=1","No Title Assigned - #15284037979")</f>
        <v>No Title Assigned - #15284037979</v>
      </c>
      <c r="B936" t="s">
        <v>1405</v>
      </c>
      <c r="C936" t="s">
        <v>1406</v>
      </c>
      <c r="D936" t="s">
        <v>1369</v>
      </c>
      <c r="E936" t="s">
        <v>15</v>
      </c>
      <c r="F936" t="s">
        <v>16</v>
      </c>
      <c r="G936" t="s">
        <v>54</v>
      </c>
      <c r="H936" s="1">
        <v>169.8749</v>
      </c>
    </row>
    <row r="937" spans="1:8" hidden="1" x14ac:dyDescent="0.25">
      <c r="A937" s="5" t="str">
        <f>HYPERLINK("https://app.vivvix.com/360/KMI/IntelliDrive/ApplUI/Pages/CreativePages/CustomReportCreativeDetail.aspx?App=23&amp;ReportView=4&amp;Qid=1711242&amp;Row=929&amp;Col=1","No Title Assigned - #15284148713")</f>
        <v>No Title Assigned - #15284148713</v>
      </c>
      <c r="B937" t="s">
        <v>1407</v>
      </c>
      <c r="C937" t="s">
        <v>1408</v>
      </c>
      <c r="D937" t="s">
        <v>1408</v>
      </c>
      <c r="E937" t="s">
        <v>15</v>
      </c>
      <c r="F937" t="s">
        <v>16</v>
      </c>
      <c r="G937" t="s">
        <v>54</v>
      </c>
      <c r="H937" s="1">
        <v>169.8749</v>
      </c>
    </row>
    <row r="938" spans="1:8" hidden="1" x14ac:dyDescent="0.25">
      <c r="A938" s="5" t="str">
        <f>HYPERLINK("https://app.vivvix.com/360/KMI/IntelliDrive/ApplUI/Pages/CreativePages/CustomReportCreativeDetail.aspx?App=23&amp;ReportView=4&amp;Qid=1711242&amp;Row=930&amp;Col=1","No Title Assigned - #15284207746")</f>
        <v>No Title Assigned - #15284207746</v>
      </c>
      <c r="B938" t="s">
        <v>1409</v>
      </c>
      <c r="E938" t="s">
        <v>15</v>
      </c>
      <c r="F938" t="s">
        <v>15</v>
      </c>
      <c r="G938" t="s">
        <v>137</v>
      </c>
      <c r="H938" s="1">
        <v>5.94</v>
      </c>
    </row>
    <row r="939" spans="1:8" hidden="1" x14ac:dyDescent="0.25">
      <c r="A939" s="5" t="str">
        <f>HYPERLINK("https://app.vivvix.com/360/KMI/IntelliDrive/ApplUI/Pages/CreativePages/CustomReportCreativeDetail.aspx?App=23&amp;ReportView=4&amp;Qid=1711242&amp;Row=931&amp;Col=1","No Title Assigned - #15284212732")</f>
        <v>No Title Assigned - #15284212732</v>
      </c>
      <c r="B939" t="s">
        <v>1410</v>
      </c>
      <c r="C939" t="s">
        <v>1411</v>
      </c>
      <c r="D939" t="s">
        <v>1411</v>
      </c>
      <c r="E939" t="s">
        <v>15</v>
      </c>
      <c r="F939" t="s">
        <v>181</v>
      </c>
      <c r="G939" t="s">
        <v>182</v>
      </c>
      <c r="H939" s="1">
        <v>1360.3389999999999</v>
      </c>
    </row>
    <row r="940" spans="1:8" hidden="1" x14ac:dyDescent="0.25">
      <c r="A940" s="5" t="str">
        <f>HYPERLINK("https://app.vivvix.com/360/KMI/IntelliDrive/ApplUI/Pages/CreativePages/CustomReportCreativeDetail.aspx?App=23&amp;ReportView=4&amp;Qid=1711242&amp;Row=932&amp;Col=1","No Title Assigned - #15284358392")</f>
        <v>No Title Assigned - #15284358392</v>
      </c>
      <c r="B940" t="s">
        <v>1412</v>
      </c>
      <c r="E940" t="s">
        <v>15</v>
      </c>
      <c r="F940" t="s">
        <v>15</v>
      </c>
      <c r="G940" t="s">
        <v>137</v>
      </c>
      <c r="H940" s="1">
        <v>971.94839999999999</v>
      </c>
    </row>
    <row r="941" spans="1:8" hidden="1" x14ac:dyDescent="0.25">
      <c r="A941" s="5" t="str">
        <f>HYPERLINK("https://app.vivvix.com/360/KMI/IntelliDrive/ApplUI/Pages/CreativePages/CustomReportCreativeDetail.aspx?App=23&amp;ReportView=4&amp;Qid=1711242&amp;Row=933&amp;Col=1","No Title Assigned - #15284378391")</f>
        <v>No Title Assigned - #15284378391</v>
      </c>
      <c r="B941" t="s">
        <v>1413</v>
      </c>
      <c r="E941" t="s">
        <v>15</v>
      </c>
      <c r="F941" t="s">
        <v>15</v>
      </c>
      <c r="G941" t="s">
        <v>137</v>
      </c>
      <c r="H941" s="1">
        <v>438.56459999999998</v>
      </c>
    </row>
    <row r="942" spans="1:8" hidden="1" x14ac:dyDescent="0.25">
      <c r="A942" s="5" t="str">
        <f>HYPERLINK("https://app.vivvix.com/360/KMI/IntelliDrive/ApplUI/Pages/CreativePages/CustomReportCreativeDetail.aspx?App=23&amp;ReportView=4&amp;Qid=1711242&amp;Row=934&amp;Col=1","No Title Assigned - #15284448263")</f>
        <v>No Title Assigned - #15284448263</v>
      </c>
      <c r="B942" t="s">
        <v>1414</v>
      </c>
      <c r="E942" t="s">
        <v>15</v>
      </c>
      <c r="F942" t="s">
        <v>15</v>
      </c>
      <c r="G942" t="s">
        <v>137</v>
      </c>
      <c r="H942" s="1">
        <v>793.88409999999999</v>
      </c>
    </row>
    <row r="943" spans="1:8" hidden="1" x14ac:dyDescent="0.25">
      <c r="A943" s="5" t="str">
        <f>HYPERLINK("https://app.vivvix.com/360/KMI/IntelliDrive/ApplUI/Pages/CreativePages/CustomReportCreativeDetail.aspx?App=23&amp;ReportView=4&amp;Qid=1711242&amp;Row=935&amp;Col=1","No Title Assigned - #15284449985")</f>
        <v>No Title Assigned - #15284449985</v>
      </c>
      <c r="B943" t="s">
        <v>1415</v>
      </c>
      <c r="C943" t="s">
        <v>1416</v>
      </c>
      <c r="D943" t="s">
        <v>1416</v>
      </c>
      <c r="E943" t="s">
        <v>15</v>
      </c>
      <c r="F943" t="s">
        <v>50</v>
      </c>
      <c r="G943" t="s">
        <v>51</v>
      </c>
      <c r="H943" s="1">
        <v>1775.895</v>
      </c>
    </row>
    <row r="944" spans="1:8" hidden="1" x14ac:dyDescent="0.25">
      <c r="A944" s="5" t="str">
        <f>HYPERLINK("https://app.vivvix.com/360/KMI/IntelliDrive/ApplUI/Pages/CreativePages/CustomReportCreativeDetail.aspx?App=23&amp;ReportView=4&amp;Qid=1711242&amp;Row=936&amp;Col=1","No Title Assigned - #15284454502")</f>
        <v>No Title Assigned - #15284454502</v>
      </c>
      <c r="B944" t="s">
        <v>1417</v>
      </c>
      <c r="C944" t="s">
        <v>1418</v>
      </c>
      <c r="D944" t="s">
        <v>1418</v>
      </c>
      <c r="E944" t="s">
        <v>15</v>
      </c>
      <c r="F944" t="s">
        <v>15</v>
      </c>
      <c r="G944" t="s">
        <v>522</v>
      </c>
      <c r="H944" s="1">
        <v>39514.554700000001</v>
      </c>
    </row>
    <row r="945" spans="1:8" hidden="1" x14ac:dyDescent="0.25">
      <c r="A945" s="5" t="str">
        <f>HYPERLINK("https://app.vivvix.com/360/KMI/IntelliDrive/ApplUI/Pages/CreativePages/CustomReportCreativeDetail.aspx?App=23&amp;ReportView=4&amp;Qid=1711242&amp;Row=937&amp;Col=1","No Title Assigned - #15284475089")</f>
        <v>No Title Assigned - #15284475089</v>
      </c>
      <c r="B945" t="s">
        <v>1419</v>
      </c>
      <c r="E945" t="s">
        <v>15</v>
      </c>
      <c r="F945" t="s">
        <v>15</v>
      </c>
      <c r="G945" t="s">
        <v>137</v>
      </c>
      <c r="H945" s="1">
        <v>690.65260000000001</v>
      </c>
    </row>
    <row r="946" spans="1:8" hidden="1" x14ac:dyDescent="0.25">
      <c r="A946" s="5" t="str">
        <f>HYPERLINK("https://app.vivvix.com/360/KMI/IntelliDrive/ApplUI/Pages/CreativePages/CustomReportCreativeDetail.aspx?App=23&amp;ReportView=4&amp;Qid=1711242&amp;Row=938&amp;Col=1","No Title Assigned - #15284475116")</f>
        <v>No Title Assigned - #15284475116</v>
      </c>
      <c r="B946" t="s">
        <v>1420</v>
      </c>
      <c r="C946" t="s">
        <v>1421</v>
      </c>
      <c r="D946" t="s">
        <v>1421</v>
      </c>
      <c r="E946" t="s">
        <v>15</v>
      </c>
      <c r="F946" t="s">
        <v>133</v>
      </c>
      <c r="G946" t="s">
        <v>187</v>
      </c>
      <c r="H946" s="1">
        <v>550.32629999999995</v>
      </c>
    </row>
    <row r="947" spans="1:8" hidden="1" x14ac:dyDescent="0.25">
      <c r="A947" s="5" t="str">
        <f>HYPERLINK("https://app.vivvix.com/360/KMI/IntelliDrive/ApplUI/Pages/CreativePages/CustomReportCreativeDetail.aspx?App=23&amp;ReportView=4&amp;Qid=1711242&amp;Row=939&amp;Col=1","No Title Assigned - #15284477580")</f>
        <v>No Title Assigned - #15284477580</v>
      </c>
      <c r="B947" t="s">
        <v>1422</v>
      </c>
      <c r="E947" t="s">
        <v>15</v>
      </c>
      <c r="F947" t="s">
        <v>15</v>
      </c>
      <c r="G947" t="s">
        <v>137</v>
      </c>
      <c r="H947" s="1">
        <v>1.8407</v>
      </c>
    </row>
    <row r="948" spans="1:8" hidden="1" x14ac:dyDescent="0.25">
      <c r="A948" s="5" t="str">
        <f>HYPERLINK("https://app.vivvix.com/360/KMI/IntelliDrive/ApplUI/Pages/CreativePages/CustomReportCreativeDetail.aspx?App=23&amp;ReportView=4&amp;Qid=1711242&amp;Row=940&amp;Col=1","No Title Assigned - #15284561790")</f>
        <v>No Title Assigned - #15284561790</v>
      </c>
      <c r="B948" t="s">
        <v>1423</v>
      </c>
      <c r="C948" t="s">
        <v>1424</v>
      </c>
      <c r="D948" t="s">
        <v>1424</v>
      </c>
      <c r="E948" t="s">
        <v>15</v>
      </c>
      <c r="F948" t="s">
        <v>133</v>
      </c>
      <c r="G948" t="s">
        <v>187</v>
      </c>
      <c r="H948" s="1">
        <v>1.4782</v>
      </c>
    </row>
    <row r="949" spans="1:8" hidden="1" x14ac:dyDescent="0.25">
      <c r="A949" s="5" t="str">
        <f>HYPERLINK("https://app.vivvix.com/360/KMI/IntelliDrive/ApplUI/Pages/CreativePages/CustomReportCreativeDetail.aspx?App=23&amp;ReportView=4&amp;Qid=1711242&amp;Row=941&amp;Col=1","No Title Assigned - #15284572020")</f>
        <v>No Title Assigned - #15284572020</v>
      </c>
      <c r="B949" t="s">
        <v>1425</v>
      </c>
      <c r="C949" t="s">
        <v>1426</v>
      </c>
      <c r="D949" t="s">
        <v>1426</v>
      </c>
      <c r="E949" t="s">
        <v>15</v>
      </c>
      <c r="F949" t="s">
        <v>133</v>
      </c>
      <c r="G949" t="s">
        <v>187</v>
      </c>
      <c r="H949" s="1">
        <v>0.18540000000000001</v>
      </c>
    </row>
    <row r="950" spans="1:8" hidden="1" x14ac:dyDescent="0.25">
      <c r="A950" s="5" t="str">
        <f>HYPERLINK("https://app.vivvix.com/360/KMI/IntelliDrive/ApplUI/Pages/CreativePages/CustomReportCreativeDetail.aspx?App=23&amp;ReportView=4&amp;Qid=1711242&amp;Row=942&amp;Col=1","No Title Assigned - #15284594500")</f>
        <v>No Title Assigned - #15284594500</v>
      </c>
      <c r="B950" t="s">
        <v>1427</v>
      </c>
      <c r="C950" t="s">
        <v>1428</v>
      </c>
      <c r="D950" t="s">
        <v>1428</v>
      </c>
      <c r="E950" t="s">
        <v>15</v>
      </c>
      <c r="F950" t="s">
        <v>15</v>
      </c>
      <c r="G950" t="s">
        <v>119</v>
      </c>
      <c r="H950" s="1">
        <v>793.88409999999999</v>
      </c>
    </row>
    <row r="951" spans="1:8" hidden="1" x14ac:dyDescent="0.25">
      <c r="A951" s="5" t="str">
        <f>HYPERLINK("https://app.vivvix.com/360/KMI/IntelliDrive/ApplUI/Pages/CreativePages/CustomReportCreativeDetail.aspx?App=23&amp;ReportView=4&amp;Qid=1711242&amp;Row=943&amp;Col=1","No Title Assigned - #15284603228")</f>
        <v>No Title Assigned - #15284603228</v>
      </c>
      <c r="B951" t="s">
        <v>1429</v>
      </c>
      <c r="C951" t="s">
        <v>1430</v>
      </c>
      <c r="D951" t="s">
        <v>1430</v>
      </c>
      <c r="E951" t="s">
        <v>15</v>
      </c>
      <c r="F951" t="s">
        <v>16</v>
      </c>
      <c r="G951" t="s">
        <v>54</v>
      </c>
      <c r="H951" s="1">
        <v>855.62099999999998</v>
      </c>
    </row>
    <row r="952" spans="1:8" hidden="1" x14ac:dyDescent="0.25">
      <c r="A952" s="5" t="str">
        <f>HYPERLINK("https://app.vivvix.com/360/KMI/IntelliDrive/ApplUI/Pages/CreativePages/CustomReportCreativeDetail.aspx?App=23&amp;ReportView=4&amp;Qid=1711242&amp;Row=944&amp;Col=1","No Title Assigned - #15284676576")</f>
        <v>No Title Assigned - #15284676576</v>
      </c>
      <c r="B952" t="s">
        <v>1431</v>
      </c>
      <c r="C952" t="s">
        <v>1432</v>
      </c>
      <c r="D952" t="s">
        <v>1432</v>
      </c>
      <c r="E952" t="s">
        <v>15</v>
      </c>
      <c r="F952" t="s">
        <v>16</v>
      </c>
      <c r="G952" t="s">
        <v>54</v>
      </c>
      <c r="H952" s="1">
        <v>2610.6423</v>
      </c>
    </row>
    <row r="953" spans="1:8" hidden="1" x14ac:dyDescent="0.25">
      <c r="A953" s="5" t="str">
        <f>HYPERLINK("https://app.vivvix.com/360/KMI/IntelliDrive/ApplUI/Pages/CreativePages/CustomReportCreativeDetail.aspx?App=23&amp;ReportView=4&amp;Qid=1711242&amp;Row=945&amp;Col=1","No Title Assigned - #15284707819")</f>
        <v>No Title Assigned - #15284707819</v>
      </c>
      <c r="B953" t="s">
        <v>1433</v>
      </c>
      <c r="C953" t="s">
        <v>1434</v>
      </c>
      <c r="D953" t="s">
        <v>1434</v>
      </c>
      <c r="E953" t="s">
        <v>15</v>
      </c>
      <c r="F953" t="s">
        <v>50</v>
      </c>
      <c r="G953" t="s">
        <v>51</v>
      </c>
      <c r="H953" s="1">
        <v>441.47430000000003</v>
      </c>
    </row>
    <row r="954" spans="1:8" hidden="1" x14ac:dyDescent="0.25">
      <c r="A954" s="5" t="str">
        <f>HYPERLINK("https://app.vivvix.com/360/KMI/IntelliDrive/ApplUI/Pages/CreativePages/CustomReportCreativeDetail.aspx?App=23&amp;ReportView=4&amp;Qid=1711242&amp;Row=946&amp;Col=1","No Title Assigned - #15284718497")</f>
        <v>No Title Assigned - #15284718497</v>
      </c>
      <c r="B954" t="s">
        <v>1435</v>
      </c>
      <c r="C954" t="s">
        <v>1436</v>
      </c>
      <c r="D954" t="s">
        <v>1436</v>
      </c>
      <c r="E954" t="s">
        <v>15</v>
      </c>
      <c r="F954" t="s">
        <v>16</v>
      </c>
      <c r="G954" t="s">
        <v>54</v>
      </c>
      <c r="H954" s="1">
        <v>123.01730000000001</v>
      </c>
    </row>
    <row r="955" spans="1:8" hidden="1" x14ac:dyDescent="0.25">
      <c r="A955" s="5" t="str">
        <f>HYPERLINK("https://app.vivvix.com/360/KMI/IntelliDrive/ApplUI/Pages/CreativePages/CustomReportCreativeDetail.aspx?App=23&amp;ReportView=4&amp;Qid=1711242&amp;Row=947&amp;Col=1","No Title Assigned - #15284754606")</f>
        <v>No Title Assigned - #15284754606</v>
      </c>
      <c r="B955" t="s">
        <v>1437</v>
      </c>
      <c r="C955" t="s">
        <v>1438</v>
      </c>
      <c r="D955" t="s">
        <v>1438</v>
      </c>
      <c r="E955" t="s">
        <v>15</v>
      </c>
      <c r="F955" t="s">
        <v>133</v>
      </c>
      <c r="G955" t="s">
        <v>187</v>
      </c>
      <c r="H955" s="1">
        <v>1.3028999999999999</v>
      </c>
    </row>
    <row r="956" spans="1:8" hidden="1" x14ac:dyDescent="0.25">
      <c r="A956" s="5" t="str">
        <f>HYPERLINK("https://app.vivvix.com/360/KMI/IntelliDrive/ApplUI/Pages/CreativePages/CustomReportCreativeDetail.aspx?App=23&amp;ReportView=4&amp;Qid=1711242&amp;Row=948&amp;Col=1","No Title Assigned - #15284788401")</f>
        <v>No Title Assigned - #15284788401</v>
      </c>
      <c r="B956" t="s">
        <v>1439</v>
      </c>
      <c r="C956" t="s">
        <v>1440</v>
      </c>
      <c r="D956" t="s">
        <v>1440</v>
      </c>
      <c r="E956" t="s">
        <v>15</v>
      </c>
      <c r="F956" t="s">
        <v>133</v>
      </c>
      <c r="G956" t="s">
        <v>187</v>
      </c>
      <c r="H956" s="1">
        <v>2000.9701</v>
      </c>
    </row>
    <row r="957" spans="1:8" hidden="1" x14ac:dyDescent="0.25">
      <c r="A957" s="5" t="str">
        <f>HYPERLINK("https://app.vivvix.com/360/KMI/IntelliDrive/ApplUI/Pages/CreativePages/CustomReportCreativeDetail.aspx?App=23&amp;ReportView=4&amp;Qid=1711242&amp;Row=949&amp;Col=1","No Title Assigned - #15284891067")</f>
        <v>No Title Assigned - #15284891067</v>
      </c>
      <c r="B957" t="s">
        <v>1441</v>
      </c>
      <c r="C957" t="s">
        <v>1442</v>
      </c>
      <c r="D957" t="s">
        <v>1442</v>
      </c>
      <c r="E957" t="s">
        <v>15</v>
      </c>
      <c r="F957" t="s">
        <v>16</v>
      </c>
      <c r="G957" t="s">
        <v>54</v>
      </c>
      <c r="H957" s="1">
        <v>1666.0362</v>
      </c>
    </row>
    <row r="958" spans="1:8" hidden="1" x14ac:dyDescent="0.25">
      <c r="A958" s="5" t="str">
        <f>HYPERLINK("https://app.vivvix.com/360/KMI/IntelliDrive/ApplUI/Pages/CreativePages/CustomReportCreativeDetail.aspx?App=23&amp;ReportView=4&amp;Qid=1711242&amp;Row=950&amp;Col=1","No Title Assigned - #15284912399")</f>
        <v>No Title Assigned - #15284912399</v>
      </c>
      <c r="B958" t="s">
        <v>1443</v>
      </c>
      <c r="E958" t="s">
        <v>15</v>
      </c>
      <c r="F958" t="s">
        <v>15</v>
      </c>
      <c r="G958" t="s">
        <v>137</v>
      </c>
      <c r="H958" s="1">
        <v>454.69510000000002</v>
      </c>
    </row>
    <row r="959" spans="1:8" hidden="1" x14ac:dyDescent="0.25">
      <c r="A959" s="5" t="str">
        <f>HYPERLINK("https://app.vivvix.com/360/KMI/IntelliDrive/ApplUI/Pages/CreativePages/CustomReportCreativeDetail.aspx?App=23&amp;ReportView=4&amp;Qid=1711242&amp;Row=951&amp;Col=1","No Title Assigned - #15284920283")</f>
        <v>No Title Assigned - #15284920283</v>
      </c>
      <c r="B959" t="s">
        <v>1444</v>
      </c>
      <c r="C959" t="s">
        <v>1445</v>
      </c>
      <c r="D959" t="s">
        <v>1445</v>
      </c>
      <c r="E959" t="s">
        <v>15</v>
      </c>
      <c r="F959" t="s">
        <v>20</v>
      </c>
      <c r="G959" t="s">
        <v>31</v>
      </c>
      <c r="H959" s="1">
        <v>921.68920000000003</v>
      </c>
    </row>
    <row r="960" spans="1:8" hidden="1" x14ac:dyDescent="0.25">
      <c r="A960" s="5" t="str">
        <f>HYPERLINK("https://app.vivvix.com/360/KMI/IntelliDrive/ApplUI/Pages/CreativePages/CustomReportCreativeDetail.aspx?App=23&amp;ReportView=4&amp;Qid=1711242&amp;Row=952&amp;Col=1","No Title Assigned - #15284953121")</f>
        <v>No Title Assigned - #15284953121</v>
      </c>
      <c r="B960" t="s">
        <v>1446</v>
      </c>
      <c r="E960" t="s">
        <v>15</v>
      </c>
      <c r="F960" t="s">
        <v>15</v>
      </c>
      <c r="G960" t="s">
        <v>137</v>
      </c>
      <c r="H960" s="1">
        <v>23.726700000000001</v>
      </c>
    </row>
    <row r="961" spans="1:8" hidden="1" x14ac:dyDescent="0.25">
      <c r="A961" s="5" t="str">
        <f>HYPERLINK("https://app.vivvix.com/360/KMI/IntelliDrive/ApplUI/Pages/CreativePages/CustomReportCreativeDetail.aspx?App=23&amp;ReportView=4&amp;Qid=1711242&amp;Row=953&amp;Col=1","No Title Assigned - #15284955523")</f>
        <v>No Title Assigned - #15284955523</v>
      </c>
      <c r="B961" t="s">
        <v>1447</v>
      </c>
      <c r="E961" t="s">
        <v>15</v>
      </c>
      <c r="F961" t="s">
        <v>15</v>
      </c>
      <c r="G961" t="s">
        <v>137</v>
      </c>
      <c r="H961" s="1">
        <v>47.453400000000002</v>
      </c>
    </row>
    <row r="962" spans="1:8" hidden="1" x14ac:dyDescent="0.25">
      <c r="A962" s="5" t="str">
        <f>HYPERLINK("https://app.vivvix.com/360/KMI/IntelliDrive/ApplUI/Pages/CreativePages/CustomReportCreativeDetail.aspx?App=23&amp;ReportView=4&amp;Qid=1711242&amp;Row=954&amp;Col=1","No Title Assigned - #15285022391")</f>
        <v>No Title Assigned - #15285022391</v>
      </c>
      <c r="B962" t="s">
        <v>1448</v>
      </c>
      <c r="E962" t="s">
        <v>15</v>
      </c>
      <c r="F962" t="s">
        <v>15</v>
      </c>
      <c r="G962" t="s">
        <v>137</v>
      </c>
      <c r="H962" s="1">
        <v>23.726700000000001</v>
      </c>
    </row>
    <row r="963" spans="1:8" hidden="1" x14ac:dyDescent="0.25">
      <c r="A963" s="5" t="str">
        <f>HYPERLINK("https://app.vivvix.com/360/KMI/IntelliDrive/ApplUI/Pages/CreativePages/CustomReportCreativeDetail.aspx?App=23&amp;ReportView=4&amp;Qid=1711242&amp;Row=955&amp;Col=1","No Title Assigned - #15285047503")</f>
        <v>No Title Assigned - #15285047503</v>
      </c>
      <c r="B963" t="s">
        <v>1449</v>
      </c>
      <c r="C963" t="s">
        <v>1450</v>
      </c>
      <c r="D963" t="s">
        <v>1450</v>
      </c>
      <c r="E963" t="s">
        <v>15</v>
      </c>
      <c r="F963" t="s">
        <v>133</v>
      </c>
      <c r="G963" t="s">
        <v>187</v>
      </c>
      <c r="H963" s="1">
        <v>1.7776000000000001</v>
      </c>
    </row>
    <row r="964" spans="1:8" hidden="1" x14ac:dyDescent="0.25">
      <c r="A964" s="5" t="str">
        <f>HYPERLINK("https://app.vivvix.com/360/KMI/IntelliDrive/ApplUI/Pages/CreativePages/CustomReportCreativeDetail.aspx?App=23&amp;ReportView=4&amp;Qid=1711242&amp;Row=956&amp;Col=1","No Title Assigned - #15285057870")</f>
        <v>No Title Assigned - #15285057870</v>
      </c>
      <c r="B964" t="s">
        <v>1451</v>
      </c>
      <c r="E964" t="s">
        <v>15</v>
      </c>
      <c r="F964" t="s">
        <v>15</v>
      </c>
      <c r="G964" t="s">
        <v>137</v>
      </c>
      <c r="H964" s="1">
        <v>1088.2814000000001</v>
      </c>
    </row>
    <row r="965" spans="1:8" hidden="1" x14ac:dyDescent="0.25">
      <c r="A965" s="5" t="str">
        <f>HYPERLINK("https://app.vivvix.com/360/KMI/IntelliDrive/ApplUI/Pages/CreativePages/CustomReportCreativeDetail.aspx?App=23&amp;ReportView=4&amp;Qid=1711242&amp;Row=957&amp;Col=1","No Title Assigned - #15285093104")</f>
        <v>No Title Assigned - #15285093104</v>
      </c>
      <c r="B965" t="s">
        <v>1452</v>
      </c>
      <c r="C965" t="s">
        <v>1453</v>
      </c>
      <c r="D965" t="s">
        <v>1453</v>
      </c>
      <c r="E965" t="s">
        <v>15</v>
      </c>
      <c r="F965" t="s">
        <v>133</v>
      </c>
      <c r="G965" t="s">
        <v>187</v>
      </c>
      <c r="H965" s="1">
        <v>0.16159999999999999</v>
      </c>
    </row>
    <row r="966" spans="1:8" hidden="1" x14ac:dyDescent="0.25">
      <c r="A966" s="5" t="str">
        <f>HYPERLINK("https://app.vivvix.com/360/KMI/IntelliDrive/ApplUI/Pages/CreativePages/CustomReportCreativeDetail.aspx?App=23&amp;ReportView=4&amp;Qid=1711242&amp;Row=958&amp;Col=1","No Title Assigned - #15285170549")</f>
        <v>No Title Assigned - #15285170549</v>
      </c>
      <c r="B966" t="s">
        <v>1454</v>
      </c>
      <c r="C966" t="s">
        <v>1455</v>
      </c>
      <c r="D966" t="s">
        <v>1455</v>
      </c>
      <c r="E966" t="s">
        <v>15</v>
      </c>
      <c r="F966" t="s">
        <v>16</v>
      </c>
      <c r="G966" t="s">
        <v>54</v>
      </c>
      <c r="H966" s="1">
        <v>2195.1952999999999</v>
      </c>
    </row>
    <row r="967" spans="1:8" hidden="1" x14ac:dyDescent="0.25">
      <c r="A967" s="5" t="str">
        <f>HYPERLINK("https://app.vivvix.com/360/KMI/IntelliDrive/ApplUI/Pages/CreativePages/CustomReportCreativeDetail.aspx?App=23&amp;ReportView=4&amp;Qid=1711242&amp;Row=959&amp;Col=1","No Title Assigned - #15285182008")</f>
        <v>No Title Assigned - #15285182008</v>
      </c>
      <c r="B967" t="s">
        <v>1456</v>
      </c>
      <c r="C967" t="s">
        <v>1457</v>
      </c>
      <c r="D967" t="s">
        <v>1457</v>
      </c>
      <c r="E967" t="s">
        <v>15</v>
      </c>
      <c r="F967" t="s">
        <v>133</v>
      </c>
      <c r="G967" t="s">
        <v>187</v>
      </c>
      <c r="H967" s="1">
        <v>0.32319999999999999</v>
      </c>
    </row>
    <row r="968" spans="1:8" hidden="1" x14ac:dyDescent="0.25">
      <c r="A968" s="5" t="str">
        <f>HYPERLINK("https://app.vivvix.com/360/KMI/IntelliDrive/ApplUI/Pages/CreativePages/CustomReportCreativeDetail.aspx?App=23&amp;ReportView=4&amp;Qid=1711242&amp;Row=960&amp;Col=1","No Title Assigned - #15285185834")</f>
        <v>No Title Assigned - #15285185834</v>
      </c>
      <c r="B968" t="s">
        <v>1458</v>
      </c>
      <c r="C968" t="s">
        <v>1459</v>
      </c>
      <c r="D968" t="s">
        <v>1459</v>
      </c>
      <c r="E968" t="s">
        <v>15</v>
      </c>
      <c r="F968" t="s">
        <v>133</v>
      </c>
      <c r="G968" t="s">
        <v>187</v>
      </c>
      <c r="H968" s="1">
        <v>35.444699999999997</v>
      </c>
    </row>
    <row r="969" spans="1:8" hidden="1" x14ac:dyDescent="0.25">
      <c r="A969" s="5" t="str">
        <f>HYPERLINK("https://app.vivvix.com/360/KMI/IntelliDrive/ApplUI/Pages/CreativePages/CustomReportCreativeDetail.aspx?App=23&amp;ReportView=4&amp;Qid=1711242&amp;Row=961&amp;Col=1","No Title Assigned - #15285185860")</f>
        <v>No Title Assigned - #15285185860</v>
      </c>
      <c r="B969" t="s">
        <v>1460</v>
      </c>
      <c r="C969" t="s">
        <v>1461</v>
      </c>
      <c r="D969" t="s">
        <v>1461</v>
      </c>
      <c r="E969" t="s">
        <v>15</v>
      </c>
      <c r="F969" t="s">
        <v>133</v>
      </c>
      <c r="G969" t="s">
        <v>187</v>
      </c>
      <c r="H969" s="1">
        <v>8.3400000000000002E-2</v>
      </c>
    </row>
    <row r="970" spans="1:8" hidden="1" x14ac:dyDescent="0.25">
      <c r="A970" s="5" t="str">
        <f>HYPERLINK("https://app.vivvix.com/360/KMI/IntelliDrive/ApplUI/Pages/CreativePages/CustomReportCreativeDetail.aspx?App=23&amp;ReportView=4&amp;Qid=1711242&amp;Row=962&amp;Col=1","No Title Assigned - #15285190260")</f>
        <v>No Title Assigned - #15285190260</v>
      </c>
      <c r="B970" t="s">
        <v>1462</v>
      </c>
      <c r="C970" t="s">
        <v>1463</v>
      </c>
      <c r="D970" t="s">
        <v>1463</v>
      </c>
      <c r="E970" t="s">
        <v>15</v>
      </c>
      <c r="F970" t="s">
        <v>133</v>
      </c>
      <c r="G970" t="s">
        <v>187</v>
      </c>
      <c r="H970" s="1">
        <v>0.16159999999999999</v>
      </c>
    </row>
    <row r="971" spans="1:8" hidden="1" x14ac:dyDescent="0.25">
      <c r="A971" s="5" t="str">
        <f>HYPERLINK("https://app.vivvix.com/360/KMI/IntelliDrive/ApplUI/Pages/CreativePages/CustomReportCreativeDetail.aspx?App=23&amp;ReportView=4&amp;Qid=1711242&amp;Row=963&amp;Col=1","No Title Assigned - #15285319990")</f>
        <v>No Title Assigned - #15285319990</v>
      </c>
      <c r="B971" t="s">
        <v>1464</v>
      </c>
      <c r="C971" t="s">
        <v>1465</v>
      </c>
      <c r="D971" t="s">
        <v>1465</v>
      </c>
      <c r="E971" t="s">
        <v>15</v>
      </c>
      <c r="F971" t="s">
        <v>16</v>
      </c>
      <c r="G971" t="s">
        <v>54</v>
      </c>
      <c r="H971" s="1">
        <v>6357.6464999999998</v>
      </c>
    </row>
    <row r="972" spans="1:8" hidden="1" x14ac:dyDescent="0.25">
      <c r="A972" s="5" t="str">
        <f>HYPERLINK("https://app.vivvix.com/360/KMI/IntelliDrive/ApplUI/Pages/CreativePages/CustomReportCreativeDetail.aspx?App=23&amp;ReportView=4&amp;Qid=1711242&amp;Row=964&amp;Col=1","No Title Assigned - #15285644445")</f>
        <v>No Title Assigned - #15285644445</v>
      </c>
      <c r="B972" t="s">
        <v>1466</v>
      </c>
      <c r="C972" t="s">
        <v>1467</v>
      </c>
      <c r="D972" t="s">
        <v>1467</v>
      </c>
      <c r="E972" t="s">
        <v>15</v>
      </c>
      <c r="F972" t="s">
        <v>133</v>
      </c>
      <c r="G972" t="s">
        <v>187</v>
      </c>
      <c r="H972" s="1">
        <v>0.83860000000000001</v>
      </c>
    </row>
    <row r="973" spans="1:8" hidden="1" x14ac:dyDescent="0.25">
      <c r="A973" s="5" t="str">
        <f>HYPERLINK("https://app.vivvix.com/360/KMI/IntelliDrive/ApplUI/Pages/CreativePages/CustomReportCreativeDetail.aspx?App=23&amp;ReportView=4&amp;Qid=1711242&amp;Row=965&amp;Col=1","No Title Assigned - #15285667038")</f>
        <v>No Title Assigned - #15285667038</v>
      </c>
      <c r="B973" t="s">
        <v>1468</v>
      </c>
      <c r="E973" t="s">
        <v>15</v>
      </c>
      <c r="F973" t="s">
        <v>15</v>
      </c>
      <c r="G973" t="s">
        <v>137</v>
      </c>
      <c r="H973" s="1">
        <v>3822.9964</v>
      </c>
    </row>
    <row r="974" spans="1:8" hidden="1" x14ac:dyDescent="0.25">
      <c r="A974" s="5" t="str">
        <f>HYPERLINK("https://app.vivvix.com/360/KMI/IntelliDrive/ApplUI/Pages/CreativePages/CustomReportCreativeDetail.aspx?App=23&amp;ReportView=4&amp;Qid=1711242&amp;Row=966&amp;Col=1","No Title Assigned - #15285672417")</f>
        <v>No Title Assigned - #15285672417</v>
      </c>
      <c r="B974" t="s">
        <v>1469</v>
      </c>
      <c r="C974" t="s">
        <v>1470</v>
      </c>
      <c r="D974" t="s">
        <v>1470</v>
      </c>
      <c r="E974" t="s">
        <v>15</v>
      </c>
      <c r="F974" t="s">
        <v>15</v>
      </c>
      <c r="G974" t="s">
        <v>119</v>
      </c>
      <c r="H974" s="1">
        <v>423.36630000000002</v>
      </c>
    </row>
    <row r="975" spans="1:8" hidden="1" x14ac:dyDescent="0.25">
      <c r="A975" s="5" t="str">
        <f>HYPERLINK("https://app.vivvix.com/360/KMI/IntelliDrive/ApplUI/Pages/CreativePages/CustomReportCreativeDetail.aspx?App=23&amp;ReportView=4&amp;Qid=1711242&amp;Row=967&amp;Col=1","No Title Assigned - #15285773242")</f>
        <v>No Title Assigned - #15285773242</v>
      </c>
      <c r="B975" t="s">
        <v>1471</v>
      </c>
      <c r="C975" t="s">
        <v>1472</v>
      </c>
      <c r="D975" t="s">
        <v>1472</v>
      </c>
      <c r="E975" t="s">
        <v>15</v>
      </c>
      <c r="F975" t="s">
        <v>181</v>
      </c>
      <c r="G975" t="s">
        <v>182</v>
      </c>
      <c r="H975" s="1">
        <v>172.01570000000001</v>
      </c>
    </row>
    <row r="976" spans="1:8" hidden="1" x14ac:dyDescent="0.25">
      <c r="A976" s="5" t="str">
        <f>HYPERLINK("https://app.vivvix.com/360/KMI/IntelliDrive/ApplUI/Pages/CreativePages/CustomReportCreativeDetail.aspx?App=23&amp;ReportView=4&amp;Qid=1711242&amp;Row=968&amp;Col=1","No Title Assigned - #15285773311")</f>
        <v>No Title Assigned - #15285773311</v>
      </c>
      <c r="B976" t="s">
        <v>1473</v>
      </c>
      <c r="C976" t="s">
        <v>1474</v>
      </c>
      <c r="D976" t="s">
        <v>1474</v>
      </c>
      <c r="E976" t="s">
        <v>15</v>
      </c>
      <c r="F976" t="s">
        <v>181</v>
      </c>
      <c r="G976" t="s">
        <v>182</v>
      </c>
      <c r="H976" s="1">
        <v>344.03140000000002</v>
      </c>
    </row>
    <row r="977" spans="1:8" hidden="1" x14ac:dyDescent="0.25">
      <c r="A977" s="5" t="str">
        <f>HYPERLINK("https://app.vivvix.com/360/KMI/IntelliDrive/ApplUI/Pages/CreativePages/CustomReportCreativeDetail.aspx?App=23&amp;ReportView=4&amp;Qid=1711242&amp;Row=969&amp;Col=1","No Title Assigned - #15285796337")</f>
        <v>No Title Assigned - #15285796337</v>
      </c>
      <c r="B977" t="s">
        <v>1475</v>
      </c>
      <c r="C977" t="s">
        <v>1476</v>
      </c>
      <c r="D977" t="s">
        <v>1476</v>
      </c>
      <c r="E977" t="s">
        <v>15</v>
      </c>
      <c r="F977" t="s">
        <v>50</v>
      </c>
      <c r="G977" t="s">
        <v>51</v>
      </c>
      <c r="H977" s="1">
        <v>596.99869999999999</v>
      </c>
    </row>
    <row r="978" spans="1:8" hidden="1" x14ac:dyDescent="0.25">
      <c r="A978" s="5" t="str">
        <f>HYPERLINK("https://app.vivvix.com/360/KMI/IntelliDrive/ApplUI/Pages/CreativePages/CustomReportCreativeDetail.aspx?App=23&amp;ReportView=4&amp;Qid=1711242&amp;Row=970&amp;Col=1","No Title Assigned - #15285801823")</f>
        <v>No Title Assigned - #15285801823</v>
      </c>
      <c r="B978" t="s">
        <v>1477</v>
      </c>
      <c r="C978" t="s">
        <v>1478</v>
      </c>
      <c r="D978" t="s">
        <v>1478</v>
      </c>
      <c r="E978" t="s">
        <v>15</v>
      </c>
      <c r="F978" t="s">
        <v>50</v>
      </c>
      <c r="G978" t="s">
        <v>51</v>
      </c>
      <c r="H978" s="1">
        <v>1193.9974</v>
      </c>
    </row>
    <row r="979" spans="1:8" hidden="1" x14ac:dyDescent="0.25">
      <c r="A979" s="5" t="str">
        <f>HYPERLINK("https://app.vivvix.com/360/KMI/IntelliDrive/ApplUI/Pages/CreativePages/CustomReportCreativeDetail.aspx?App=23&amp;ReportView=4&amp;Qid=1711242&amp;Row=971&amp;Col=1","No Title Assigned - #15285837207")</f>
        <v>No Title Assigned - #15285837207</v>
      </c>
      <c r="B979" t="s">
        <v>1479</v>
      </c>
      <c r="C979" t="s">
        <v>1480</v>
      </c>
      <c r="D979" t="s">
        <v>1480</v>
      </c>
      <c r="E979" t="s">
        <v>15</v>
      </c>
      <c r="F979" t="s">
        <v>50</v>
      </c>
      <c r="G979" t="s">
        <v>51</v>
      </c>
      <c r="H979" s="1">
        <v>1903.9478999999999</v>
      </c>
    </row>
    <row r="980" spans="1:8" x14ac:dyDescent="0.25">
      <c r="A980" s="5" t="str">
        <f>HYPERLINK("https://app.vivvix.com/360/KMI/IntelliDrive/ApplUI/Pages/CreativePages/CustomReportCreativeDetail.aspx?App=23&amp;ReportView=4&amp;Qid=1711242&amp;Row=972&amp;Col=1","No Title Assigned - #15285837211")</f>
        <v>No Title Assigned - #15285837211</v>
      </c>
      <c r="B980" t="s">
        <v>1481</v>
      </c>
      <c r="C980" t="s">
        <v>1482</v>
      </c>
      <c r="D980" t="s">
        <v>1482</v>
      </c>
      <c r="E980" t="s">
        <v>15</v>
      </c>
      <c r="F980" t="s">
        <v>50</v>
      </c>
      <c r="G980" t="s">
        <v>51</v>
      </c>
      <c r="H980" s="1">
        <v>1903.9478999999999</v>
      </c>
    </row>
    <row r="981" spans="1:8" hidden="1" x14ac:dyDescent="0.25">
      <c r="A981" s="5" t="str">
        <f>HYPERLINK("https://app.vivvix.com/360/KMI/IntelliDrive/ApplUI/Pages/CreativePages/CustomReportCreativeDetail.aspx?App=23&amp;ReportView=4&amp;Qid=1711242&amp;Row=973&amp;Col=1","No Title Assigned - #15285850568")</f>
        <v>No Title Assigned - #15285850568</v>
      </c>
      <c r="B981" t="s">
        <v>1483</v>
      </c>
      <c r="C981" t="s">
        <v>1484</v>
      </c>
      <c r="D981" t="s">
        <v>1484</v>
      </c>
      <c r="E981" t="s">
        <v>15</v>
      </c>
      <c r="F981" t="s">
        <v>133</v>
      </c>
      <c r="G981" t="s">
        <v>187</v>
      </c>
      <c r="H981" s="1">
        <v>0.83860000000000001</v>
      </c>
    </row>
    <row r="982" spans="1:8" hidden="1" x14ac:dyDescent="0.25">
      <c r="A982" s="5" t="str">
        <f>HYPERLINK("https://app.vivvix.com/360/KMI/IntelliDrive/ApplUI/Pages/CreativePages/CustomReportCreativeDetail.aspx?App=23&amp;ReportView=4&amp;Qid=1711242&amp;Row=974&amp;Col=1","No Title Assigned - #15285895873")</f>
        <v>No Title Assigned - #15285895873</v>
      </c>
      <c r="B982" t="s">
        <v>1485</v>
      </c>
      <c r="C982" t="s">
        <v>1486</v>
      </c>
      <c r="D982" t="s">
        <v>1486</v>
      </c>
      <c r="E982" t="s">
        <v>15</v>
      </c>
      <c r="F982" t="s">
        <v>133</v>
      </c>
      <c r="G982" t="s">
        <v>187</v>
      </c>
      <c r="H982" s="1">
        <v>0.16159999999999999</v>
      </c>
    </row>
    <row r="983" spans="1:8" hidden="1" x14ac:dyDescent="0.25">
      <c r="A983" s="5" t="str">
        <f>HYPERLINK("https://app.vivvix.com/360/KMI/IntelliDrive/ApplUI/Pages/CreativePages/CustomReportCreativeDetail.aspx?App=23&amp;ReportView=4&amp;Qid=1711242&amp;Row=975&amp;Col=1","No Title Assigned - #15285906396")</f>
        <v>No Title Assigned - #15285906396</v>
      </c>
      <c r="B983" t="s">
        <v>1487</v>
      </c>
      <c r="C983" t="s">
        <v>1488</v>
      </c>
      <c r="D983" t="s">
        <v>1488</v>
      </c>
      <c r="E983" t="s">
        <v>15</v>
      </c>
      <c r="F983" t="s">
        <v>50</v>
      </c>
      <c r="G983" t="s">
        <v>51</v>
      </c>
      <c r="H983" s="1">
        <v>2658.1037999999999</v>
      </c>
    </row>
    <row r="984" spans="1:8" hidden="1" x14ac:dyDescent="0.25">
      <c r="A984" s="5" t="str">
        <f>HYPERLINK("https://app.vivvix.com/360/KMI/IntelliDrive/ApplUI/Pages/CreativePages/CustomReportCreativeDetail.aspx?App=23&amp;ReportView=4&amp;Qid=1711242&amp;Row=976&amp;Col=1","No Title Assigned - #15285989314")</f>
        <v>No Title Assigned - #15285989314</v>
      </c>
      <c r="B984" t="s">
        <v>1489</v>
      </c>
      <c r="C984" t="s">
        <v>1490</v>
      </c>
      <c r="D984" t="s">
        <v>1490</v>
      </c>
      <c r="E984" t="s">
        <v>15</v>
      </c>
      <c r="F984" t="s">
        <v>16</v>
      </c>
      <c r="G984" t="s">
        <v>54</v>
      </c>
      <c r="H984" s="1">
        <v>881.72339999999997</v>
      </c>
    </row>
    <row r="985" spans="1:8" hidden="1" x14ac:dyDescent="0.25">
      <c r="A985" s="5" t="str">
        <f>HYPERLINK("https://app.vivvix.com/360/KMI/IntelliDrive/ApplUI/Pages/CreativePages/CustomReportCreativeDetail.aspx?App=23&amp;ReportView=4&amp;Qid=1711242&amp;Row=977&amp;Col=1","No Title Assigned - #15285997298")</f>
        <v>No Title Assigned - #15285997298</v>
      </c>
      <c r="B985" t="s">
        <v>1491</v>
      </c>
      <c r="C985" t="s">
        <v>1492</v>
      </c>
      <c r="D985" t="s">
        <v>1492</v>
      </c>
      <c r="E985" t="s">
        <v>15</v>
      </c>
      <c r="F985" t="s">
        <v>133</v>
      </c>
      <c r="G985" t="s">
        <v>187</v>
      </c>
      <c r="H985" s="1">
        <v>547.83730000000003</v>
      </c>
    </row>
    <row r="986" spans="1:8" hidden="1" x14ac:dyDescent="0.25">
      <c r="A986" s="5" t="str">
        <f>HYPERLINK("https://app.vivvix.com/360/KMI/IntelliDrive/ApplUI/Pages/CreativePages/CustomReportCreativeDetail.aspx?App=23&amp;ReportView=4&amp;Qid=1711242&amp;Row=978&amp;Col=1","No Title Assigned - #3419805272")</f>
        <v>No Title Assigned - #3419805272</v>
      </c>
      <c r="B986" t="s">
        <v>1493</v>
      </c>
      <c r="C986" t="s">
        <v>1494</v>
      </c>
      <c r="D986" t="s">
        <v>1494</v>
      </c>
      <c r="E986" t="s">
        <v>15</v>
      </c>
      <c r="F986" t="s">
        <v>15</v>
      </c>
      <c r="G986" t="s">
        <v>1495</v>
      </c>
      <c r="H986" s="1">
        <v>637.05079999999998</v>
      </c>
    </row>
    <row r="987" spans="1:8" hidden="1" x14ac:dyDescent="0.25">
      <c r="A987" s="5" t="str">
        <f>HYPERLINK("https://app.vivvix.com/360/KMI/IntelliDrive/ApplUI/Pages/CreativePages/CustomReportCreativeDetail.aspx?App=23&amp;ReportView=4&amp;Qid=1711242&amp;Row=979&amp;Col=1","No Title Assigned - #586454369")</f>
        <v>No Title Assigned - #586454369</v>
      </c>
      <c r="B987" t="s">
        <v>1496</v>
      </c>
      <c r="C987" t="s">
        <v>1497</v>
      </c>
      <c r="D987" t="s">
        <v>1497</v>
      </c>
      <c r="E987" t="s">
        <v>15</v>
      </c>
      <c r="F987" t="s">
        <v>15</v>
      </c>
      <c r="G987" t="s">
        <v>119</v>
      </c>
      <c r="H987" s="1">
        <v>1210519</v>
      </c>
    </row>
    <row r="988" spans="1:8" hidden="1" x14ac:dyDescent="0.25">
      <c r="A988" s="5" t="str">
        <f>HYPERLINK("https://app.vivvix.com/360/KMI/IntelliDrive/ApplUI/Pages/CreativePages/CustomReportCreativeDetail.aspx?App=23&amp;ReportView=4&amp;Qid=1711242&amp;Row=980&amp;Col=1","No Title Assigned - #586454369")</f>
        <v>No Title Assigned - #586454369</v>
      </c>
      <c r="B988" t="s">
        <v>1496</v>
      </c>
      <c r="C988" t="s">
        <v>1497</v>
      </c>
      <c r="D988" t="s">
        <v>1497</v>
      </c>
      <c r="E988" t="s">
        <v>15</v>
      </c>
      <c r="F988" t="s">
        <v>15</v>
      </c>
      <c r="G988" t="s">
        <v>119</v>
      </c>
      <c r="H988" s="1">
        <v>1279303</v>
      </c>
    </row>
    <row r="989" spans="1:8" hidden="1" x14ac:dyDescent="0.25">
      <c r="A989" s="5" t="str">
        <f>HYPERLINK("https://app.vivvix.com/360/KMI/IntelliDrive/ApplUI/Pages/CreativePages/CustomReportCreativeDetail.aspx?App=23&amp;ReportView=4&amp;Qid=1711242&amp;Row=981&amp;Col=1","No Title Assigned - #586454369")</f>
        <v>No Title Assigned - #586454369</v>
      </c>
      <c r="B989" t="s">
        <v>1496</v>
      </c>
      <c r="C989" t="s">
        <v>1497</v>
      </c>
      <c r="D989" t="s">
        <v>1497</v>
      </c>
      <c r="E989" t="s">
        <v>15</v>
      </c>
      <c r="F989" t="s">
        <v>15</v>
      </c>
      <c r="G989" t="s">
        <v>119</v>
      </c>
      <c r="H989" s="1">
        <v>15196</v>
      </c>
    </row>
    <row r="990" spans="1:8" hidden="1" x14ac:dyDescent="0.25">
      <c r="A990" s="5" t="str">
        <f>HYPERLINK("https://app.vivvix.com/360/KMI/IntelliDrive/ApplUI/Pages/CreativePages/CustomReportCreativeDetail.aspx?App=23&amp;ReportView=4&amp;Qid=1711242&amp;Row=982&amp;Col=1","No Title Assigned - #586511531")</f>
        <v>No Title Assigned - #586511531</v>
      </c>
      <c r="B990" t="s">
        <v>1498</v>
      </c>
      <c r="C990" t="s">
        <v>1499</v>
      </c>
      <c r="D990" t="s">
        <v>1500</v>
      </c>
      <c r="E990" t="s">
        <v>15</v>
      </c>
      <c r="F990" t="s">
        <v>50</v>
      </c>
      <c r="G990" t="s">
        <v>65</v>
      </c>
      <c r="H990" s="1">
        <v>30832</v>
      </c>
    </row>
    <row r="991" spans="1:8" hidden="1" x14ac:dyDescent="0.25">
      <c r="A991" s="5" t="str">
        <f>HYPERLINK("https://app.vivvix.com/360/KMI/IntelliDrive/ApplUI/Pages/CreativePages/CustomReportCreativeDetail.aspx?App=23&amp;ReportView=4&amp;Qid=1711242&amp;Row=983&amp;Col=1","No Title Assigned - #586514309")</f>
        <v>No Title Assigned - #586514309</v>
      </c>
      <c r="B991" t="s">
        <v>1501</v>
      </c>
      <c r="C991" t="s">
        <v>19</v>
      </c>
      <c r="D991" t="s">
        <v>19</v>
      </c>
      <c r="E991" t="s">
        <v>15</v>
      </c>
      <c r="F991" t="s">
        <v>20</v>
      </c>
      <c r="G991" t="s">
        <v>21</v>
      </c>
      <c r="H991" s="1">
        <v>65</v>
      </c>
    </row>
    <row r="992" spans="1:8" hidden="1" x14ac:dyDescent="0.25">
      <c r="A992" s="5" t="str">
        <f>HYPERLINK("https://app.vivvix.com/360/KMI/IntelliDrive/ApplUI/Pages/CreativePages/CustomReportCreativeDetail.aspx?App=23&amp;ReportView=4&amp;Qid=1711242&amp;Row=984&amp;Col=1","No Title Assigned - #586519160")</f>
        <v>No Title Assigned - #586519160</v>
      </c>
      <c r="B992" t="s">
        <v>1502</v>
      </c>
      <c r="C992" t="s">
        <v>1499</v>
      </c>
      <c r="D992" t="s">
        <v>1500</v>
      </c>
      <c r="E992" t="s">
        <v>15</v>
      </c>
      <c r="F992" t="s">
        <v>50</v>
      </c>
      <c r="G992" t="s">
        <v>65</v>
      </c>
      <c r="H992" s="1">
        <v>6</v>
      </c>
    </row>
    <row r="993" spans="1:8" hidden="1" x14ac:dyDescent="0.25">
      <c r="A993" s="5" t="str">
        <f>HYPERLINK("https://app.vivvix.com/360/KMI/IntelliDrive/ApplUI/Pages/CreativePages/CustomReportCreativeDetail.aspx?App=23&amp;ReportView=4&amp;Qid=1711242&amp;Row=985&amp;Col=1","No Title Assigned - #586526116")</f>
        <v>No Title Assigned - #586526116</v>
      </c>
      <c r="B993" t="s">
        <v>1503</v>
      </c>
      <c r="C993" t="s">
        <v>1499</v>
      </c>
      <c r="D993" t="s">
        <v>1500</v>
      </c>
      <c r="E993" t="s">
        <v>15</v>
      </c>
      <c r="F993" t="s">
        <v>50</v>
      </c>
      <c r="G993" t="s">
        <v>65</v>
      </c>
      <c r="H993" s="1">
        <v>4388</v>
      </c>
    </row>
    <row r="994" spans="1:8" hidden="1" x14ac:dyDescent="0.25">
      <c r="A994" s="5" t="str">
        <f>HYPERLINK("https://app.vivvix.com/360/KMI/IntelliDrive/ApplUI/Pages/CreativePages/CustomReportCreativeDetail.aspx?App=23&amp;ReportView=4&amp;Qid=1711242&amp;Row=986&amp;Col=1","one night to dream")</f>
        <v>one night to dream</v>
      </c>
      <c r="B994" t="s">
        <v>1504</v>
      </c>
      <c r="C994" t="s">
        <v>1505</v>
      </c>
      <c r="D994" t="s">
        <v>1505</v>
      </c>
      <c r="E994" t="s">
        <v>15</v>
      </c>
      <c r="F994" t="s">
        <v>15</v>
      </c>
      <c r="G994" t="s">
        <v>119</v>
      </c>
      <c r="H994" s="1">
        <v>31178.49</v>
      </c>
    </row>
    <row r="995" spans="1:8" hidden="1" x14ac:dyDescent="0.25">
      <c r="A995" s="5" t="str">
        <f>HYPERLINK("https://app.vivvix.com/360/KMI/IntelliDrive/ApplUI/Pages/CreativePages/CustomReportCreativeDetail.aspx?App=23&amp;ReportView=4&amp;Qid=1711242&amp;Row=987&amp;Col=1","one night to dream")</f>
        <v>one night to dream</v>
      </c>
      <c r="B995" t="s">
        <v>1504</v>
      </c>
      <c r="E995" t="s">
        <v>15</v>
      </c>
      <c r="F995" t="s">
        <v>15</v>
      </c>
      <c r="G995" t="s">
        <v>119</v>
      </c>
      <c r="H995" s="1">
        <v>205454.38</v>
      </c>
    </row>
    <row r="996" spans="1:8" hidden="1" x14ac:dyDescent="0.25">
      <c r="A996" s="5" t="str">
        <f>HYPERLINK("https://app.vivvix.com/360/KMI/IntelliDrive/ApplUI/Pages/CreativePages/CustomReportCreativeDetail.aspx?App=23&amp;ReportView=4&amp;Qid=1711242&amp;Row=988&amp;Col=1","Over 15 Safety Features")</f>
        <v>Over 15 Safety Features</v>
      </c>
      <c r="B996" t="s">
        <v>1506</v>
      </c>
      <c r="C996" t="s">
        <v>324</v>
      </c>
      <c r="D996" t="s">
        <v>324</v>
      </c>
      <c r="E996" t="s">
        <v>15</v>
      </c>
      <c r="F996" t="s">
        <v>20</v>
      </c>
      <c r="G996" t="s">
        <v>31</v>
      </c>
      <c r="H996" s="1">
        <v>939074</v>
      </c>
    </row>
    <row r="997" spans="1:8" hidden="1" x14ac:dyDescent="0.25">
      <c r="A997" s="5" t="str">
        <f>HYPERLINK("https://app.vivvix.com/360/KMI/IntelliDrive/ApplUI/Pages/CreativePages/CustomReportCreativeDetail.aspx?App=23&amp;ReportView=4&amp;Qid=1711242&amp;Row=989&amp;Col=1","Over 15 Safety Features")</f>
        <v>Over 15 Safety Features</v>
      </c>
      <c r="B997" t="s">
        <v>1506</v>
      </c>
      <c r="C997" t="s">
        <v>324</v>
      </c>
      <c r="D997" t="s">
        <v>324</v>
      </c>
      <c r="E997" t="s">
        <v>15</v>
      </c>
      <c r="F997" t="s">
        <v>20</v>
      </c>
      <c r="G997" t="s">
        <v>31</v>
      </c>
      <c r="H997" s="1">
        <v>20013</v>
      </c>
    </row>
    <row r="998" spans="1:8" hidden="1" x14ac:dyDescent="0.25">
      <c r="A998" s="5" t="str">
        <f>HYPERLINK("https://app.vivvix.com/360/KMI/IntelliDrive/ApplUI/Pages/CreativePages/CustomReportCreativeDetail.aspx?App=23&amp;ReportView=4&amp;Qid=1711242&amp;Row=990&amp;Col=1","Over 15 Safety Features")</f>
        <v>Over 15 Safety Features</v>
      </c>
      <c r="B998" t="s">
        <v>1506</v>
      </c>
      <c r="C998" t="s">
        <v>324</v>
      </c>
      <c r="D998" t="s">
        <v>324</v>
      </c>
      <c r="E998" t="s">
        <v>15</v>
      </c>
      <c r="F998" t="s">
        <v>20</v>
      </c>
      <c r="G998" t="s">
        <v>31</v>
      </c>
      <c r="H998" s="1">
        <v>425667</v>
      </c>
    </row>
    <row r="999" spans="1:8" x14ac:dyDescent="0.25">
      <c r="A999" s="5" t="str">
        <f>HYPERLINK("https://app.vivvix.com/360/KMI/IntelliDrive/ApplUI/Pages/CreativePages/CustomReportCreativeDetail.aspx?App=23&amp;ReportView=4&amp;Qid=1711242&amp;Row=991&amp;Col=1","Over 15 Safety Features")</f>
        <v>Over 15 Safety Features</v>
      </c>
      <c r="B999" t="s">
        <v>1507</v>
      </c>
      <c r="C999" t="s">
        <v>324</v>
      </c>
      <c r="D999" t="s">
        <v>324</v>
      </c>
      <c r="E999" t="s">
        <v>15</v>
      </c>
      <c r="F999" t="s">
        <v>20</v>
      </c>
      <c r="G999" t="s">
        <v>31</v>
      </c>
      <c r="H999" s="1">
        <v>838239</v>
      </c>
    </row>
    <row r="1000" spans="1:8" hidden="1" x14ac:dyDescent="0.25">
      <c r="A1000" s="5" t="str">
        <f>HYPERLINK("https://app.vivvix.com/360/KMI/IntelliDrive/ApplUI/Pages/CreativePages/CustomReportCreativeDetail.aspx?App=23&amp;ReportView=4&amp;Qid=1711242&amp;Row=992&amp;Col=1","Over 15 Safety Features")</f>
        <v>Over 15 Safety Features</v>
      </c>
      <c r="B1000" t="s">
        <v>1508</v>
      </c>
      <c r="C1000" t="s">
        <v>324</v>
      </c>
      <c r="D1000" t="s">
        <v>324</v>
      </c>
      <c r="E1000" t="s">
        <v>15</v>
      </c>
      <c r="F1000" t="s">
        <v>20</v>
      </c>
      <c r="G1000" t="s">
        <v>31</v>
      </c>
      <c r="H1000" s="1">
        <v>438881</v>
      </c>
    </row>
    <row r="1001" spans="1:8" hidden="1" x14ac:dyDescent="0.25">
      <c r="A1001" s="5" t="str">
        <f>HYPERLINK("https://app.vivvix.com/360/KMI/IntelliDrive/ApplUI/Pages/CreativePages/CustomReportCreativeDetail.aspx?App=23&amp;ReportView=4&amp;Qid=1711242&amp;Row=993&amp;Col=1","Over 15 Safety Features")</f>
        <v>Over 15 Safety Features</v>
      </c>
      <c r="B1001" t="s">
        <v>1508</v>
      </c>
      <c r="C1001" t="s">
        <v>324</v>
      </c>
      <c r="D1001" t="s">
        <v>324</v>
      </c>
      <c r="E1001" t="s">
        <v>15</v>
      </c>
      <c r="F1001" t="s">
        <v>20</v>
      </c>
      <c r="G1001" t="s">
        <v>31</v>
      </c>
      <c r="H1001" s="1">
        <v>375347</v>
      </c>
    </row>
    <row r="1002" spans="1:8" hidden="1" x14ac:dyDescent="0.25">
      <c r="A1002" s="5" t="str">
        <f>HYPERLINK("https://app.vivvix.com/360/KMI/IntelliDrive/ApplUI/Pages/CreativePages/CustomReportCreativeDetail.aspx?App=23&amp;ReportView=4&amp;Qid=1711242&amp;Row=994&amp;Col=1","Over 15 Safety Features")</f>
        <v>Over 15 Safety Features</v>
      </c>
      <c r="B1002" t="s">
        <v>1508</v>
      </c>
      <c r="C1002" t="s">
        <v>324</v>
      </c>
      <c r="D1002" t="s">
        <v>324</v>
      </c>
      <c r="E1002" t="s">
        <v>15</v>
      </c>
      <c r="F1002" t="s">
        <v>20</v>
      </c>
      <c r="G1002" t="s">
        <v>31</v>
      </c>
      <c r="H1002" s="1">
        <v>48094</v>
      </c>
    </row>
    <row r="1003" spans="1:8" hidden="1" x14ac:dyDescent="0.25">
      <c r="A1003" s="5" t="str">
        <f>HYPERLINK("https://app.vivvix.com/360/KMI/IntelliDrive/ApplUI/Pages/CreativePages/CustomReportCreativeDetail.aspx?App=23&amp;ReportView=4&amp;Qid=1711242&amp;Row=995&amp;Col=1","Over 15 Safety Features")</f>
        <v>Over 15 Safety Features</v>
      </c>
      <c r="B1003" t="s">
        <v>1509</v>
      </c>
      <c r="C1003" t="s">
        <v>324</v>
      </c>
      <c r="D1003" t="s">
        <v>324</v>
      </c>
      <c r="E1003" t="s">
        <v>15</v>
      </c>
      <c r="F1003" t="s">
        <v>20</v>
      </c>
      <c r="G1003" t="s">
        <v>31</v>
      </c>
      <c r="H1003" s="1">
        <v>297105</v>
      </c>
    </row>
    <row r="1004" spans="1:8" hidden="1" x14ac:dyDescent="0.25">
      <c r="A1004" s="5" t="str">
        <f>HYPERLINK("https://app.vivvix.com/360/KMI/IntelliDrive/ApplUI/Pages/CreativePages/CustomReportCreativeDetail.aspx?App=23&amp;ReportView=4&amp;Qid=1711242&amp;Row=996&amp;Col=1","Over 15 Safety Features")</f>
        <v>Over 15 Safety Features</v>
      </c>
      <c r="B1004" t="s">
        <v>1509</v>
      </c>
      <c r="C1004" t="s">
        <v>324</v>
      </c>
      <c r="D1004" t="s">
        <v>324</v>
      </c>
      <c r="E1004" t="s">
        <v>15</v>
      </c>
      <c r="F1004" t="s">
        <v>20</v>
      </c>
      <c r="G1004" t="s">
        <v>31</v>
      </c>
      <c r="H1004" s="1">
        <v>53548</v>
      </c>
    </row>
    <row r="1005" spans="1:8" hidden="1" x14ac:dyDescent="0.25">
      <c r="A1005" s="5" t="str">
        <f>HYPERLINK("https://app.vivvix.com/360/KMI/IntelliDrive/ApplUI/Pages/CreativePages/CustomReportCreativeDetail.aspx?App=23&amp;ReportView=4&amp;Qid=1711242&amp;Row=997&amp;Col=1","Over 15 Safety Features")</f>
        <v>Over 15 Safety Features</v>
      </c>
      <c r="B1005" t="s">
        <v>1509</v>
      </c>
      <c r="C1005" t="s">
        <v>324</v>
      </c>
      <c r="D1005" t="s">
        <v>324</v>
      </c>
      <c r="E1005" t="s">
        <v>15</v>
      </c>
      <c r="F1005" t="s">
        <v>20</v>
      </c>
      <c r="G1005" t="s">
        <v>31</v>
      </c>
      <c r="H1005" s="1">
        <v>611204</v>
      </c>
    </row>
    <row r="1006" spans="1:8" hidden="1" x14ac:dyDescent="0.25">
      <c r="A1006" s="5" t="str">
        <f>HYPERLINK("https://app.vivvix.com/360/KMI/IntelliDrive/ApplUI/Pages/CreativePages/CustomReportCreativeDetail.aspx?App=23&amp;ReportView=4&amp;Qid=1711242&amp;Row=998&amp;Col=1","Over 15 Safety Features")</f>
        <v>Over 15 Safety Features</v>
      </c>
      <c r="B1006" t="s">
        <v>1510</v>
      </c>
      <c r="C1006" t="s">
        <v>324</v>
      </c>
      <c r="D1006" t="s">
        <v>324</v>
      </c>
      <c r="E1006" t="s">
        <v>15</v>
      </c>
      <c r="F1006" t="s">
        <v>20</v>
      </c>
      <c r="G1006" t="s">
        <v>31</v>
      </c>
      <c r="H1006" s="1">
        <v>25866</v>
      </c>
    </row>
    <row r="1007" spans="1:8" hidden="1" x14ac:dyDescent="0.25">
      <c r="A1007" s="5" t="str">
        <f>HYPERLINK("https://app.vivvix.com/360/KMI/IntelliDrive/ApplUI/Pages/CreativePages/CustomReportCreativeDetail.aspx?App=23&amp;ReportView=4&amp;Qid=1711242&amp;Row=999&amp;Col=1","Over 15 Safety Features")</f>
        <v>Over 15 Safety Features</v>
      </c>
      <c r="B1007" t="s">
        <v>1510</v>
      </c>
      <c r="C1007" t="s">
        <v>324</v>
      </c>
      <c r="D1007" t="s">
        <v>324</v>
      </c>
      <c r="E1007" t="s">
        <v>15</v>
      </c>
      <c r="F1007" t="s">
        <v>20</v>
      </c>
      <c r="G1007" t="s">
        <v>31</v>
      </c>
      <c r="H1007" s="1">
        <v>9365</v>
      </c>
    </row>
    <row r="1008" spans="1:8" hidden="1" x14ac:dyDescent="0.25">
      <c r="A1008" s="5" t="str">
        <f>HYPERLINK("https://app.vivvix.com/360/KMI/IntelliDrive/ApplUI/Pages/CreativePages/CustomReportCreativeDetail.aspx?App=23&amp;ReportView=4&amp;Qid=1711242&amp;Row=1000&amp;Col=1","Over 15 Safety Features")</f>
        <v>Over 15 Safety Features</v>
      </c>
      <c r="B1008" t="s">
        <v>1511</v>
      </c>
      <c r="C1008" t="s">
        <v>324</v>
      </c>
      <c r="D1008" t="s">
        <v>324</v>
      </c>
      <c r="E1008" t="s">
        <v>15</v>
      </c>
      <c r="F1008" t="s">
        <v>20</v>
      </c>
      <c r="G1008" t="s">
        <v>31</v>
      </c>
      <c r="H1008" s="1">
        <v>22870</v>
      </c>
    </row>
    <row r="1009" spans="1:8" hidden="1" x14ac:dyDescent="0.25">
      <c r="A1009" s="5" t="str">
        <f>HYPERLINK("https://app.vivvix.com/360/KMI/IntelliDrive/ApplUI/Pages/CreativePages/CustomReportCreativeDetail.aspx?App=23&amp;ReportView=4&amp;Qid=1711242&amp;Row=1001&amp;Col=1","Over 15 Safety Features")</f>
        <v>Over 15 Safety Features</v>
      </c>
      <c r="B1009" t="s">
        <v>1512</v>
      </c>
      <c r="C1009" t="s">
        <v>324</v>
      </c>
      <c r="D1009" t="s">
        <v>324</v>
      </c>
      <c r="E1009" t="s">
        <v>15</v>
      </c>
      <c r="F1009" t="s">
        <v>20</v>
      </c>
      <c r="G1009" t="s">
        <v>31</v>
      </c>
      <c r="H1009" s="1">
        <v>33199</v>
      </c>
    </row>
    <row r="1010" spans="1:8" hidden="1" x14ac:dyDescent="0.25">
      <c r="A1010" s="5" t="str">
        <f>HYPERLINK("https://app.vivvix.com/360/KMI/IntelliDrive/ApplUI/Pages/CreativePages/CustomReportCreativeDetail.aspx?App=23&amp;ReportView=4&amp;Qid=1711242&amp;Row=1002&amp;Col=1","Over 15 Safety Features")</f>
        <v>Over 15 Safety Features</v>
      </c>
      <c r="B1010" t="s">
        <v>1513</v>
      </c>
      <c r="C1010" t="s">
        <v>324</v>
      </c>
      <c r="D1010" t="s">
        <v>324</v>
      </c>
      <c r="E1010" t="s">
        <v>15</v>
      </c>
      <c r="F1010" t="s">
        <v>20</v>
      </c>
      <c r="G1010" t="s">
        <v>31</v>
      </c>
      <c r="H1010" s="1">
        <v>8516</v>
      </c>
    </row>
    <row r="1011" spans="1:8" hidden="1" x14ac:dyDescent="0.25">
      <c r="A1011" s="5" t="str">
        <f>HYPERLINK("https://app.vivvix.com/360/KMI/IntelliDrive/ApplUI/Pages/CreativePages/CustomReportCreativeDetail.aspx?App=23&amp;ReportView=4&amp;Qid=1711242&amp;Row=1003&amp;Col=1","Over 15 Safety Features")</f>
        <v>Over 15 Safety Features</v>
      </c>
      <c r="B1011" t="s">
        <v>1514</v>
      </c>
      <c r="C1011" t="s">
        <v>324</v>
      </c>
      <c r="D1011" t="s">
        <v>324</v>
      </c>
      <c r="E1011" t="s">
        <v>15</v>
      </c>
      <c r="F1011" t="s">
        <v>20</v>
      </c>
      <c r="G1011" t="s">
        <v>31</v>
      </c>
      <c r="H1011" s="1">
        <v>6931</v>
      </c>
    </row>
    <row r="1012" spans="1:8" hidden="1" x14ac:dyDescent="0.25">
      <c r="A1012" s="5" t="str">
        <f>HYPERLINK("https://app.vivvix.com/360/KMI/IntelliDrive/ApplUI/Pages/CreativePages/CustomReportCreativeDetail.aspx?App=23&amp;ReportView=4&amp;Qid=1711242&amp;Row=1004&amp;Col=1","Over 15 Safety Features")</f>
        <v>Over 15 Safety Features</v>
      </c>
      <c r="B1012" t="s">
        <v>1515</v>
      </c>
      <c r="C1012" t="s">
        <v>324</v>
      </c>
      <c r="D1012" t="s">
        <v>324</v>
      </c>
      <c r="E1012" t="s">
        <v>15</v>
      </c>
      <c r="F1012" t="s">
        <v>20</v>
      </c>
      <c r="G1012" t="s">
        <v>31</v>
      </c>
      <c r="H1012" s="1">
        <v>46805</v>
      </c>
    </row>
    <row r="1013" spans="1:8" hidden="1" x14ac:dyDescent="0.25">
      <c r="A1013" s="5" t="str">
        <f>HYPERLINK("https://app.vivvix.com/360/KMI/IntelliDrive/ApplUI/Pages/CreativePages/CustomReportCreativeDetail.aspx?App=23&amp;ReportView=4&amp;Qid=1711242&amp;Row=1005&amp;Col=1","Over 15 Safety Features")</f>
        <v>Over 15 Safety Features</v>
      </c>
      <c r="B1013" t="s">
        <v>1515</v>
      </c>
      <c r="C1013" t="s">
        <v>324</v>
      </c>
      <c r="D1013" t="s">
        <v>324</v>
      </c>
      <c r="E1013" t="s">
        <v>15</v>
      </c>
      <c r="F1013" t="s">
        <v>20</v>
      </c>
      <c r="G1013" t="s">
        <v>31</v>
      </c>
      <c r="H1013" s="1">
        <v>8266</v>
      </c>
    </row>
    <row r="1014" spans="1:8" hidden="1" x14ac:dyDescent="0.25">
      <c r="A1014" s="5" t="str">
        <f>HYPERLINK("https://app.vivvix.com/360/KMI/IntelliDrive/ApplUI/Pages/CreativePages/CustomReportCreativeDetail.aspx?App=23&amp;ReportView=4&amp;Qid=1711242&amp;Row=1006&amp;Col=1","Over 15 Safety Features")</f>
        <v>Over 15 Safety Features</v>
      </c>
      <c r="B1014" t="s">
        <v>1516</v>
      </c>
      <c r="C1014" t="s">
        <v>324</v>
      </c>
      <c r="D1014" t="s">
        <v>324</v>
      </c>
      <c r="E1014" t="s">
        <v>15</v>
      </c>
      <c r="F1014" t="s">
        <v>20</v>
      </c>
      <c r="G1014" t="s">
        <v>31</v>
      </c>
      <c r="H1014" s="1">
        <v>103443</v>
      </c>
    </row>
    <row r="1015" spans="1:8" hidden="1" x14ac:dyDescent="0.25">
      <c r="A1015" s="5" t="str">
        <f>HYPERLINK("https://app.vivvix.com/360/KMI/IntelliDrive/ApplUI/Pages/CreativePages/CustomReportCreativeDetail.aspx?App=23&amp;ReportView=4&amp;Qid=1711242&amp;Row=1007&amp;Col=1","Over 15 Safety Features")</f>
        <v>Over 15 Safety Features</v>
      </c>
      <c r="B1015" t="s">
        <v>1516</v>
      </c>
      <c r="C1015" t="s">
        <v>324</v>
      </c>
      <c r="D1015" t="s">
        <v>324</v>
      </c>
      <c r="E1015" t="s">
        <v>15</v>
      </c>
      <c r="F1015" t="s">
        <v>20</v>
      </c>
      <c r="G1015" t="s">
        <v>31</v>
      </c>
      <c r="H1015" s="1">
        <v>4294</v>
      </c>
    </row>
    <row r="1016" spans="1:8" hidden="1" x14ac:dyDescent="0.25">
      <c r="A1016" s="5" t="str">
        <f>HYPERLINK("https://app.vivvix.com/360/KMI/IntelliDrive/ApplUI/Pages/CreativePages/CustomReportCreativeDetail.aspx?App=23&amp;ReportView=4&amp;Qid=1711242&amp;Row=1008&amp;Col=1","Over 15 Safety Features")</f>
        <v>Over 15 Safety Features</v>
      </c>
      <c r="B1016" t="s">
        <v>1517</v>
      </c>
      <c r="C1016" t="s">
        <v>324</v>
      </c>
      <c r="D1016" t="s">
        <v>324</v>
      </c>
      <c r="E1016" t="s">
        <v>15</v>
      </c>
      <c r="F1016" t="s">
        <v>20</v>
      </c>
      <c r="G1016" t="s">
        <v>31</v>
      </c>
      <c r="H1016" s="1">
        <v>944</v>
      </c>
    </row>
    <row r="1017" spans="1:8" hidden="1" x14ac:dyDescent="0.25">
      <c r="A1017" s="5" t="str">
        <f>HYPERLINK("https://app.vivvix.com/360/KMI/IntelliDrive/ApplUI/Pages/CreativePages/CustomReportCreativeDetail.aspx?App=23&amp;ReportView=4&amp;Qid=1711242&amp;Row=1009&amp;Col=1","Over 15 Safety Features/-90 Days")</f>
        <v>Over 15 Safety Features/-90 Days</v>
      </c>
      <c r="B1017" t="s">
        <v>1518</v>
      </c>
      <c r="C1017" t="s">
        <v>1519</v>
      </c>
      <c r="D1017" t="s">
        <v>324</v>
      </c>
      <c r="E1017" t="s">
        <v>15</v>
      </c>
      <c r="F1017" t="s">
        <v>20</v>
      </c>
      <c r="G1017" t="s">
        <v>31</v>
      </c>
      <c r="H1017" s="1">
        <v>77596</v>
      </c>
    </row>
    <row r="1018" spans="1:8" hidden="1" x14ac:dyDescent="0.25">
      <c r="A1018" s="5" t="str">
        <f>HYPERLINK("https://app.vivvix.com/360/KMI/IntelliDrive/ApplUI/Pages/CreativePages/CustomReportCreativeDetail.aspx?App=23&amp;ReportView=4&amp;Qid=1711242&amp;Row=1010&amp;Col=1","Over 15 Safety Features/-90 Days")</f>
        <v>Over 15 Safety Features/-90 Days</v>
      </c>
      <c r="B1018" t="s">
        <v>1520</v>
      </c>
      <c r="C1018" t="s">
        <v>1519</v>
      </c>
      <c r="D1018" t="s">
        <v>324</v>
      </c>
      <c r="E1018" t="s">
        <v>15</v>
      </c>
      <c r="F1018" t="s">
        <v>20</v>
      </c>
      <c r="G1018" t="s">
        <v>31</v>
      </c>
      <c r="H1018" s="1">
        <v>47927</v>
      </c>
    </row>
    <row r="1019" spans="1:8" hidden="1" x14ac:dyDescent="0.25">
      <c r="A1019" s="5" t="str">
        <f>HYPERLINK("https://app.vivvix.com/360/KMI/IntelliDrive/ApplUI/Pages/CreativePages/CustomReportCreativeDetail.aspx?App=23&amp;ReportView=4&amp;Qid=1711242&amp;Row=1011&amp;Col=1","Over 15 Safety Features/-90 Days")</f>
        <v>Over 15 Safety Features/-90 Days</v>
      </c>
      <c r="B1019" t="s">
        <v>1521</v>
      </c>
      <c r="C1019" t="s">
        <v>1519</v>
      </c>
      <c r="D1019" t="s">
        <v>324</v>
      </c>
      <c r="E1019" t="s">
        <v>15</v>
      </c>
      <c r="F1019" t="s">
        <v>20</v>
      </c>
      <c r="G1019" t="s">
        <v>31</v>
      </c>
      <c r="H1019" s="1">
        <v>13111</v>
      </c>
    </row>
    <row r="1020" spans="1:8" hidden="1" x14ac:dyDescent="0.25">
      <c r="A1020" s="5" t="str">
        <f>HYPERLINK("https://app.vivvix.com/360/KMI/IntelliDrive/ApplUI/Pages/CreativePages/CustomReportCreativeDetail.aspx?App=23&amp;ReportView=4&amp;Qid=1711242&amp;Row=1012&amp;Col=1","Over 15 Safety Features/Arnold Palmer")</f>
        <v>Over 15 Safety Features/Arnold Palmer</v>
      </c>
      <c r="B1020" t="s">
        <v>1522</v>
      </c>
      <c r="C1020" t="s">
        <v>1523</v>
      </c>
      <c r="D1020" t="s">
        <v>324</v>
      </c>
      <c r="E1020" t="s">
        <v>15</v>
      </c>
      <c r="F1020" t="s">
        <v>20</v>
      </c>
      <c r="G1020" t="s">
        <v>31</v>
      </c>
      <c r="H1020" s="1">
        <v>59952</v>
      </c>
    </row>
    <row r="1021" spans="1:8" hidden="1" x14ac:dyDescent="0.25">
      <c r="A1021" s="5" t="str">
        <f>HYPERLINK("https://app.vivvix.com/360/KMI/IntelliDrive/ApplUI/Pages/CreativePages/CustomReportCreativeDetail.aspx?App=23&amp;ReportView=4&amp;Qid=1711242&amp;Row=1013&amp;Col=1","Over 15 Safety Features/Text")</f>
        <v>Over 15 Safety Features/Text</v>
      </c>
      <c r="B1021" t="s">
        <v>1524</v>
      </c>
      <c r="C1021" t="s">
        <v>1525</v>
      </c>
      <c r="D1021" t="s">
        <v>324</v>
      </c>
      <c r="E1021" t="s">
        <v>15</v>
      </c>
      <c r="F1021" t="s">
        <v>20</v>
      </c>
      <c r="G1021" t="s">
        <v>31</v>
      </c>
      <c r="H1021" s="1">
        <v>6333</v>
      </c>
    </row>
    <row r="1022" spans="1:8" hidden="1" x14ac:dyDescent="0.25">
      <c r="A1022" s="5" t="str">
        <f>HYPERLINK("https://app.vivvix.com/360/KMI/IntelliDrive/ApplUI/Pages/CreativePages/CustomReportCreativeDetail.aspx?App=23&amp;ReportView=4&amp;Qid=1711242&amp;Row=1014&amp;Col=1","plus no monthly payments for 90 days")</f>
        <v>plus no monthly payments for 90 days</v>
      </c>
      <c r="B1022" t="s">
        <v>1526</v>
      </c>
      <c r="C1022" t="s">
        <v>1527</v>
      </c>
      <c r="D1022" t="s">
        <v>1527</v>
      </c>
      <c r="E1022" t="s">
        <v>15</v>
      </c>
      <c r="F1022" t="s">
        <v>20</v>
      </c>
      <c r="G1022" t="s">
        <v>31</v>
      </c>
      <c r="H1022" s="1">
        <v>27791.621999999999</v>
      </c>
    </row>
    <row r="1023" spans="1:8" hidden="1" x14ac:dyDescent="0.25">
      <c r="A1023" s="5" t="str">
        <f>HYPERLINK("https://app.vivvix.com/360/KMI/IntelliDrive/ApplUI/Pages/CreativePages/CustomReportCreativeDetail.aspx?App=23&amp;ReportView=4&amp;Qid=1711242&amp;Row=1015&amp;Col=1","POWER LIFTGATE WIRELESS APPLE CARPLAY")</f>
        <v>POWER LIFTGATE WIRELESS APPLE CARPLAY</v>
      </c>
      <c r="B1023" t="s">
        <v>1528</v>
      </c>
      <c r="C1023" t="s">
        <v>1529</v>
      </c>
      <c r="D1023" t="s">
        <v>1529</v>
      </c>
      <c r="E1023" t="s">
        <v>15</v>
      </c>
      <c r="F1023" t="s">
        <v>16</v>
      </c>
      <c r="G1023" t="s">
        <v>54</v>
      </c>
      <c r="H1023" s="1">
        <v>43318.349000000002</v>
      </c>
    </row>
    <row r="1024" spans="1:8" hidden="1" x14ac:dyDescent="0.25">
      <c r="A1024" s="5" t="str">
        <f>HYPERLINK("https://app.vivvix.com/360/KMI/IntelliDrive/ApplUI/Pages/CreativePages/CustomReportCreativeDetail.aspx?App=23&amp;ReportView=4&amp;Qid=1711242&amp;Row=1016&amp;Col=1","POWER LIFTGATE WIRELESS APPLE CARPLAY")</f>
        <v>POWER LIFTGATE WIRELESS APPLE CARPLAY</v>
      </c>
      <c r="B1024" t="s">
        <v>1528</v>
      </c>
      <c r="E1024" t="s">
        <v>15</v>
      </c>
      <c r="F1024" t="s">
        <v>16</v>
      </c>
      <c r="G1024" t="s">
        <v>54</v>
      </c>
      <c r="H1024" s="1">
        <v>451917.21</v>
      </c>
    </row>
    <row r="1025" spans="1:8" hidden="1" x14ac:dyDescent="0.25">
      <c r="A1025" s="5" t="str">
        <f>HYPERLINK("https://app.vivvix.com/360/KMI/IntelliDrive/ApplUI/Pages/CreativePages/CustomReportCreativeDetail.aspx?App=23&amp;ReportView=4&amp;Qid=1711242&amp;Row=1017&amp;Col=1","POWER LIFTGATE WIRELESS APPLE CARPLAY")</f>
        <v>POWER LIFTGATE WIRELESS APPLE CARPLAY</v>
      </c>
      <c r="B1025" t="s">
        <v>1530</v>
      </c>
      <c r="C1025" t="s">
        <v>1531</v>
      </c>
      <c r="D1025" t="s">
        <v>1531</v>
      </c>
      <c r="E1025" t="s">
        <v>15</v>
      </c>
      <c r="F1025" t="s">
        <v>16</v>
      </c>
      <c r="G1025" t="s">
        <v>54</v>
      </c>
      <c r="H1025" s="1">
        <v>137571.88399999999</v>
      </c>
    </row>
    <row r="1026" spans="1:8" hidden="1" x14ac:dyDescent="0.25">
      <c r="A1026" s="5" t="str">
        <f>HYPERLINK("https://app.vivvix.com/360/KMI/IntelliDrive/ApplUI/Pages/CreativePages/CustomReportCreativeDetail.aspx?App=23&amp;ReportView=4&amp;Qid=1711242&amp;Row=1018&amp;Col=1","POWER LIFTGATE WIRELESS APPLE CARPLAY")</f>
        <v>POWER LIFTGATE WIRELESS APPLE CARPLAY</v>
      </c>
      <c r="B1026" t="s">
        <v>1530</v>
      </c>
      <c r="E1026" t="s">
        <v>15</v>
      </c>
      <c r="F1026" t="s">
        <v>16</v>
      </c>
      <c r="G1026" t="s">
        <v>54</v>
      </c>
      <c r="H1026" s="1">
        <v>1680810.1140000001</v>
      </c>
    </row>
    <row r="1027" spans="1:8" hidden="1" x14ac:dyDescent="0.25">
      <c r="A1027" s="5" t="str">
        <f>HYPERLINK("https://app.vivvix.com/360/KMI/IntelliDrive/ApplUI/Pages/CreativePages/CustomReportCreativeDetail.aspx?App=23&amp;ReportView=4&amp;Qid=1711242&amp;Row=1019&amp;Col=1","product display 25")</f>
        <v>product display 25</v>
      </c>
      <c r="B1027" t="s">
        <v>1532</v>
      </c>
      <c r="C1027" t="s">
        <v>1533</v>
      </c>
      <c r="D1027" t="s">
        <v>1533</v>
      </c>
      <c r="E1027" t="s">
        <v>15</v>
      </c>
      <c r="F1027" t="s">
        <v>15</v>
      </c>
      <c r="G1027" t="s">
        <v>119</v>
      </c>
      <c r="H1027" s="1">
        <v>953893</v>
      </c>
    </row>
    <row r="1028" spans="1:8" hidden="1" x14ac:dyDescent="0.25">
      <c r="A1028" s="5" t="str">
        <f>HYPERLINK("https://app.vivvix.com/360/KMI/IntelliDrive/ApplUI/Pages/CreativePages/CustomReportCreativeDetail.aspx?App=23&amp;ReportView=4&amp;Qid=1711242&amp;Row=1020&amp;Col=1","product display 25")</f>
        <v>product display 25</v>
      </c>
      <c r="B1028" t="s">
        <v>1532</v>
      </c>
      <c r="C1028" t="s">
        <v>1533</v>
      </c>
      <c r="D1028" t="s">
        <v>1533</v>
      </c>
      <c r="E1028" t="s">
        <v>15</v>
      </c>
      <c r="F1028" t="s">
        <v>15</v>
      </c>
      <c r="G1028" t="s">
        <v>119</v>
      </c>
      <c r="H1028" s="1">
        <v>11180</v>
      </c>
    </row>
    <row r="1029" spans="1:8" hidden="1" x14ac:dyDescent="0.25">
      <c r="A1029" s="5" t="str">
        <f>HYPERLINK("https://app.vivvix.com/360/KMI/IntelliDrive/ApplUI/Pages/CreativePages/CustomReportCreativeDetail.aspx?App=23&amp;ReportView=4&amp;Qid=1711242&amp;Row=1021&amp;Col=1","product display 25")</f>
        <v>product display 25</v>
      </c>
      <c r="B1029" t="s">
        <v>1532</v>
      </c>
      <c r="C1029" t="s">
        <v>1533</v>
      </c>
      <c r="D1029" t="s">
        <v>1533</v>
      </c>
      <c r="E1029" t="s">
        <v>15</v>
      </c>
      <c r="F1029" t="s">
        <v>15</v>
      </c>
      <c r="G1029" t="s">
        <v>119</v>
      </c>
      <c r="H1029" s="1">
        <v>439413</v>
      </c>
    </row>
    <row r="1030" spans="1:8" hidden="1" x14ac:dyDescent="0.25">
      <c r="A1030" s="5" t="str">
        <f>HYPERLINK("https://app.vivvix.com/360/KMI/IntelliDrive/ApplUI/Pages/CreativePages/CustomReportCreativeDetail.aspx?App=23&amp;ReportView=4&amp;Qid=1711242&amp;Row=1022&amp;Col=1","pURCHASE ALLOWANCE")</f>
        <v>pURCHASE ALLOWANCE</v>
      </c>
      <c r="B1030" t="s">
        <v>1534</v>
      </c>
      <c r="E1030" t="s">
        <v>15</v>
      </c>
      <c r="F1030" t="s">
        <v>20</v>
      </c>
      <c r="G1030" t="s">
        <v>31</v>
      </c>
      <c r="H1030" s="1">
        <v>24835.338</v>
      </c>
    </row>
    <row r="1031" spans="1:8" hidden="1" x14ac:dyDescent="0.25">
      <c r="A1031" s="5" t="str">
        <f>HYPERLINK("https://app.vivvix.com/360/KMI/IntelliDrive/ApplUI/Pages/CreativePages/CustomReportCreativeDetail.aspx?App=23&amp;ReportView=4&amp;Qid=1711242&amp;Row=1023&amp;Col=1","quiet tuning with active noise cancellation")</f>
        <v>quiet tuning with active noise cancellation</v>
      </c>
      <c r="B1031" t="s">
        <v>1535</v>
      </c>
      <c r="C1031" t="s">
        <v>1536</v>
      </c>
      <c r="D1031" t="s">
        <v>1536</v>
      </c>
      <c r="E1031" t="s">
        <v>15</v>
      </c>
      <c r="F1031" t="s">
        <v>20</v>
      </c>
      <c r="G1031" t="s">
        <v>31</v>
      </c>
      <c r="H1031" s="1">
        <v>16647.002</v>
      </c>
    </row>
    <row r="1032" spans="1:8" hidden="1" x14ac:dyDescent="0.25">
      <c r="A1032" s="5" t="str">
        <f>HYPERLINK("https://app.vivvix.com/360/KMI/IntelliDrive/ApplUI/Pages/CreativePages/CustomReportCreativeDetail.aspx?App=23&amp;ReportView=4&amp;Qid=1711242&amp;Row=1024&amp;Col=1","quiet tuning with active noise cancellation")</f>
        <v>quiet tuning with active noise cancellation</v>
      </c>
      <c r="B1032" t="s">
        <v>1535</v>
      </c>
      <c r="E1032" t="s">
        <v>15</v>
      </c>
      <c r="F1032" t="s">
        <v>20</v>
      </c>
      <c r="G1032" t="s">
        <v>31</v>
      </c>
      <c r="H1032" s="1">
        <v>69705.714000000007</v>
      </c>
    </row>
    <row r="1033" spans="1:8" hidden="1" x14ac:dyDescent="0.25">
      <c r="A1033" s="5" t="str">
        <f>HYPERLINK("https://app.vivvix.com/360/KMI/IntelliDrive/ApplUI/Pages/CreativePages/CustomReportCreativeDetail.aspx?App=23&amp;ReportView=4&amp;Qid=1711242&amp;Row=1025&amp;Col=1","QuietTuning and Safety")</f>
        <v>QuietTuning and Safety</v>
      </c>
      <c r="B1033" t="s">
        <v>1537</v>
      </c>
      <c r="C1033" t="s">
        <v>1538</v>
      </c>
      <c r="D1033" t="s">
        <v>1538</v>
      </c>
      <c r="E1033" t="s">
        <v>15</v>
      </c>
      <c r="F1033" t="s">
        <v>20</v>
      </c>
      <c r="G1033" t="s">
        <v>21</v>
      </c>
      <c r="H1033" s="1">
        <v>27348</v>
      </c>
    </row>
    <row r="1034" spans="1:8" hidden="1" x14ac:dyDescent="0.25">
      <c r="A1034" s="5" t="str">
        <f>HYPERLINK("https://app.vivvix.com/360/KMI/IntelliDrive/ApplUI/Pages/CreativePages/CustomReportCreativeDetail.aspx?App=23&amp;ReportView=4&amp;Qid=1711242&amp;Row=1026&amp;Col=1","QuietTuning With Active Noise Cancellation")</f>
        <v>QuietTuning With Active Noise Cancellation</v>
      </c>
      <c r="B1034" t="s">
        <v>1539</v>
      </c>
      <c r="C1034" t="s">
        <v>1540</v>
      </c>
      <c r="D1034" t="s">
        <v>1540</v>
      </c>
      <c r="E1034" t="s">
        <v>15</v>
      </c>
      <c r="F1034" t="s">
        <v>20</v>
      </c>
      <c r="G1034" t="s">
        <v>21</v>
      </c>
      <c r="H1034" s="1">
        <v>77003</v>
      </c>
    </row>
    <row r="1035" spans="1:8" hidden="1" x14ac:dyDescent="0.25">
      <c r="A1035" s="5" t="str">
        <f>HYPERLINK("https://app.vivvix.com/360/KMI/IntelliDrive/ApplUI/Pages/CreativePages/CustomReportCreativeDetail.aspx?App=23&amp;ReportView=4&amp;Qid=1711242&amp;Row=1027&amp;Col=1","Redefining Beauty Standards")</f>
        <v>Redefining Beauty Standards</v>
      </c>
      <c r="B1035" t="s">
        <v>1541</v>
      </c>
      <c r="C1035" t="s">
        <v>1542</v>
      </c>
      <c r="D1035" t="s">
        <v>1542</v>
      </c>
      <c r="E1035" t="s">
        <v>15</v>
      </c>
      <c r="F1035" t="s">
        <v>50</v>
      </c>
      <c r="G1035" t="s">
        <v>65</v>
      </c>
      <c r="H1035" s="1">
        <v>162702</v>
      </c>
    </row>
    <row r="1036" spans="1:8" hidden="1" x14ac:dyDescent="0.25">
      <c r="A1036" s="5" t="str">
        <f>HYPERLINK("https://app.vivvix.com/360/KMI/IntelliDrive/ApplUI/Pages/CreativePages/CustomReportCreativeDetail.aspx?App=23&amp;ReportView=4&amp;Qid=1711242&amp;Row=1028&amp;Col=1","Redefne The Expectations")</f>
        <v>Redefne The Expectations</v>
      </c>
      <c r="B1036" t="s">
        <v>1543</v>
      </c>
      <c r="C1036" t="s">
        <v>1544</v>
      </c>
      <c r="D1036" t="s">
        <v>1544</v>
      </c>
      <c r="E1036" t="s">
        <v>15</v>
      </c>
      <c r="F1036" t="s">
        <v>27</v>
      </c>
      <c r="G1036" t="s">
        <v>1545</v>
      </c>
      <c r="H1036" s="1">
        <v>259101</v>
      </c>
    </row>
    <row r="1037" spans="1:8" hidden="1" x14ac:dyDescent="0.25">
      <c r="A1037" s="5" t="str">
        <f>HYPERLINK("https://app.vivvix.com/360/KMI/IntelliDrive/ApplUI/Pages/CreativePages/CustomReportCreativeDetail.aspx?App=23&amp;ReportView=4&amp;Qid=1711242&amp;Row=1029&amp;Col=1","Ride Now")</f>
        <v>Ride Now</v>
      </c>
      <c r="B1037" t="s">
        <v>1546</v>
      </c>
      <c r="C1037" t="s">
        <v>1547</v>
      </c>
      <c r="D1037" t="s">
        <v>1547</v>
      </c>
      <c r="E1037" t="s">
        <v>15</v>
      </c>
      <c r="F1037" t="s">
        <v>15</v>
      </c>
      <c r="G1037" t="s">
        <v>137</v>
      </c>
      <c r="H1037" s="1">
        <v>57830.311999999998</v>
      </c>
    </row>
    <row r="1038" spans="1:8" hidden="1" x14ac:dyDescent="0.25">
      <c r="A1038" s="5" t="str">
        <f>HYPERLINK("https://app.vivvix.com/360/KMI/IntelliDrive/ApplUI/Pages/CreativePages/CustomReportCreativeDetail.aspx?App=23&amp;ReportView=4&amp;Qid=1711242&amp;Row=1030&amp;Col=1","Ride Now")</f>
        <v>Ride Now</v>
      </c>
      <c r="B1038" t="s">
        <v>1546</v>
      </c>
      <c r="E1038" t="s">
        <v>15</v>
      </c>
      <c r="F1038" t="s">
        <v>15</v>
      </c>
      <c r="G1038" t="s">
        <v>137</v>
      </c>
      <c r="H1038" s="1">
        <v>248956.098</v>
      </c>
    </row>
    <row r="1039" spans="1:8" hidden="1" x14ac:dyDescent="0.25">
      <c r="A1039" s="5" t="str">
        <f>HYPERLINK("https://app.vivvix.com/360/KMI/IntelliDrive/ApplUI/Pages/CreativePages/CustomReportCreativeDetail.aspx?App=23&amp;ReportView=4&amp;Qid=1711242&amp;Row=1031&amp;Col=1","Safety Features for You")</f>
        <v>Safety Features for You</v>
      </c>
      <c r="B1039" t="s">
        <v>1548</v>
      </c>
      <c r="C1039" t="s">
        <v>1549</v>
      </c>
      <c r="D1039" t="s">
        <v>1549</v>
      </c>
      <c r="E1039" t="s">
        <v>15</v>
      </c>
      <c r="F1039" t="s">
        <v>20</v>
      </c>
      <c r="G1039" t="s">
        <v>21</v>
      </c>
      <c r="H1039" s="1">
        <v>46070</v>
      </c>
    </row>
    <row r="1040" spans="1:8" hidden="1" x14ac:dyDescent="0.25">
      <c r="A1040" s="5" t="str">
        <f>HYPERLINK("https://app.vivvix.com/360/KMI/IntelliDrive/ApplUI/Pages/CreativePages/CustomReportCreativeDetail.aspx?App=23&amp;ReportView=4&amp;Qid=1711242&amp;Row=1032&amp;Col=1","see the following gap on your steering wheel")</f>
        <v>see the following gap on your steering wheel</v>
      </c>
      <c r="B1040" t="s">
        <v>1550</v>
      </c>
      <c r="E1040" t="s">
        <v>15</v>
      </c>
      <c r="F1040" t="s">
        <v>50</v>
      </c>
      <c r="G1040" t="s">
        <v>51</v>
      </c>
      <c r="H1040" s="1">
        <v>128483.826</v>
      </c>
    </row>
    <row r="1041" spans="1:8" hidden="1" x14ac:dyDescent="0.25">
      <c r="A1041" s="5" t="str">
        <f>HYPERLINK("https://app.vivvix.com/360/KMI/IntelliDrive/ApplUI/Pages/CreativePages/CustomReportCreativeDetail.aspx?App=23&amp;ReportView=4&amp;Qid=1711242&amp;Row=1033&amp;Col=1","see the following gap on your steering wheel")</f>
        <v>see the following gap on your steering wheel</v>
      </c>
      <c r="B1041" t="s">
        <v>1550</v>
      </c>
      <c r="E1041" t="s">
        <v>15</v>
      </c>
      <c r="F1041" t="s">
        <v>50</v>
      </c>
      <c r="G1041" t="s">
        <v>51</v>
      </c>
      <c r="H1041" s="1">
        <v>380.363</v>
      </c>
    </row>
    <row r="1042" spans="1:8" hidden="1" x14ac:dyDescent="0.25">
      <c r="A1042" s="5" t="str">
        <f>HYPERLINK("https://app.vivvix.com/360/KMI/IntelliDrive/ApplUI/Pages/CreativePages/CustomReportCreativeDetail.aspx?App=23&amp;ReportView=4&amp;Qid=1711242&amp;Row=1034&amp;Col=1","sign &amp; drive")</f>
        <v>sign &amp; drive</v>
      </c>
      <c r="B1042" t="s">
        <v>1551</v>
      </c>
      <c r="C1042" t="s">
        <v>1500</v>
      </c>
      <c r="D1042" t="s">
        <v>1500</v>
      </c>
      <c r="E1042" t="s">
        <v>15</v>
      </c>
      <c r="F1042" t="s">
        <v>50</v>
      </c>
      <c r="G1042" t="s">
        <v>65</v>
      </c>
      <c r="H1042" s="1">
        <v>417990</v>
      </c>
    </row>
    <row r="1043" spans="1:8" hidden="1" x14ac:dyDescent="0.25">
      <c r="A1043" s="5" t="str">
        <f>HYPERLINK("https://app.vivvix.com/360/KMI/IntelliDrive/ApplUI/Pages/CreativePages/CustomReportCreativeDetail.aspx?App=23&amp;ReportView=4&amp;Qid=1711242&amp;Row=1035&amp;Col=1","sign &amp; drive")</f>
        <v>sign &amp; drive</v>
      </c>
      <c r="B1043" t="s">
        <v>1552</v>
      </c>
      <c r="C1043" t="s">
        <v>1499</v>
      </c>
      <c r="D1043" t="s">
        <v>1500</v>
      </c>
      <c r="E1043" t="s">
        <v>15</v>
      </c>
      <c r="F1043" t="s">
        <v>50</v>
      </c>
      <c r="G1043" t="s">
        <v>65</v>
      </c>
      <c r="H1043" s="1">
        <v>452261</v>
      </c>
    </row>
    <row r="1044" spans="1:8" hidden="1" x14ac:dyDescent="0.25">
      <c r="A1044" s="5" t="str">
        <f>HYPERLINK("https://app.vivvix.com/360/KMI/IntelliDrive/ApplUI/Pages/CreativePages/CustomReportCreativeDetail.aspx?App=23&amp;ReportView=4&amp;Qid=1711242&amp;Row=1036&amp;Col=1","sign &amp; drive")</f>
        <v>sign &amp; drive</v>
      </c>
      <c r="B1044" t="s">
        <v>1553</v>
      </c>
      <c r="C1044" t="s">
        <v>1554</v>
      </c>
      <c r="D1044" t="s">
        <v>1500</v>
      </c>
      <c r="E1044" t="s">
        <v>15</v>
      </c>
      <c r="F1044" t="s">
        <v>50</v>
      </c>
      <c r="G1044" t="s">
        <v>65</v>
      </c>
      <c r="H1044" s="1">
        <v>170681</v>
      </c>
    </row>
    <row r="1045" spans="1:8" hidden="1" x14ac:dyDescent="0.25">
      <c r="A1045" s="5" t="str">
        <f>HYPERLINK("https://app.vivvix.com/360/KMI/IntelliDrive/ApplUI/Pages/CreativePages/CustomReportCreativeDetail.aspx?App=23&amp;ReportView=4&amp;Qid=1711242&amp;Row=1037&amp;Col=1","sign &amp; drive")</f>
        <v>sign &amp; drive</v>
      </c>
      <c r="B1045" t="s">
        <v>1555</v>
      </c>
      <c r="C1045" t="s">
        <v>1556</v>
      </c>
      <c r="D1045" t="s">
        <v>1556</v>
      </c>
      <c r="E1045" t="s">
        <v>15</v>
      </c>
      <c r="F1045" t="s">
        <v>50</v>
      </c>
      <c r="G1045" t="s">
        <v>76</v>
      </c>
      <c r="H1045" s="1">
        <v>570256</v>
      </c>
    </row>
    <row r="1046" spans="1:8" hidden="1" x14ac:dyDescent="0.25">
      <c r="A1046" s="5" t="str">
        <f>HYPERLINK("https://app.vivvix.com/360/KMI/IntelliDrive/ApplUI/Pages/CreativePages/CustomReportCreativeDetail.aspx?App=23&amp;ReportView=4&amp;Qid=1711242&amp;Row=1038&amp;Col=1","sign &amp; drive")</f>
        <v>sign &amp; drive</v>
      </c>
      <c r="B1046" t="s">
        <v>1557</v>
      </c>
      <c r="C1046" t="s">
        <v>1558</v>
      </c>
      <c r="D1046" t="s">
        <v>1500</v>
      </c>
      <c r="E1046" t="s">
        <v>15</v>
      </c>
      <c r="F1046" t="s">
        <v>50</v>
      </c>
      <c r="G1046" t="s">
        <v>65</v>
      </c>
      <c r="H1046" s="1">
        <v>194443</v>
      </c>
    </row>
    <row r="1047" spans="1:8" hidden="1" x14ac:dyDescent="0.25">
      <c r="A1047" s="5" t="str">
        <f>HYPERLINK("https://app.vivvix.com/360/KMI/IntelliDrive/ApplUI/Pages/CreativePages/CustomReportCreativeDetail.aspx?App=23&amp;ReportView=4&amp;Qid=1711242&amp;Row=1039&amp;Col=1","sign &amp; drive")</f>
        <v>sign &amp; drive</v>
      </c>
      <c r="B1047" t="s">
        <v>1559</v>
      </c>
      <c r="C1047" t="s">
        <v>1560</v>
      </c>
      <c r="D1047" t="s">
        <v>1500</v>
      </c>
      <c r="E1047" t="s">
        <v>15</v>
      </c>
      <c r="F1047" t="s">
        <v>50</v>
      </c>
      <c r="G1047" t="s">
        <v>65</v>
      </c>
      <c r="H1047" s="1">
        <v>30372</v>
      </c>
    </row>
    <row r="1048" spans="1:8" hidden="1" x14ac:dyDescent="0.25">
      <c r="A1048" s="5" t="str">
        <f>HYPERLINK("https://app.vivvix.com/360/KMI/IntelliDrive/ApplUI/Pages/CreativePages/CustomReportCreativeDetail.aspx?App=23&amp;ReportView=4&amp;Qid=1711242&amp;Row=1040&amp;Col=1","sign &amp; drive")</f>
        <v>sign &amp; drive</v>
      </c>
      <c r="B1048" t="s">
        <v>1561</v>
      </c>
      <c r="C1048" t="s">
        <v>1562</v>
      </c>
      <c r="D1048" t="s">
        <v>1500</v>
      </c>
      <c r="E1048" t="s">
        <v>15</v>
      </c>
      <c r="F1048" t="s">
        <v>50</v>
      </c>
      <c r="G1048" t="s">
        <v>65</v>
      </c>
      <c r="H1048" s="1">
        <v>11021</v>
      </c>
    </row>
    <row r="1049" spans="1:8" hidden="1" x14ac:dyDescent="0.25">
      <c r="A1049" s="5" t="str">
        <f>HYPERLINK("https://app.vivvix.com/360/KMI/IntelliDrive/ApplUI/Pages/CreativePages/CustomReportCreativeDetail.aspx?App=23&amp;ReportView=4&amp;Qid=1711242&amp;Row=1041&amp;Col=1","Sign And Drive Event, Best Sales Experience")</f>
        <v>Sign And Drive Event, Best Sales Experience</v>
      </c>
      <c r="B1049" t="s">
        <v>1563</v>
      </c>
      <c r="C1049" t="s">
        <v>1564</v>
      </c>
      <c r="D1049" t="s">
        <v>64</v>
      </c>
      <c r="E1049" t="s">
        <v>15</v>
      </c>
      <c r="F1049" t="s">
        <v>50</v>
      </c>
      <c r="G1049" t="s">
        <v>65</v>
      </c>
      <c r="H1049" s="1">
        <v>870</v>
      </c>
    </row>
    <row r="1050" spans="1:8" hidden="1" x14ac:dyDescent="0.25">
      <c r="A1050" s="5" t="str">
        <f>HYPERLINK("https://app.vivvix.com/360/KMI/IntelliDrive/ApplUI/Pages/CreativePages/CustomReportCreativeDetail.aspx?App=23&amp;ReportView=4&amp;Qid=1711242&amp;Row=1042&amp;Col=1","Sign And Drive Event, Best Sales Experience")</f>
        <v>Sign And Drive Event, Best Sales Experience</v>
      </c>
      <c r="B1050" t="s">
        <v>1565</v>
      </c>
      <c r="C1050" t="s">
        <v>1566</v>
      </c>
      <c r="D1050" t="s">
        <v>64</v>
      </c>
      <c r="E1050" t="s">
        <v>15</v>
      </c>
      <c r="F1050" t="s">
        <v>50</v>
      </c>
      <c r="G1050" t="s">
        <v>65</v>
      </c>
      <c r="H1050" s="1">
        <v>191843</v>
      </c>
    </row>
    <row r="1051" spans="1:8" hidden="1" x14ac:dyDescent="0.25">
      <c r="A1051" s="5" t="str">
        <f>HYPERLINK("https://app.vivvix.com/360/KMI/IntelliDrive/ApplUI/Pages/CreativePages/CustomReportCreativeDetail.aspx?App=23&amp;ReportView=4&amp;Qid=1711242&amp;Row=1043&amp;Col=1","Sign And Drive Event, Best Sales Experience")</f>
        <v>Sign And Drive Event, Best Sales Experience</v>
      </c>
      <c r="B1051" t="s">
        <v>1567</v>
      </c>
      <c r="C1051" t="s">
        <v>1568</v>
      </c>
      <c r="D1051" t="s">
        <v>64</v>
      </c>
      <c r="E1051" t="s">
        <v>15</v>
      </c>
      <c r="F1051" t="s">
        <v>50</v>
      </c>
      <c r="G1051" t="s">
        <v>65</v>
      </c>
      <c r="H1051" s="1">
        <v>249846</v>
      </c>
    </row>
    <row r="1052" spans="1:8" hidden="1" x14ac:dyDescent="0.25">
      <c r="A1052" s="5" t="str">
        <f>HYPERLINK("https://app.vivvix.com/360/KMI/IntelliDrive/ApplUI/Pages/CreativePages/CustomReportCreativeDetail.aspx?App=23&amp;ReportView=4&amp;Qid=1711242&amp;Row=1044&amp;Col=1","Sign And Drive Event, Best Sales Experience")</f>
        <v>Sign And Drive Event, Best Sales Experience</v>
      </c>
      <c r="B1052" t="s">
        <v>1569</v>
      </c>
      <c r="C1052" t="s">
        <v>1570</v>
      </c>
      <c r="D1052" t="s">
        <v>64</v>
      </c>
      <c r="E1052" t="s">
        <v>15</v>
      </c>
      <c r="F1052" t="s">
        <v>50</v>
      </c>
      <c r="G1052" t="s">
        <v>65</v>
      </c>
      <c r="H1052" s="1">
        <v>281662</v>
      </c>
    </row>
    <row r="1053" spans="1:8" hidden="1" x14ac:dyDescent="0.25">
      <c r="A1053" s="5" t="str">
        <f>HYPERLINK("https://app.vivvix.com/360/KMI/IntelliDrive/ApplUI/Pages/CreativePages/CustomReportCreativeDetail.aspx?App=23&amp;ReportView=4&amp;Qid=1711242&amp;Row=1045&amp;Col=1","Sign And Drive Lease")</f>
        <v>Sign And Drive Lease</v>
      </c>
      <c r="B1053" t="s">
        <v>1571</v>
      </c>
      <c r="C1053" t="s">
        <v>1572</v>
      </c>
      <c r="D1053" t="s">
        <v>1572</v>
      </c>
      <c r="E1053" t="s">
        <v>15</v>
      </c>
      <c r="F1053" t="s">
        <v>50</v>
      </c>
      <c r="G1053" t="s">
        <v>65</v>
      </c>
      <c r="H1053" s="1">
        <v>25602</v>
      </c>
    </row>
    <row r="1054" spans="1:8" hidden="1" x14ac:dyDescent="0.25">
      <c r="A1054" s="5" t="str">
        <f>HYPERLINK("https://app.vivvix.com/360/KMI/IntelliDrive/ApplUI/Pages/CreativePages/CustomReportCreativeDetail.aspx?App=23&amp;ReportView=4&amp;Qid=1711242&amp;Row=1046&amp;Col=1","Sign And Drive Lease")</f>
        <v>Sign And Drive Lease</v>
      </c>
      <c r="B1054" t="s">
        <v>1573</v>
      </c>
      <c r="C1054" t="s">
        <v>1574</v>
      </c>
      <c r="D1054" t="s">
        <v>1572</v>
      </c>
      <c r="E1054" t="s">
        <v>15</v>
      </c>
      <c r="F1054" t="s">
        <v>50</v>
      </c>
      <c r="G1054" t="s">
        <v>65</v>
      </c>
      <c r="H1054" s="1">
        <v>58963</v>
      </c>
    </row>
    <row r="1055" spans="1:8" hidden="1" x14ac:dyDescent="0.25">
      <c r="A1055" s="5" t="str">
        <f>HYPERLINK("https://app.vivvix.com/360/KMI/IntelliDrive/ApplUI/Pages/CreativePages/CustomReportCreativeDetail.aspx?App=23&amp;ReportView=4&amp;Qid=1711242&amp;Row=1047&amp;Col=1","Sign And Drive Lease, Excellence Of Driving")</f>
        <v>Sign And Drive Lease, Excellence Of Driving</v>
      </c>
      <c r="B1055" t="s">
        <v>1575</v>
      </c>
      <c r="C1055" t="s">
        <v>1576</v>
      </c>
      <c r="D1055" t="s">
        <v>64</v>
      </c>
      <c r="E1055" t="s">
        <v>15</v>
      </c>
      <c r="F1055" t="s">
        <v>50</v>
      </c>
      <c r="G1055" t="s">
        <v>65</v>
      </c>
      <c r="H1055" s="1">
        <v>428577</v>
      </c>
    </row>
    <row r="1056" spans="1:8" hidden="1" x14ac:dyDescent="0.25">
      <c r="A1056" s="5" t="str">
        <f>HYPERLINK("https://app.vivvix.com/360/KMI/IntelliDrive/ApplUI/Pages/CreativePages/CustomReportCreativeDetail.aspx?App=23&amp;ReportView=4&amp;Qid=1711242&amp;Row=1048&amp;Col=1","Sign And Drive.")</f>
        <v>Sign And Drive.</v>
      </c>
      <c r="B1056" t="s">
        <v>1577</v>
      </c>
      <c r="C1056" t="s">
        <v>1578</v>
      </c>
      <c r="D1056" t="s">
        <v>64</v>
      </c>
      <c r="E1056" t="s">
        <v>15</v>
      </c>
      <c r="F1056" t="s">
        <v>50</v>
      </c>
      <c r="G1056" t="s">
        <v>65</v>
      </c>
      <c r="H1056" s="1">
        <v>394988</v>
      </c>
    </row>
    <row r="1057" spans="1:8" hidden="1" x14ac:dyDescent="0.25">
      <c r="A1057" s="5" t="str">
        <f>HYPERLINK("https://app.vivvix.com/360/KMI/IntelliDrive/ApplUI/Pages/CreativePages/CustomReportCreativeDetail.aspx?App=23&amp;ReportView=4&amp;Qid=1711242&amp;Row=1049&amp;Col=1","suite of standard safety &amp; driver- assistance...")</f>
        <v>suite of standard safety &amp; driver- assistance...</v>
      </c>
      <c r="B1057" t="s">
        <v>1579</v>
      </c>
      <c r="C1057" t="s">
        <v>1580</v>
      </c>
      <c r="D1057" t="s">
        <v>1580</v>
      </c>
      <c r="E1057" t="s">
        <v>15</v>
      </c>
      <c r="F1057" t="s">
        <v>16</v>
      </c>
      <c r="G1057" t="s">
        <v>54</v>
      </c>
      <c r="H1057" s="1">
        <v>75762.173999999999</v>
      </c>
    </row>
    <row r="1058" spans="1:8" hidden="1" x14ac:dyDescent="0.25">
      <c r="A1058" s="5" t="str">
        <f>HYPERLINK("https://app.vivvix.com/360/KMI/IntelliDrive/ApplUI/Pages/CreativePages/CustomReportCreativeDetail.aspx?App=23&amp;ReportView=4&amp;Qid=1711242&amp;Row=1050&amp;Col=1","suite of standard safety &amp; driver- assistance...")</f>
        <v>suite of standard safety &amp; driver- assistance...</v>
      </c>
      <c r="B1058" t="s">
        <v>1579</v>
      </c>
      <c r="E1058" t="s">
        <v>15</v>
      </c>
      <c r="F1058" t="s">
        <v>16</v>
      </c>
      <c r="G1058" t="s">
        <v>54</v>
      </c>
      <c r="H1058" s="1">
        <v>484530.10399999999</v>
      </c>
    </row>
    <row r="1059" spans="1:8" hidden="1" x14ac:dyDescent="0.25">
      <c r="A1059" s="5" t="str">
        <f>HYPERLINK("https://app.vivvix.com/360/KMI/IntelliDrive/ApplUI/Pages/CreativePages/CustomReportCreativeDetail.aspx?App=23&amp;ReportView=4&amp;Qid=1711242&amp;Row=1051&amp;Col=1","The New Buick Encore")</f>
        <v>The New Buick Encore</v>
      </c>
      <c r="B1059" t="s">
        <v>1581</v>
      </c>
      <c r="E1059" t="s">
        <v>15</v>
      </c>
      <c r="F1059" t="s">
        <v>50</v>
      </c>
      <c r="G1059" t="s">
        <v>51</v>
      </c>
      <c r="H1059" s="1">
        <v>1089.037</v>
      </c>
    </row>
    <row r="1060" spans="1:8" hidden="1" x14ac:dyDescent="0.25">
      <c r="A1060" s="5" t="str">
        <f>HYPERLINK("https://app.vivvix.com/360/KMI/IntelliDrive/ApplUI/Pages/CreativePages/CustomReportCreativeDetail.aspx?App=23&amp;ReportView=4&amp;Qid=1711242&amp;Row=1052&amp;Col=1","Tire Price Match Guarantee")</f>
        <v>Tire Price Match Guarantee</v>
      </c>
      <c r="B1060" t="s">
        <v>1582</v>
      </c>
      <c r="C1060" t="s">
        <v>1583</v>
      </c>
      <c r="D1060" t="s">
        <v>1583</v>
      </c>
      <c r="E1060" t="s">
        <v>15</v>
      </c>
      <c r="F1060" t="s">
        <v>181</v>
      </c>
      <c r="G1060" t="s">
        <v>182</v>
      </c>
      <c r="H1060" s="1">
        <v>1949.105</v>
      </c>
    </row>
    <row r="1061" spans="1:8" hidden="1" x14ac:dyDescent="0.25">
      <c r="A1061" s="5" t="str">
        <f>HYPERLINK("https://app.vivvix.com/360/KMI/IntelliDrive/ApplUI/Pages/CreativePages/CustomReportCreativeDetail.aspx?App=23&amp;ReportView=4&amp;Qid=1711242&amp;Row=1053&amp;Col=1","Tire Price Match Guarantee")</f>
        <v>Tire Price Match Guarantee</v>
      </c>
      <c r="B1061" t="s">
        <v>1584</v>
      </c>
      <c r="C1061" t="s">
        <v>1585</v>
      </c>
      <c r="D1061" t="s">
        <v>1583</v>
      </c>
      <c r="E1061" t="s">
        <v>15</v>
      </c>
      <c r="F1061" t="s">
        <v>181</v>
      </c>
      <c r="G1061" t="s">
        <v>182</v>
      </c>
      <c r="H1061" s="1">
        <v>2211.3960000000002</v>
      </c>
    </row>
    <row r="1062" spans="1:8" hidden="1" x14ac:dyDescent="0.25">
      <c r="A1062" s="5" t="str">
        <f>HYPERLINK("https://app.vivvix.com/360/KMI/IntelliDrive/ApplUI/Pages/CreativePages/CustomReportCreativeDetail.aspx?App=23&amp;ReportView=4&amp;Qid=1711242&amp;Row=1054&amp;Col=1","Tire Price Match Guarantee")</f>
        <v>Tire Price Match Guarantee</v>
      </c>
      <c r="B1062" t="s">
        <v>1584</v>
      </c>
      <c r="E1062" t="s">
        <v>15</v>
      </c>
      <c r="F1062" t="s">
        <v>181</v>
      </c>
      <c r="G1062" t="s">
        <v>182</v>
      </c>
      <c r="H1062" s="1">
        <v>21809.817999999999</v>
      </c>
    </row>
    <row r="1063" spans="1:8" hidden="1" x14ac:dyDescent="0.25">
      <c r="A1063" s="5" t="str">
        <f>HYPERLINK("https://app.vivvix.com/360/KMI/IntelliDrive/ApplUI/Pages/CreativePages/CustomReportCreativeDetail.aspx?App=23&amp;ReportView=4&amp;Qid=1711242&amp;Row=1055&amp;Col=1","ultra low-mileage")</f>
        <v>ultra low-mileage</v>
      </c>
      <c r="B1063" t="s">
        <v>1586</v>
      </c>
      <c r="C1063" t="s">
        <v>1587</v>
      </c>
      <c r="D1063" t="s">
        <v>1587</v>
      </c>
      <c r="E1063" t="s">
        <v>15</v>
      </c>
      <c r="F1063" t="s">
        <v>20</v>
      </c>
      <c r="G1063" t="s">
        <v>21</v>
      </c>
      <c r="H1063" s="1">
        <v>8608</v>
      </c>
    </row>
    <row r="1064" spans="1:8" hidden="1" x14ac:dyDescent="0.25">
      <c r="A1064" s="5" t="str">
        <f>HYPERLINK("https://app.vivvix.com/360/KMI/IntelliDrive/ApplUI/Pages/CreativePages/CustomReportCreativeDetail.aspx?App=23&amp;ReportView=4&amp;Qid=1711242&amp;Row=1056&amp;Col=1","vehicle of different colors are shown")</f>
        <v>vehicle of different colors are shown</v>
      </c>
      <c r="B1064" t="s">
        <v>1588</v>
      </c>
      <c r="E1064" t="s">
        <v>15</v>
      </c>
      <c r="F1064" t="s">
        <v>50</v>
      </c>
      <c r="G1064" t="s">
        <v>65</v>
      </c>
      <c r="H1064" s="1">
        <v>62646.241999999998</v>
      </c>
    </row>
    <row r="1065" spans="1:8" hidden="1" x14ac:dyDescent="0.25">
      <c r="A1065" s="5" t="str">
        <f>HYPERLINK("https://app.vivvix.com/360/KMI/IntelliDrive/ApplUI/Pages/CreativePages/CustomReportCreativeDetail.aspx?App=23&amp;ReportView=4&amp;Qid=1711242&amp;Row=1057&amp;Col=1","WAIT, BUICKS ARE COOL AGAIN?")</f>
        <v>WAIT, BUICKS ARE COOL AGAIN?</v>
      </c>
      <c r="B1065" t="s">
        <v>1589</v>
      </c>
      <c r="C1065" t="s">
        <v>1590</v>
      </c>
      <c r="D1065" t="s">
        <v>1590</v>
      </c>
      <c r="E1065" t="s">
        <v>15</v>
      </c>
      <c r="F1065" t="s">
        <v>16</v>
      </c>
      <c r="G1065" t="s">
        <v>54</v>
      </c>
      <c r="H1065" s="1">
        <v>184100</v>
      </c>
    </row>
    <row r="1066" spans="1:8" hidden="1" x14ac:dyDescent="0.25">
      <c r="A1066" s="5" t="str">
        <f>HYPERLINK("https://app.vivvix.com/360/KMI/IntelliDrive/ApplUI/Pages/CreativePages/CustomReportCreativeDetail.aspx?App=23&amp;ReportView=4&amp;Qid=1711242&amp;Row=1058&amp;Col=1","Welcome To A New Level Of Exceptional 2")</f>
        <v>Welcome To A New Level Of Exceptional 2</v>
      </c>
      <c r="B1066" t="s">
        <v>1591</v>
      </c>
      <c r="C1066" t="s">
        <v>1592</v>
      </c>
      <c r="D1066" t="s">
        <v>1592</v>
      </c>
      <c r="E1066" t="s">
        <v>15</v>
      </c>
      <c r="F1066" t="s">
        <v>15</v>
      </c>
      <c r="G1066" t="s">
        <v>119</v>
      </c>
      <c r="H1066" s="1">
        <v>1103942</v>
      </c>
    </row>
    <row r="1067" spans="1:8" hidden="1" x14ac:dyDescent="0.25">
      <c r="A1067" s="5" t="str">
        <f>HYPERLINK("https://app.vivvix.com/360/KMI/IntelliDrive/ApplUI/Pages/CreativePages/CustomReportCreativeDetail.aspx?App=23&amp;ReportView=4&amp;Qid=1711242&amp;Row=1059&amp;Col=1","Welcome To A New Level Of Exceptional 2")</f>
        <v>Welcome To A New Level Of Exceptional 2</v>
      </c>
      <c r="B1067" t="s">
        <v>1591</v>
      </c>
      <c r="C1067" t="s">
        <v>1592</v>
      </c>
      <c r="D1067" t="s">
        <v>1592</v>
      </c>
      <c r="E1067" t="s">
        <v>15</v>
      </c>
      <c r="F1067" t="s">
        <v>15</v>
      </c>
      <c r="G1067" t="s">
        <v>119</v>
      </c>
      <c r="H1067" s="1">
        <v>1068</v>
      </c>
    </row>
    <row r="1068" spans="1:8" hidden="1" x14ac:dyDescent="0.25">
      <c r="A1068" s="5" t="str">
        <f>HYPERLINK("https://app.vivvix.com/360/KMI/IntelliDrive/ApplUI/Pages/CreativePages/CustomReportCreativeDetail.aspx?App=23&amp;ReportView=4&amp;Qid=1711242&amp;Row=1060&amp;Col=1","Welcome To A New Level Of Exceptional 2")</f>
        <v>Welcome To A New Level Of Exceptional 2</v>
      </c>
      <c r="B1068" t="s">
        <v>1591</v>
      </c>
      <c r="C1068" t="s">
        <v>1592</v>
      </c>
      <c r="D1068" t="s">
        <v>1592</v>
      </c>
      <c r="E1068" t="s">
        <v>15</v>
      </c>
      <c r="F1068" t="s">
        <v>15</v>
      </c>
      <c r="G1068" t="s">
        <v>119</v>
      </c>
      <c r="H1068" s="1">
        <v>496751</v>
      </c>
    </row>
    <row r="1069" spans="1:8" hidden="1" x14ac:dyDescent="0.25">
      <c r="A1069" s="5" t="str">
        <f>HYPERLINK("https://app.vivvix.com/360/KMI/IntelliDrive/ApplUI/Pages/CreativePages/CustomReportCreativeDetail.aspx?App=23&amp;ReportView=4&amp;Qid=1711242&amp;Row=1061&amp;Col=1","woman says experience advanced technology")</f>
        <v>woman says experience advanced technology</v>
      </c>
      <c r="B1069" t="s">
        <v>1593</v>
      </c>
      <c r="E1069" t="s">
        <v>15</v>
      </c>
      <c r="F1069" t="s">
        <v>20</v>
      </c>
      <c r="G1069" t="s">
        <v>31</v>
      </c>
      <c r="H1069" s="1">
        <v>8927.5619999999999</v>
      </c>
    </row>
    <row r="1070" spans="1:8" hidden="1" x14ac:dyDescent="0.25">
      <c r="A1070" s="5" t="str">
        <f>HYPERLINK("https://app.vivvix.com/360/KMI/IntelliDrive/ApplUI/Pages/CreativePages/CustomReportCreativeDetail.aspx?App=23&amp;ReportView=4&amp;Qid=1711242&amp;Row=1062&amp;Col=1","woman says experience advanced technology")</f>
        <v>woman says experience advanced technology</v>
      </c>
      <c r="B1070" t="s">
        <v>1593</v>
      </c>
      <c r="E1070" t="s">
        <v>15</v>
      </c>
      <c r="F1070" t="s">
        <v>20</v>
      </c>
      <c r="G1070" t="s">
        <v>31</v>
      </c>
      <c r="H1070" s="1">
        <v>10600.574000000001</v>
      </c>
    </row>
    <row r="1071" spans="1:8" ht="14.4" hidden="1" x14ac:dyDescent="0.3">
      <c r="A1071" s="3" t="s">
        <v>1594</v>
      </c>
      <c r="B1071" s="3" t="s">
        <v>1595</v>
      </c>
      <c r="C1071" s="3" t="s">
        <v>1595</v>
      </c>
      <c r="D1071" s="3" t="s">
        <v>1595</v>
      </c>
      <c r="E1071" s="3" t="s">
        <v>1595</v>
      </c>
      <c r="F1071" s="3" t="s">
        <v>1595</v>
      </c>
      <c r="G1071" s="3" t="s">
        <v>1595</v>
      </c>
      <c r="H1071" s="4">
        <v>71422299.254099995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C75"/>
  <sheetViews>
    <sheetView workbookViewId="0"/>
  </sheetViews>
  <sheetFormatPr defaultRowHeight="13.8" x14ac:dyDescent="0.25"/>
  <cols>
    <col min="1" max="4" width="45" customWidth="1"/>
  </cols>
  <sheetData>
    <row r="5" spans="1:3" ht="14.4" x14ac:dyDescent="0.3">
      <c r="A5" s="2" t="s">
        <v>1596</v>
      </c>
      <c r="B5" t="s">
        <v>0</v>
      </c>
    </row>
    <row r="6" spans="1:3" ht="14.4" x14ac:dyDescent="0.3">
      <c r="A6" s="2" t="s">
        <v>1597</v>
      </c>
      <c r="B6" t="s">
        <v>1598</v>
      </c>
    </row>
    <row r="7" spans="1:3" ht="14.4" x14ac:dyDescent="0.3">
      <c r="A7" s="2" t="s">
        <v>1599</v>
      </c>
      <c r="B7" t="s">
        <v>1600</v>
      </c>
    </row>
    <row r="8" spans="1:3" ht="14.4" x14ac:dyDescent="0.3">
      <c r="A8" s="2" t="s">
        <v>1</v>
      </c>
      <c r="B8" t="s">
        <v>1601</v>
      </c>
    </row>
    <row r="9" spans="1:3" ht="14.4" x14ac:dyDescent="0.3">
      <c r="A9" s="2" t="s">
        <v>1602</v>
      </c>
      <c r="B9" t="s">
        <v>1603</v>
      </c>
    </row>
    <row r="10" spans="1:3" ht="14.4" x14ac:dyDescent="0.3">
      <c r="A10" s="2" t="s">
        <v>1604</v>
      </c>
      <c r="B10" t="s">
        <v>1605</v>
      </c>
    </row>
    <row r="11" spans="1:3" ht="14.4" x14ac:dyDescent="0.3">
      <c r="A11" s="2" t="s">
        <v>3</v>
      </c>
      <c r="B11" t="s">
        <v>1606</v>
      </c>
    </row>
    <row r="12" spans="1:3" ht="14.4" x14ac:dyDescent="0.3">
      <c r="A12" s="2" t="s">
        <v>1607</v>
      </c>
      <c r="B12" t="s">
        <v>1608</v>
      </c>
    </row>
    <row r="13" spans="1:3" ht="14.4" x14ac:dyDescent="0.3">
      <c r="A13" s="2" t="s">
        <v>1609</v>
      </c>
      <c r="B13" s="2" t="s">
        <v>1610</v>
      </c>
      <c r="C13" s="2" t="s">
        <v>1611</v>
      </c>
    </row>
    <row r="14" spans="1:3" x14ac:dyDescent="0.25">
      <c r="A14" t="s">
        <v>1612</v>
      </c>
      <c r="B14" t="s">
        <v>1613</v>
      </c>
      <c r="C14" t="s">
        <v>1614</v>
      </c>
    </row>
    <row r="15" spans="1:3" x14ac:dyDescent="0.25">
      <c r="A15" t="s">
        <v>1615</v>
      </c>
      <c r="B15" t="s">
        <v>1614</v>
      </c>
      <c r="C15" t="s">
        <v>1614</v>
      </c>
    </row>
    <row r="16" spans="1:3" x14ac:dyDescent="0.25">
      <c r="A16" t="s">
        <v>1616</v>
      </c>
      <c r="B16" t="s">
        <v>1617</v>
      </c>
      <c r="C16" t="s">
        <v>1618</v>
      </c>
    </row>
    <row r="17" spans="1:3" x14ac:dyDescent="0.25">
      <c r="A17" t="s">
        <v>1619</v>
      </c>
      <c r="B17" t="s">
        <v>1620</v>
      </c>
      <c r="C17" t="s">
        <v>1618</v>
      </c>
    </row>
    <row r="18" spans="1:3" x14ac:dyDescent="0.25">
      <c r="A18" t="s">
        <v>1621</v>
      </c>
      <c r="B18" t="s">
        <v>1617</v>
      </c>
      <c r="C18" t="s">
        <v>1618</v>
      </c>
    </row>
    <row r="19" spans="1:3" x14ac:dyDescent="0.25">
      <c r="A19" t="s">
        <v>1622</v>
      </c>
      <c r="B19" t="s">
        <v>1617</v>
      </c>
      <c r="C19" t="s">
        <v>1618</v>
      </c>
    </row>
    <row r="20" spans="1:3" x14ac:dyDescent="0.25">
      <c r="A20" t="s">
        <v>1623</v>
      </c>
      <c r="B20" t="s">
        <v>1617</v>
      </c>
      <c r="C20" t="s">
        <v>1618</v>
      </c>
    </row>
    <row r="21" spans="1:3" x14ac:dyDescent="0.25">
      <c r="A21" t="s">
        <v>1624</v>
      </c>
      <c r="B21" t="s">
        <v>1620</v>
      </c>
      <c r="C21" t="s">
        <v>1618</v>
      </c>
    </row>
    <row r="22" spans="1:3" x14ac:dyDescent="0.25">
      <c r="A22" t="s">
        <v>1625</v>
      </c>
      <c r="B22" t="s">
        <v>1617</v>
      </c>
      <c r="C22" t="s">
        <v>1618</v>
      </c>
    </row>
    <row r="23" spans="1:3" x14ac:dyDescent="0.25">
      <c r="A23" t="s">
        <v>1626</v>
      </c>
      <c r="B23" t="s">
        <v>1617</v>
      </c>
      <c r="C23" t="s">
        <v>1618</v>
      </c>
    </row>
    <row r="24" spans="1:3" x14ac:dyDescent="0.25">
      <c r="A24" t="s">
        <v>1627</v>
      </c>
      <c r="B24" t="s">
        <v>1617</v>
      </c>
      <c r="C24" t="s">
        <v>1618</v>
      </c>
    </row>
    <row r="26" spans="1:3" ht="14.4" x14ac:dyDescent="0.3">
      <c r="A26" s="2" t="s">
        <v>1628</v>
      </c>
    </row>
    <row r="27" spans="1:3" ht="14.4" x14ac:dyDescent="0.3">
      <c r="A27" s="2" t="s">
        <v>1629</v>
      </c>
    </row>
    <row r="28" spans="1:3" x14ac:dyDescent="0.25">
      <c r="A28" t="s">
        <v>1630</v>
      </c>
    </row>
    <row r="29" spans="1:3" ht="14.4" x14ac:dyDescent="0.3">
      <c r="A29" s="2" t="s">
        <v>1631</v>
      </c>
    </row>
    <row r="30" spans="1:3" x14ac:dyDescent="0.25">
      <c r="A30" t="s">
        <v>1632</v>
      </c>
      <c r="B30" t="s">
        <v>1633</v>
      </c>
    </row>
    <row r="31" spans="1:3" x14ac:dyDescent="0.25">
      <c r="A31" t="s">
        <v>1634</v>
      </c>
    </row>
    <row r="32" spans="1:3" x14ac:dyDescent="0.25">
      <c r="A32" t="s">
        <v>1635</v>
      </c>
    </row>
    <row r="33" spans="1:2" x14ac:dyDescent="0.25">
      <c r="A33" t="s">
        <v>1636</v>
      </c>
    </row>
    <row r="34" spans="1:2" x14ac:dyDescent="0.25">
      <c r="A34" t="s">
        <v>1637</v>
      </c>
    </row>
    <row r="35" spans="1:2" x14ac:dyDescent="0.25">
      <c r="A35" t="s">
        <v>1638</v>
      </c>
    </row>
    <row r="36" spans="1:2" x14ac:dyDescent="0.25">
      <c r="A36" t="s">
        <v>1639</v>
      </c>
    </row>
    <row r="37" spans="1:2" ht="14.4" x14ac:dyDescent="0.3">
      <c r="A37" s="2" t="s">
        <v>1640</v>
      </c>
    </row>
    <row r="38" spans="1:2" x14ac:dyDescent="0.25">
      <c r="A38" t="s">
        <v>1641</v>
      </c>
      <c r="B38" t="s">
        <v>1642</v>
      </c>
    </row>
    <row r="39" spans="1:2" ht="14.4" x14ac:dyDescent="0.3">
      <c r="A39" s="2" t="s">
        <v>1643</v>
      </c>
    </row>
    <row r="40" spans="1:2" ht="14.4" x14ac:dyDescent="0.3">
      <c r="A40" s="2" t="s">
        <v>1644</v>
      </c>
    </row>
    <row r="41" spans="1:2" x14ac:dyDescent="0.25">
      <c r="A41" t="s">
        <v>1645</v>
      </c>
    </row>
    <row r="42" spans="1:2" x14ac:dyDescent="0.25">
      <c r="A42" t="s">
        <v>1646</v>
      </c>
    </row>
    <row r="43" spans="1:2" x14ac:dyDescent="0.25">
      <c r="A43" t="s">
        <v>1647</v>
      </c>
    </row>
    <row r="44" spans="1:2" x14ac:dyDescent="0.25">
      <c r="A44" t="s">
        <v>1648</v>
      </c>
    </row>
    <row r="45" spans="1:2" x14ac:dyDescent="0.25">
      <c r="A45" t="s">
        <v>1649</v>
      </c>
    </row>
    <row r="46" spans="1:2" x14ac:dyDescent="0.25">
      <c r="A46" t="s">
        <v>1650</v>
      </c>
    </row>
    <row r="47" spans="1:2" x14ac:dyDescent="0.25">
      <c r="A47" t="s">
        <v>1651</v>
      </c>
    </row>
    <row r="48" spans="1:2" x14ac:dyDescent="0.25">
      <c r="A48" t="s">
        <v>1652</v>
      </c>
    </row>
    <row r="49" spans="1:2" x14ac:dyDescent="0.25">
      <c r="A49" t="s">
        <v>1653</v>
      </c>
    </row>
    <row r="50" spans="1:2" x14ac:dyDescent="0.25">
      <c r="A50" t="s">
        <v>1654</v>
      </c>
    </row>
    <row r="51" spans="1:2" x14ac:dyDescent="0.25">
      <c r="A51" t="s">
        <v>1655</v>
      </c>
    </row>
    <row r="52" spans="1:2" x14ac:dyDescent="0.25">
      <c r="A52" t="s">
        <v>1656</v>
      </c>
    </row>
    <row r="53" spans="1:2" ht="14.4" x14ac:dyDescent="0.3">
      <c r="A53" s="2" t="s">
        <v>1657</v>
      </c>
    </row>
    <row r="54" spans="1:2" x14ac:dyDescent="0.25">
      <c r="A54" t="s">
        <v>1658</v>
      </c>
    </row>
    <row r="55" spans="1:2" x14ac:dyDescent="0.25">
      <c r="A55" t="s">
        <v>1659</v>
      </c>
    </row>
    <row r="56" spans="1:2" ht="14.4" x14ac:dyDescent="0.3">
      <c r="A56" s="2" t="s">
        <v>1660</v>
      </c>
    </row>
    <row r="57" spans="1:2" x14ac:dyDescent="0.25">
      <c r="A57" t="s">
        <v>1661</v>
      </c>
    </row>
    <row r="58" spans="1:2" x14ac:dyDescent="0.25">
      <c r="A58" t="s">
        <v>1658</v>
      </c>
    </row>
    <row r="59" spans="1:2" ht="14.4" x14ac:dyDescent="0.3">
      <c r="A59" s="2" t="s">
        <v>1662</v>
      </c>
    </row>
    <row r="60" spans="1:2" x14ac:dyDescent="0.25">
      <c r="A60" t="s">
        <v>1658</v>
      </c>
    </row>
    <row r="61" spans="1:2" ht="14.4" x14ac:dyDescent="0.3">
      <c r="A61" s="2" t="s">
        <v>1663</v>
      </c>
    </row>
    <row r="62" spans="1:2" ht="14.4" x14ac:dyDescent="0.3">
      <c r="A62" s="2" t="s">
        <v>1664</v>
      </c>
    </row>
    <row r="63" spans="1:2" x14ac:dyDescent="0.25">
      <c r="A63" t="s">
        <v>1665</v>
      </c>
      <c r="B63" t="s">
        <v>1666</v>
      </c>
    </row>
    <row r="64" spans="1:2" ht="14.4" x14ac:dyDescent="0.3">
      <c r="A64" s="2" t="s">
        <v>1667</v>
      </c>
    </row>
    <row r="65" spans="1:2" x14ac:dyDescent="0.25">
      <c r="A65" t="s">
        <v>1658</v>
      </c>
      <c r="B65" t="s">
        <v>1668</v>
      </c>
    </row>
    <row r="66" spans="1:2" x14ac:dyDescent="0.25">
      <c r="A66" t="s">
        <v>1669</v>
      </c>
    </row>
    <row r="67" spans="1:2" ht="14.4" x14ac:dyDescent="0.3">
      <c r="A67" s="2" t="s">
        <v>1670</v>
      </c>
    </row>
    <row r="68" spans="1:2" ht="14.4" x14ac:dyDescent="0.3">
      <c r="A68" s="2" t="s">
        <v>1671</v>
      </c>
    </row>
    <row r="69" spans="1:2" x14ac:dyDescent="0.25">
      <c r="A69" t="s">
        <v>1672</v>
      </c>
    </row>
    <row r="70" spans="1:2" x14ac:dyDescent="0.25">
      <c r="A70" t="s">
        <v>1673</v>
      </c>
    </row>
    <row r="72" spans="1:2" x14ac:dyDescent="0.25">
      <c r="A72" t="s">
        <v>1674</v>
      </c>
    </row>
    <row r="73" spans="1:2" x14ac:dyDescent="0.25">
      <c r="A73" t="s">
        <v>1675</v>
      </c>
    </row>
    <row r="74" spans="1:2" x14ac:dyDescent="0.25">
      <c r="A74" t="s">
        <v>1676</v>
      </c>
    </row>
    <row r="75" spans="1:2" x14ac:dyDescent="0.25">
      <c r="A75" t="s">
        <v>1677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Report</vt:lpstr>
      <vt:lpstr>Summary</vt:lpstr>
      <vt:lpstr>Report!Criteria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2007-08-15T06:50:14Z</dcterms:created>
  <dcterms:modified xsi:type="dcterms:W3CDTF">2025-11-13T14:31:35Z</dcterms:modified>
  <cp:category/>
  <cp:contentStatus/>
</cp:coreProperties>
</file>