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480" yWindow="105" windowWidth="20055" windowHeight="12240"/>
  </bookViews>
  <sheets>
    <sheet name="Report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<sst xmlns="http://schemas.openxmlformats.org/spreadsheetml/2006/main" count="1729" uniqueCount="1729">
  <si>
    <t>booking.com_2024</t>
  </si>
  <si>
    <t>Report Completed:</t>
  </si>
  <si>
    <t>10/25/2025 17:16:13 EDT</t>
  </si>
  <si>
    <t>Reported Time Period:</t>
  </si>
  <si>
    <t>1/1/2024-12/31/2024 </t>
  </si>
  <si>
    <t>CREATIVE</t>
  </si>
  <si>
    <t>MASTER CREATIVE ID</t>
  </si>
  <si>
    <t>PARENT CREATIVE ID</t>
  </si>
  <si>
    <t>DETAIL CREATIVE ID</t>
  </si>
  <si>
    <t>ADVERTISER</t>
  </si>
  <si>
    <t>586770108</t>
  </si>
  <si>
    <t>56552067</t>
  </si>
  <si>
    <t>Booking.com</t>
  </si>
  <si>
    <t>Cable TV</t>
  </si>
  <si>
    <t>Network TV</t>
  </si>
  <si>
    <t>Spot TV</t>
  </si>
  <si>
    <t>15263470281</t>
  </si>
  <si>
    <t>Online Video</t>
  </si>
  <si>
    <t>15271419672</t>
  </si>
  <si>
    <t>15274115258</t>
  </si>
  <si>
    <t>Mobile Web Video</t>
  </si>
  <si>
    <t>15276697867</t>
  </si>
  <si>
    <t>15285833959</t>
  </si>
  <si>
    <t>58887817</t>
  </si>
  <si>
    <t>15274345192</t>
  </si>
  <si>
    <t>15250094980</t>
  </si>
  <si>
    <t>15277505407</t>
  </si>
  <si>
    <t>15278159463</t>
  </si>
  <si>
    <t>15237068132</t>
  </si>
  <si>
    <t>15262811839</t>
  </si>
  <si>
    <t>15262143727</t>
  </si>
  <si>
    <t>15258519169</t>
  </si>
  <si>
    <t>15267774355</t>
  </si>
  <si>
    <t>15268208863</t>
  </si>
  <si>
    <t>15268357121</t>
  </si>
  <si>
    <t>61731546</t>
  </si>
  <si>
    <t>15274115240</t>
  </si>
  <si>
    <t>15281048230</t>
  </si>
  <si>
    <t>15275461440</t>
  </si>
  <si>
    <t>15250665147</t>
  </si>
  <si>
    <t>15257902288</t>
  </si>
  <si>
    <t>15262811969</t>
  </si>
  <si>
    <t>15264302859</t>
  </si>
  <si>
    <t>15264886965</t>
  </si>
  <si>
    <t>15266758866</t>
  </si>
  <si>
    <t>15266758892</t>
  </si>
  <si>
    <t>15267467870</t>
  </si>
  <si>
    <t>15268703239</t>
  </si>
  <si>
    <t>61692528</t>
  </si>
  <si>
    <t>15269949106</t>
  </si>
  <si>
    <t>15275408474</t>
  </si>
  <si>
    <t>15275408491</t>
  </si>
  <si>
    <t>15275409222</t>
  </si>
  <si>
    <t>15275432746</t>
  </si>
  <si>
    <t>15278145212</t>
  </si>
  <si>
    <t>15278192364</t>
  </si>
  <si>
    <t>15279864577</t>
  </si>
  <si>
    <t>15280316590</t>
  </si>
  <si>
    <t>15282064499</t>
  </si>
  <si>
    <t>15282064899</t>
  </si>
  <si>
    <t>15283085802</t>
  </si>
  <si>
    <t>62157558</t>
  </si>
  <si>
    <t>15268208862</t>
  </si>
  <si>
    <t>15268703113</t>
  </si>
  <si>
    <t>15281754027</t>
  </si>
  <si>
    <t>15268702324</t>
  </si>
  <si>
    <t>61703112</t>
  </si>
  <si>
    <t>15279547467</t>
  </si>
  <si>
    <t>15268200154</t>
  </si>
  <si>
    <t>61722303</t>
  </si>
  <si>
    <t>15268200155</t>
  </si>
  <si>
    <t>61699504</t>
  </si>
  <si>
    <t>15280476720</t>
  </si>
  <si>
    <t>15282098044</t>
  </si>
  <si>
    <t>586770156</t>
  </si>
  <si>
    <t>56551813</t>
  </si>
  <si>
    <t>15285818581</t>
  </si>
  <si>
    <t>58884161</t>
  </si>
  <si>
    <t>586640375</t>
  </si>
  <si>
    <t>55823539</t>
  </si>
  <si>
    <t>15265350980</t>
  </si>
  <si>
    <t>15265404479</t>
  </si>
  <si>
    <t>15271211660</t>
  </si>
  <si>
    <t>15273518335</t>
  </si>
  <si>
    <t>15265320304</t>
  </si>
  <si>
    <t>15268525320</t>
  </si>
  <si>
    <t>15265320465</t>
  </si>
  <si>
    <t>15266261043</t>
  </si>
  <si>
    <t>15267053542</t>
  </si>
  <si>
    <t>15267800779</t>
  </si>
  <si>
    <t>15268021187</t>
  </si>
  <si>
    <t>15265363433</t>
  </si>
  <si>
    <t>15267774163</t>
  </si>
  <si>
    <t>15275697842</t>
  </si>
  <si>
    <t>61697497</t>
  </si>
  <si>
    <t>15276925405</t>
  </si>
  <si>
    <t>15277495619</t>
  </si>
  <si>
    <t>15279789458</t>
  </si>
  <si>
    <t>61714088</t>
  </si>
  <si>
    <t>201089620</t>
  </si>
  <si>
    <t>52479898</t>
  </si>
  <si>
    <t>Magazines</t>
  </si>
  <si>
    <t>4-COLOR 4-COLOR </t>
  </si>
  <si>
    <t>15260180274</t>
  </si>
  <si>
    <t>15273021944</t>
  </si>
  <si>
    <t>15260156507</t>
  </si>
  <si>
    <t>15279862545</t>
  </si>
  <si>
    <t>15262143667</t>
  </si>
  <si>
    <t>CREATIVE UNKNOWN</t>
  </si>
  <si>
    <t>15274865597</t>
  </si>
  <si>
    <t>15274115826</t>
  </si>
  <si>
    <t>15274357478</t>
  </si>
  <si>
    <t>586771698</t>
  </si>
  <si>
    <t>56556240</t>
  </si>
  <si>
    <t>15286030826</t>
  </si>
  <si>
    <t>58964842</t>
  </si>
  <si>
    <t>15278495632</t>
  </si>
  <si>
    <t>15278473615</t>
  </si>
  <si>
    <t>15267666302</t>
  </si>
  <si>
    <t>15258497664</t>
  </si>
  <si>
    <t>15283165529</t>
  </si>
  <si>
    <t>586465994</t>
  </si>
  <si>
    <t>55073742</t>
  </si>
  <si>
    <t>586466031</t>
  </si>
  <si>
    <t>55073999</t>
  </si>
  <si>
    <t>586466351</t>
  </si>
  <si>
    <t>55079922</t>
  </si>
  <si>
    <t>586468717</t>
  </si>
  <si>
    <t>55082070</t>
  </si>
  <si>
    <t>586469857</t>
  </si>
  <si>
    <t>55083714</t>
  </si>
  <si>
    <t>15266732093</t>
  </si>
  <si>
    <t>15266743879</t>
  </si>
  <si>
    <t>15267171269</t>
  </si>
  <si>
    <t>15278462854</t>
  </si>
  <si>
    <t>27885070</t>
  </si>
  <si>
    <t>53141999</t>
  </si>
  <si>
    <t>28572537</t>
  </si>
  <si>
    <t>54429816</t>
  </si>
  <si>
    <t>28599578</t>
  </si>
  <si>
    <t>54479700</t>
  </si>
  <si>
    <t>28598510</t>
  </si>
  <si>
    <t>54477937</t>
  </si>
  <si>
    <t>28601773</t>
  </si>
  <si>
    <t>54483456</t>
  </si>
  <si>
    <t>586341255</t>
  </si>
  <si>
    <t>54792369</t>
  </si>
  <si>
    <t>586341202</t>
  </si>
  <si>
    <t>54793750</t>
  </si>
  <si>
    <t>586352418</t>
  </si>
  <si>
    <t>54814926</t>
  </si>
  <si>
    <t>586516365</t>
  </si>
  <si>
    <t>55208333</t>
  </si>
  <si>
    <t>15261785158</t>
  </si>
  <si>
    <t>15262811321</t>
  </si>
  <si>
    <t>27224422</t>
  </si>
  <si>
    <t>51841662</t>
  </si>
  <si>
    <t>27225524</t>
  </si>
  <si>
    <t>51844529</t>
  </si>
  <si>
    <t>28607847</t>
  </si>
  <si>
    <t>54494975</t>
  </si>
  <si>
    <t>28593976</t>
  </si>
  <si>
    <t>54515650</t>
  </si>
  <si>
    <t>15258577750</t>
  </si>
  <si>
    <t>15271296954</t>
  </si>
  <si>
    <t>15274115268</t>
  </si>
  <si>
    <t>15274357222</t>
  </si>
  <si>
    <t>61684663</t>
  </si>
  <si>
    <t>15283791838</t>
  </si>
  <si>
    <t>15279234985</t>
  </si>
  <si>
    <t>15282064515</t>
  </si>
  <si>
    <t>15237068072</t>
  </si>
  <si>
    <t>15274694292</t>
  </si>
  <si>
    <t>15278167870</t>
  </si>
  <si>
    <t>15278961359</t>
  </si>
  <si>
    <t>15262143621</t>
  </si>
  <si>
    <t>15262143927</t>
  </si>
  <si>
    <t>15273474640</t>
  </si>
  <si>
    <t>15273988525</t>
  </si>
  <si>
    <t>58789683</t>
  </si>
  <si>
    <t>15279815324</t>
  </si>
  <si>
    <t>15279669598</t>
  </si>
  <si>
    <t>15269668058</t>
  </si>
  <si>
    <t>15271985986</t>
  </si>
  <si>
    <t>15276455534</t>
  </si>
  <si>
    <t>15276925404</t>
  </si>
  <si>
    <t>15277492762</t>
  </si>
  <si>
    <t>61683835</t>
  </si>
  <si>
    <t>15278873387</t>
  </si>
  <si>
    <t>15272706217</t>
  </si>
  <si>
    <t>15272520793</t>
  </si>
  <si>
    <t>15282095914</t>
  </si>
  <si>
    <t>61693108</t>
  </si>
  <si>
    <t>15270176749</t>
  </si>
  <si>
    <t>15279864578</t>
  </si>
  <si>
    <t>15248285515</t>
  </si>
  <si>
    <t>15252237775</t>
  </si>
  <si>
    <t>15283813446</t>
  </si>
  <si>
    <t>15224440161</t>
  </si>
  <si>
    <t>15247649025</t>
  </si>
  <si>
    <t>15250186851</t>
  </si>
  <si>
    <t>15250740127</t>
  </si>
  <si>
    <t>15252237626</t>
  </si>
  <si>
    <t>15252247720</t>
  </si>
  <si>
    <t>Internet - Display</t>
  </si>
  <si>
    <t>15252293991</t>
  </si>
  <si>
    <t>15253563555</t>
  </si>
  <si>
    <t>15258186773</t>
  </si>
  <si>
    <t>15258495793</t>
  </si>
  <si>
    <t>15258528529</t>
  </si>
  <si>
    <t>15258544882</t>
  </si>
  <si>
    <t>15258583046</t>
  </si>
  <si>
    <t>15258625070</t>
  </si>
  <si>
    <t>15258646484</t>
  </si>
  <si>
    <t>15258697580</t>
  </si>
  <si>
    <t>15258703792</t>
  </si>
  <si>
    <t>15258732983</t>
  </si>
  <si>
    <t>15258822682</t>
  </si>
  <si>
    <t>15259009283</t>
  </si>
  <si>
    <t>15259016286</t>
  </si>
  <si>
    <t>15259030799</t>
  </si>
  <si>
    <t>15259128062</t>
  </si>
  <si>
    <t>15260348031</t>
  </si>
  <si>
    <t>15260667587</t>
  </si>
  <si>
    <t>15261031417</t>
  </si>
  <si>
    <t>15261326735</t>
  </si>
  <si>
    <t>15261759413</t>
  </si>
  <si>
    <t>15262408530</t>
  </si>
  <si>
    <t>15262489391</t>
  </si>
  <si>
    <t>15262811508</t>
  </si>
  <si>
    <t>15262878962</t>
  </si>
  <si>
    <t>15262878964</t>
  </si>
  <si>
    <t>15262882808</t>
  </si>
  <si>
    <t>15262921776</t>
  </si>
  <si>
    <t>15262941255</t>
  </si>
  <si>
    <t>15262946331</t>
  </si>
  <si>
    <t>15262946414</t>
  </si>
  <si>
    <t>15262973948</t>
  </si>
  <si>
    <t>15262975774</t>
  </si>
  <si>
    <t>15262978652</t>
  </si>
  <si>
    <t>15263009957</t>
  </si>
  <si>
    <t>15263009958</t>
  </si>
  <si>
    <t>15263023999</t>
  </si>
  <si>
    <t>15263083870</t>
  </si>
  <si>
    <t>15263157020</t>
  </si>
  <si>
    <t>Mobile Web</t>
  </si>
  <si>
    <t>15263164567</t>
  </si>
  <si>
    <t>15263183331</t>
  </si>
  <si>
    <t>15263267911</t>
  </si>
  <si>
    <t>15263267913</t>
  </si>
  <si>
    <t>15263286855</t>
  </si>
  <si>
    <t>15263333506</t>
  </si>
  <si>
    <t>15263333507</t>
  </si>
  <si>
    <t>15263336407</t>
  </si>
  <si>
    <t>15263344801</t>
  </si>
  <si>
    <t>15263352632</t>
  </si>
  <si>
    <t>15263398834</t>
  </si>
  <si>
    <t>15263410772</t>
  </si>
  <si>
    <t>15263439343</t>
  </si>
  <si>
    <t>15263441426</t>
  </si>
  <si>
    <t>15263490135</t>
  </si>
  <si>
    <t>15263556863</t>
  </si>
  <si>
    <t>15263560844</t>
  </si>
  <si>
    <t>15263564923</t>
  </si>
  <si>
    <t>15263566102</t>
  </si>
  <si>
    <t>15263701235</t>
  </si>
  <si>
    <t>15263705864</t>
  </si>
  <si>
    <t>15263752247</t>
  </si>
  <si>
    <t>15263752383</t>
  </si>
  <si>
    <t>15263768794</t>
  </si>
  <si>
    <t>15263872143</t>
  </si>
  <si>
    <t>15263935184</t>
  </si>
  <si>
    <t>15263941952</t>
  </si>
  <si>
    <t>15263941962</t>
  </si>
  <si>
    <t>15263942583</t>
  </si>
  <si>
    <t>15263979047</t>
  </si>
  <si>
    <t>15264002833</t>
  </si>
  <si>
    <t>15264022636</t>
  </si>
  <si>
    <t>15264085103</t>
  </si>
  <si>
    <t>15264090669</t>
  </si>
  <si>
    <t>15264189606</t>
  </si>
  <si>
    <t>15264227017</t>
  </si>
  <si>
    <t>15264281429</t>
  </si>
  <si>
    <t>15264285171</t>
  </si>
  <si>
    <t>15264290170</t>
  </si>
  <si>
    <t>15264292329</t>
  </si>
  <si>
    <t>15264298712</t>
  </si>
  <si>
    <t>15264305009</t>
  </si>
  <si>
    <t>15264367241</t>
  </si>
  <si>
    <t>15264367242</t>
  </si>
  <si>
    <t>15264368017</t>
  </si>
  <si>
    <t>15264382850</t>
  </si>
  <si>
    <t>15264390999</t>
  </si>
  <si>
    <t>15264503460</t>
  </si>
  <si>
    <t>15264594830</t>
  </si>
  <si>
    <t>15264594832</t>
  </si>
  <si>
    <t>15264692136</t>
  </si>
  <si>
    <t>15264706508</t>
  </si>
  <si>
    <t>15264708494</t>
  </si>
  <si>
    <t>15264869506</t>
  </si>
  <si>
    <t>15264877180</t>
  </si>
  <si>
    <t>54741571</t>
  </si>
  <si>
    <t>15264877226</t>
  </si>
  <si>
    <t>54741569</t>
  </si>
  <si>
    <t>15264880352</t>
  </si>
  <si>
    <t>15264880366</t>
  </si>
  <si>
    <t>15264893958</t>
  </si>
  <si>
    <t>15264929121</t>
  </si>
  <si>
    <t>15264941372</t>
  </si>
  <si>
    <t>15264947770</t>
  </si>
  <si>
    <t>15264952112</t>
  </si>
  <si>
    <t>15265008199</t>
  </si>
  <si>
    <t>15265009094</t>
  </si>
  <si>
    <t>15265056037</t>
  </si>
  <si>
    <t>15265076453</t>
  </si>
  <si>
    <t>15265076454</t>
  </si>
  <si>
    <t>15265076455</t>
  </si>
  <si>
    <t>15265076464</t>
  </si>
  <si>
    <t>15265076465</t>
  </si>
  <si>
    <t>15265109411</t>
  </si>
  <si>
    <t>15265109448</t>
  </si>
  <si>
    <t>15265137284</t>
  </si>
  <si>
    <t>15265179786</t>
  </si>
  <si>
    <t>15265251673</t>
  </si>
  <si>
    <t>15265313232</t>
  </si>
  <si>
    <t>15265317755</t>
  </si>
  <si>
    <t>15265361591</t>
  </si>
  <si>
    <t>15265361592</t>
  </si>
  <si>
    <t>15265375375</t>
  </si>
  <si>
    <t>15265375376</t>
  </si>
  <si>
    <t>15265375379</t>
  </si>
  <si>
    <t>15265375385</t>
  </si>
  <si>
    <t>15265380296</t>
  </si>
  <si>
    <t>15265386350</t>
  </si>
  <si>
    <t>15265419234</t>
  </si>
  <si>
    <t>15265498306</t>
  </si>
  <si>
    <t>15265498494</t>
  </si>
  <si>
    <t>15265570164</t>
  </si>
  <si>
    <t>15265570184</t>
  </si>
  <si>
    <t>15265586444</t>
  </si>
  <si>
    <t>15265586544</t>
  </si>
  <si>
    <t>15265586641</t>
  </si>
  <si>
    <t>15265586650</t>
  </si>
  <si>
    <t>15265588106</t>
  </si>
  <si>
    <t>15265588107</t>
  </si>
  <si>
    <t>15265588283</t>
  </si>
  <si>
    <t>15265699369</t>
  </si>
  <si>
    <t>15265713052</t>
  </si>
  <si>
    <t>15265718466</t>
  </si>
  <si>
    <t>15265721786</t>
  </si>
  <si>
    <t>15265721814</t>
  </si>
  <si>
    <t>15265773281</t>
  </si>
  <si>
    <t>15265773505</t>
  </si>
  <si>
    <t>15265829648</t>
  </si>
  <si>
    <t>15265862935</t>
  </si>
  <si>
    <t>15265862936</t>
  </si>
  <si>
    <t>15265903881</t>
  </si>
  <si>
    <t>15265961104</t>
  </si>
  <si>
    <t>15266025417</t>
  </si>
  <si>
    <t>15266027178</t>
  </si>
  <si>
    <t>15266037889</t>
  </si>
  <si>
    <t>15266090389</t>
  </si>
  <si>
    <t>15266090588</t>
  </si>
  <si>
    <t>15266112366</t>
  </si>
  <si>
    <t>15266124884</t>
  </si>
  <si>
    <t>15266152133</t>
  </si>
  <si>
    <t>15266159541</t>
  </si>
  <si>
    <t>15266192488</t>
  </si>
  <si>
    <t>15266233984</t>
  </si>
  <si>
    <t>15266288170</t>
  </si>
  <si>
    <t>15266294270</t>
  </si>
  <si>
    <t>15266294271</t>
  </si>
  <si>
    <t>15266300694</t>
  </si>
  <si>
    <t>15266307537</t>
  </si>
  <si>
    <t>15266307551</t>
  </si>
  <si>
    <t>15266343017</t>
  </si>
  <si>
    <t>15266343121</t>
  </si>
  <si>
    <t>15266393923</t>
  </si>
  <si>
    <t>15266496343</t>
  </si>
  <si>
    <t>15266496344</t>
  </si>
  <si>
    <t>15266547501</t>
  </si>
  <si>
    <t>15266547502</t>
  </si>
  <si>
    <t>15266566353</t>
  </si>
  <si>
    <t>15266580459</t>
  </si>
  <si>
    <t>15266580466</t>
  </si>
  <si>
    <t>15266580467</t>
  </si>
  <si>
    <t>15266580493</t>
  </si>
  <si>
    <t>15266580569</t>
  </si>
  <si>
    <t>15266580571</t>
  </si>
  <si>
    <t>15266581375</t>
  </si>
  <si>
    <t>15266581390</t>
  </si>
  <si>
    <t>15266581401</t>
  </si>
  <si>
    <t>15266613925</t>
  </si>
  <si>
    <t>15266619906</t>
  </si>
  <si>
    <t>15266628448</t>
  </si>
  <si>
    <t>15266638099</t>
  </si>
  <si>
    <t>15266638106</t>
  </si>
  <si>
    <t>15266682735</t>
  </si>
  <si>
    <t>15266747719</t>
  </si>
  <si>
    <t>15266752429</t>
  </si>
  <si>
    <t>15266764561</t>
  </si>
  <si>
    <t>15266770300</t>
  </si>
  <si>
    <t>15266771132</t>
  </si>
  <si>
    <t>15266773177</t>
  </si>
  <si>
    <t>15266841601</t>
  </si>
  <si>
    <t>15266848132</t>
  </si>
  <si>
    <t>15266848133</t>
  </si>
  <si>
    <t>15266848143</t>
  </si>
  <si>
    <t>15266887303</t>
  </si>
  <si>
    <t>15266893606</t>
  </si>
  <si>
    <t>15266907540</t>
  </si>
  <si>
    <t>15266926750</t>
  </si>
  <si>
    <t>15266951160</t>
  </si>
  <si>
    <t>15267004327</t>
  </si>
  <si>
    <t>15267007259</t>
  </si>
  <si>
    <t>15267076771</t>
  </si>
  <si>
    <t>15267150937</t>
  </si>
  <si>
    <t>15267151402</t>
  </si>
  <si>
    <t>15267161840</t>
  </si>
  <si>
    <t>15267161946</t>
  </si>
  <si>
    <t>15267161963</t>
  </si>
  <si>
    <t>15267226492</t>
  </si>
  <si>
    <t>15267226496</t>
  </si>
  <si>
    <t>15267226497</t>
  </si>
  <si>
    <t>15267226498</t>
  </si>
  <si>
    <t>15267228961</t>
  </si>
  <si>
    <t>15267257835</t>
  </si>
  <si>
    <t>15267281232</t>
  </si>
  <si>
    <t>15267294526</t>
  </si>
  <si>
    <t>15267294527</t>
  </si>
  <si>
    <t>15267338871</t>
  </si>
  <si>
    <t>54978474</t>
  </si>
  <si>
    <t>15267341825</t>
  </si>
  <si>
    <t>15267378193</t>
  </si>
  <si>
    <t>15267394925</t>
  </si>
  <si>
    <t>15267394926</t>
  </si>
  <si>
    <t>15267450924</t>
  </si>
  <si>
    <t>15267459887</t>
  </si>
  <si>
    <t>15267459888</t>
  </si>
  <si>
    <t>15267459889</t>
  </si>
  <si>
    <t>15267459890</t>
  </si>
  <si>
    <t>15267467093</t>
  </si>
  <si>
    <t>15267474728</t>
  </si>
  <si>
    <t>15267516560</t>
  </si>
  <si>
    <t>15267516561</t>
  </si>
  <si>
    <t>15267555931</t>
  </si>
  <si>
    <t>15267581294</t>
  </si>
  <si>
    <t>15267594887</t>
  </si>
  <si>
    <t>15267612414</t>
  </si>
  <si>
    <t>15267615418</t>
  </si>
  <si>
    <t>15267662702</t>
  </si>
  <si>
    <t>15267671437</t>
  </si>
  <si>
    <t>15267722963</t>
  </si>
  <si>
    <t>15267744957</t>
  </si>
  <si>
    <t>15267746006</t>
  </si>
  <si>
    <t>15267747366</t>
  </si>
  <si>
    <t>15267833124</t>
  </si>
  <si>
    <t>15267837210</t>
  </si>
  <si>
    <t>15267837211</t>
  </si>
  <si>
    <t>15267918644</t>
  </si>
  <si>
    <t>15267919997</t>
  </si>
  <si>
    <t>15267936587</t>
  </si>
  <si>
    <t>15267951422</t>
  </si>
  <si>
    <t>15267964593</t>
  </si>
  <si>
    <t>15267972133</t>
  </si>
  <si>
    <t>15268010737</t>
  </si>
  <si>
    <t>15268069176</t>
  </si>
  <si>
    <t>15268069177</t>
  </si>
  <si>
    <t>15268095350</t>
  </si>
  <si>
    <t>15268112458</t>
  </si>
  <si>
    <t>15268126178</t>
  </si>
  <si>
    <t>15268126303</t>
  </si>
  <si>
    <t>15268148523</t>
  </si>
  <si>
    <t>15268148936</t>
  </si>
  <si>
    <t>15268177320</t>
  </si>
  <si>
    <t>15268190458</t>
  </si>
  <si>
    <t>15268199410</t>
  </si>
  <si>
    <t>15268210427</t>
  </si>
  <si>
    <t>15268344858</t>
  </si>
  <si>
    <t>15268357999</t>
  </si>
  <si>
    <t>15268463511</t>
  </si>
  <si>
    <t>15268467153</t>
  </si>
  <si>
    <t>15268471362</t>
  </si>
  <si>
    <t>15268478186</t>
  </si>
  <si>
    <t>15268478187</t>
  </si>
  <si>
    <t>15268511683</t>
  </si>
  <si>
    <t>15268534725</t>
  </si>
  <si>
    <t>15268550049</t>
  </si>
  <si>
    <t>15268552005</t>
  </si>
  <si>
    <t>15268619116</t>
  </si>
  <si>
    <t>15268633353</t>
  </si>
  <si>
    <t>15268652004</t>
  </si>
  <si>
    <t>15268734364</t>
  </si>
  <si>
    <t>15268778325</t>
  </si>
  <si>
    <t>15268869765</t>
  </si>
  <si>
    <t>15268908585</t>
  </si>
  <si>
    <t>15268929154</t>
  </si>
  <si>
    <t>15268960017</t>
  </si>
  <si>
    <t>15269095000</t>
  </si>
  <si>
    <t>15269096417</t>
  </si>
  <si>
    <t>15269153198</t>
  </si>
  <si>
    <t>15269153218</t>
  </si>
  <si>
    <t>15269153238</t>
  </si>
  <si>
    <t>15269153240</t>
  </si>
  <si>
    <t>15269170546</t>
  </si>
  <si>
    <t>15269193365</t>
  </si>
  <si>
    <t>15269193374</t>
  </si>
  <si>
    <t>15269241405</t>
  </si>
  <si>
    <t>15269330073</t>
  </si>
  <si>
    <t>15269333902</t>
  </si>
  <si>
    <t>15269333925</t>
  </si>
  <si>
    <t>15269335722</t>
  </si>
  <si>
    <t>15269335749</t>
  </si>
  <si>
    <t>15269342461</t>
  </si>
  <si>
    <t>15269342468</t>
  </si>
  <si>
    <t>15269373070</t>
  </si>
  <si>
    <t>15269387102</t>
  </si>
  <si>
    <t>15269491542</t>
  </si>
  <si>
    <t>15269491565</t>
  </si>
  <si>
    <t>15269534915</t>
  </si>
  <si>
    <t>15269546622</t>
  </si>
  <si>
    <t>15269546733</t>
  </si>
  <si>
    <t>15269546742</t>
  </si>
  <si>
    <t>15269546749</t>
  </si>
  <si>
    <t>15269546759</t>
  </si>
  <si>
    <t>15269546768</t>
  </si>
  <si>
    <t>15269546772</t>
  </si>
  <si>
    <t>15269546774</t>
  </si>
  <si>
    <t>15269613887</t>
  </si>
  <si>
    <t>15269678655</t>
  </si>
  <si>
    <t>15269680032</t>
  </si>
  <si>
    <t>15269689080</t>
  </si>
  <si>
    <t>15269702465</t>
  </si>
  <si>
    <t>15269704282</t>
  </si>
  <si>
    <t>15269707641</t>
  </si>
  <si>
    <t>15269776868</t>
  </si>
  <si>
    <t>15269776895</t>
  </si>
  <si>
    <t>15269922365</t>
  </si>
  <si>
    <t>15269942771</t>
  </si>
  <si>
    <t>15269944082</t>
  </si>
  <si>
    <t>15269946348</t>
  </si>
  <si>
    <t>15269948183</t>
  </si>
  <si>
    <t>15269948904</t>
  </si>
  <si>
    <t>15269954888</t>
  </si>
  <si>
    <t>15269954902</t>
  </si>
  <si>
    <t>15269972279</t>
  </si>
  <si>
    <t>15269999045</t>
  </si>
  <si>
    <t>15270024498</t>
  </si>
  <si>
    <t>15270035235</t>
  </si>
  <si>
    <t>15270046055</t>
  </si>
  <si>
    <t>15270126925</t>
  </si>
  <si>
    <t>15270127000</t>
  </si>
  <si>
    <t>15270189632</t>
  </si>
  <si>
    <t>15270189679</t>
  </si>
  <si>
    <t>15270202483</t>
  </si>
  <si>
    <t>15270203098</t>
  </si>
  <si>
    <t>15270211431</t>
  </si>
  <si>
    <t>15270214097</t>
  </si>
  <si>
    <t>15270223073</t>
  </si>
  <si>
    <t>15270223477</t>
  </si>
  <si>
    <t>15270293418</t>
  </si>
  <si>
    <t>15270293866</t>
  </si>
  <si>
    <t>15270328702</t>
  </si>
  <si>
    <t>15270359310</t>
  </si>
  <si>
    <t>15270359311</t>
  </si>
  <si>
    <t>15270363610</t>
  </si>
  <si>
    <t>15270370942</t>
  </si>
  <si>
    <t>15270449201</t>
  </si>
  <si>
    <t>15270458447</t>
  </si>
  <si>
    <t>15270463429</t>
  </si>
  <si>
    <t>15270503863</t>
  </si>
  <si>
    <t>15270523400</t>
  </si>
  <si>
    <t>15270523805</t>
  </si>
  <si>
    <t>15270601450</t>
  </si>
  <si>
    <t>15270611290</t>
  </si>
  <si>
    <t>15270612923</t>
  </si>
  <si>
    <t>15270626784</t>
  </si>
  <si>
    <t>15270710133</t>
  </si>
  <si>
    <t>15270719679</t>
  </si>
  <si>
    <t>15270752765</t>
  </si>
  <si>
    <t>15270783284</t>
  </si>
  <si>
    <t>15270783428</t>
  </si>
  <si>
    <t>15270790020</t>
  </si>
  <si>
    <t>15270791986</t>
  </si>
  <si>
    <t>15270792025</t>
  </si>
  <si>
    <t>15270792026</t>
  </si>
  <si>
    <t>15270792232</t>
  </si>
  <si>
    <t>15270792927</t>
  </si>
  <si>
    <t>15270803578</t>
  </si>
  <si>
    <t>15270867466</t>
  </si>
  <si>
    <t>15270884970</t>
  </si>
  <si>
    <t>15270888966</t>
  </si>
  <si>
    <t>15270928460</t>
  </si>
  <si>
    <t>15270928531</t>
  </si>
  <si>
    <t>15270947824</t>
  </si>
  <si>
    <t>15270959041</t>
  </si>
  <si>
    <t>15270973499</t>
  </si>
  <si>
    <t>15270975222</t>
  </si>
  <si>
    <t>15270998242</t>
  </si>
  <si>
    <t>15271017044</t>
  </si>
  <si>
    <t>15271023989</t>
  </si>
  <si>
    <t>15271031927</t>
  </si>
  <si>
    <t>15271040912</t>
  </si>
  <si>
    <t>15271063293</t>
  </si>
  <si>
    <t>15271063358</t>
  </si>
  <si>
    <t>15271063418</t>
  </si>
  <si>
    <t>15271063549</t>
  </si>
  <si>
    <t>15271093960</t>
  </si>
  <si>
    <t>15271098446</t>
  </si>
  <si>
    <t>15271106369</t>
  </si>
  <si>
    <t>15271106370</t>
  </si>
  <si>
    <t>15271115491</t>
  </si>
  <si>
    <t>15271173691</t>
  </si>
  <si>
    <t>15271190840</t>
  </si>
  <si>
    <t>15271286791</t>
  </si>
  <si>
    <t>15271286808</t>
  </si>
  <si>
    <t>15271294136</t>
  </si>
  <si>
    <t>15271352004</t>
  </si>
  <si>
    <t>15271380024</t>
  </si>
  <si>
    <t>15271380025</t>
  </si>
  <si>
    <t>15271396048</t>
  </si>
  <si>
    <t>15271422719</t>
  </si>
  <si>
    <t>15271431782</t>
  </si>
  <si>
    <t>15271431783</t>
  </si>
  <si>
    <t>15271450454</t>
  </si>
  <si>
    <t>15271450455</t>
  </si>
  <si>
    <t>15271458025</t>
  </si>
  <si>
    <t>15271505174</t>
  </si>
  <si>
    <t>15271536952</t>
  </si>
  <si>
    <t>15271541979</t>
  </si>
  <si>
    <t>15271556524</t>
  </si>
  <si>
    <t>15271556531</t>
  </si>
  <si>
    <t>15271610071</t>
  </si>
  <si>
    <t>15271610512</t>
  </si>
  <si>
    <t>15271680639</t>
  </si>
  <si>
    <t>15271708833</t>
  </si>
  <si>
    <t>15271717228</t>
  </si>
  <si>
    <t>15271721023</t>
  </si>
  <si>
    <t>15271746954</t>
  </si>
  <si>
    <t>15271778035</t>
  </si>
  <si>
    <t>15271782536</t>
  </si>
  <si>
    <t>15271929415</t>
  </si>
  <si>
    <t>15271954205</t>
  </si>
  <si>
    <t>15271960601</t>
  </si>
  <si>
    <t>15271960672</t>
  </si>
  <si>
    <t>15271960683</t>
  </si>
  <si>
    <t>15272010489</t>
  </si>
  <si>
    <t>15272010490</t>
  </si>
  <si>
    <t>15272010491</t>
  </si>
  <si>
    <t>15272010526</t>
  </si>
  <si>
    <t>15272033555</t>
  </si>
  <si>
    <t>15272033556</t>
  </si>
  <si>
    <t>15272093058</t>
  </si>
  <si>
    <t>15272106665</t>
  </si>
  <si>
    <t>15272173330</t>
  </si>
  <si>
    <t>15272231843</t>
  </si>
  <si>
    <t>15272236800</t>
  </si>
  <si>
    <t>15272329833</t>
  </si>
  <si>
    <t>15272419054</t>
  </si>
  <si>
    <t>15272425277</t>
  </si>
  <si>
    <t>15272458831</t>
  </si>
  <si>
    <t>15272460528</t>
  </si>
  <si>
    <t>15272463274</t>
  </si>
  <si>
    <t>15272513636</t>
  </si>
  <si>
    <t>15272513659</t>
  </si>
  <si>
    <t>15272516094</t>
  </si>
  <si>
    <t>15272522169</t>
  </si>
  <si>
    <t>15272522415</t>
  </si>
  <si>
    <t>15272523166</t>
  </si>
  <si>
    <t>15272548251</t>
  </si>
  <si>
    <t>15272549946</t>
  </si>
  <si>
    <t>15272587037</t>
  </si>
  <si>
    <t>15272595222</t>
  </si>
  <si>
    <t>15272595226</t>
  </si>
  <si>
    <t>15272605566</t>
  </si>
  <si>
    <t>15272643813</t>
  </si>
  <si>
    <t>15272643853</t>
  </si>
  <si>
    <t>15272643861</t>
  </si>
  <si>
    <t>15272643879</t>
  </si>
  <si>
    <t>15272646265</t>
  </si>
  <si>
    <t>15272671163</t>
  </si>
  <si>
    <t>15272745037</t>
  </si>
  <si>
    <t>15272745235</t>
  </si>
  <si>
    <t>15272752755</t>
  </si>
  <si>
    <t>15272759614</t>
  </si>
  <si>
    <t>15272760613</t>
  </si>
  <si>
    <t>15272809106</t>
  </si>
  <si>
    <t>15272908310</t>
  </si>
  <si>
    <t>15272908311</t>
  </si>
  <si>
    <t>15273009916</t>
  </si>
  <si>
    <t>15273025340</t>
  </si>
  <si>
    <t>15273067301</t>
  </si>
  <si>
    <t>15273067314</t>
  </si>
  <si>
    <t>15273076580</t>
  </si>
  <si>
    <t>15273122921</t>
  </si>
  <si>
    <t>15273155555</t>
  </si>
  <si>
    <t>15273155568</t>
  </si>
  <si>
    <t>15273155569</t>
  </si>
  <si>
    <t>15273155571</t>
  </si>
  <si>
    <t>15273160716</t>
  </si>
  <si>
    <t>15273160717</t>
  </si>
  <si>
    <t>15273164094</t>
  </si>
  <si>
    <t>15273243707</t>
  </si>
  <si>
    <t>15273243774</t>
  </si>
  <si>
    <t>15273243839</t>
  </si>
  <si>
    <t>15273350956</t>
  </si>
  <si>
    <t>15273361628</t>
  </si>
  <si>
    <t>15273371961</t>
  </si>
  <si>
    <t>15273379316</t>
  </si>
  <si>
    <t>15273379317</t>
  </si>
  <si>
    <t>15273379318</t>
  </si>
  <si>
    <t>15273510536</t>
  </si>
  <si>
    <t>15273510545</t>
  </si>
  <si>
    <t>15273513435</t>
  </si>
  <si>
    <t>15273547503</t>
  </si>
  <si>
    <t>Booking.com Corporate</t>
  </si>
  <si>
    <t>15273566917</t>
  </si>
  <si>
    <t>15273567474</t>
  </si>
  <si>
    <t>15273573189</t>
  </si>
  <si>
    <t>15273573249</t>
  </si>
  <si>
    <t>15273573256</t>
  </si>
  <si>
    <t>15273584299</t>
  </si>
  <si>
    <t>15273584307</t>
  </si>
  <si>
    <t>15273659863</t>
  </si>
  <si>
    <t>15273667081</t>
  </si>
  <si>
    <t>15273688310</t>
  </si>
  <si>
    <t>15273722725</t>
  </si>
  <si>
    <t>15273722727</t>
  </si>
  <si>
    <t>15273728975</t>
  </si>
  <si>
    <t>15273799644</t>
  </si>
  <si>
    <t>15273799662</t>
  </si>
  <si>
    <t>15273799693</t>
  </si>
  <si>
    <t>15273802282</t>
  </si>
  <si>
    <t>15273804699</t>
  </si>
  <si>
    <t>15273806709</t>
  </si>
  <si>
    <t>15273806745</t>
  </si>
  <si>
    <t>15273807913</t>
  </si>
  <si>
    <t>15273815271</t>
  </si>
  <si>
    <t>15273867612</t>
  </si>
  <si>
    <t>15273873861</t>
  </si>
  <si>
    <t>15273896870</t>
  </si>
  <si>
    <t>15273896927</t>
  </si>
  <si>
    <t>15273954070</t>
  </si>
  <si>
    <t>15273975715</t>
  </si>
  <si>
    <t>15274028483</t>
  </si>
  <si>
    <t>15274028490</t>
  </si>
  <si>
    <t>15274042107</t>
  </si>
  <si>
    <t>15274043733</t>
  </si>
  <si>
    <t>15274043738</t>
  </si>
  <si>
    <t>15274152951</t>
  </si>
  <si>
    <t>15274225152</t>
  </si>
  <si>
    <t>15274291584</t>
  </si>
  <si>
    <t>15274319109</t>
  </si>
  <si>
    <t>15274351497</t>
  </si>
  <si>
    <t>15274351576</t>
  </si>
  <si>
    <t>15274489697</t>
  </si>
  <si>
    <t>15274501737</t>
  </si>
  <si>
    <t>15274551745</t>
  </si>
  <si>
    <t>15274647037</t>
  </si>
  <si>
    <t>15274652731</t>
  </si>
  <si>
    <t>15274652733</t>
  </si>
  <si>
    <t>15274704981</t>
  </si>
  <si>
    <t>15274709171</t>
  </si>
  <si>
    <t>15274720931</t>
  </si>
  <si>
    <t>15274774260</t>
  </si>
  <si>
    <t>15274794338</t>
  </si>
  <si>
    <t>15274815660</t>
  </si>
  <si>
    <t>15274854834</t>
  </si>
  <si>
    <t>15274872303</t>
  </si>
  <si>
    <t>15274915086</t>
  </si>
  <si>
    <t>15274915097</t>
  </si>
  <si>
    <t>15274915098</t>
  </si>
  <si>
    <t>15274915242</t>
  </si>
  <si>
    <t>15274949356</t>
  </si>
  <si>
    <t>15274949974</t>
  </si>
  <si>
    <t>15274975397</t>
  </si>
  <si>
    <t>15274978205</t>
  </si>
  <si>
    <t>15274978250</t>
  </si>
  <si>
    <t>15275036022</t>
  </si>
  <si>
    <t>15275119811</t>
  </si>
  <si>
    <t>15275119826</t>
  </si>
  <si>
    <t>15275331383</t>
  </si>
  <si>
    <t>15275371958</t>
  </si>
  <si>
    <t>15275392900</t>
  </si>
  <si>
    <t>15275406117</t>
  </si>
  <si>
    <t>15275434001</t>
  </si>
  <si>
    <t>15275460841</t>
  </si>
  <si>
    <t>15275461287</t>
  </si>
  <si>
    <t>15275489280</t>
  </si>
  <si>
    <t>15275541880</t>
  </si>
  <si>
    <t>15275545438</t>
  </si>
  <si>
    <t>15275722100</t>
  </si>
  <si>
    <t>15275733703</t>
  </si>
  <si>
    <t>15275740953</t>
  </si>
  <si>
    <t>15275740956</t>
  </si>
  <si>
    <t>15275755424</t>
  </si>
  <si>
    <t>15275757990</t>
  </si>
  <si>
    <t>15275788523</t>
  </si>
  <si>
    <t>15275793581</t>
  </si>
  <si>
    <t>15275793586</t>
  </si>
  <si>
    <t>15275814948</t>
  </si>
  <si>
    <t>15275818525</t>
  </si>
  <si>
    <t>15275824225</t>
  </si>
  <si>
    <t>15275872370</t>
  </si>
  <si>
    <t>15275955054</t>
  </si>
  <si>
    <t>15275955238</t>
  </si>
  <si>
    <t>15275955404</t>
  </si>
  <si>
    <t>15275955405</t>
  </si>
  <si>
    <t>15275962792</t>
  </si>
  <si>
    <t>15276001948</t>
  </si>
  <si>
    <t>15276009981</t>
  </si>
  <si>
    <t>15276049447</t>
  </si>
  <si>
    <t>15276057247</t>
  </si>
  <si>
    <t>15276071914</t>
  </si>
  <si>
    <t>15276081484</t>
  </si>
  <si>
    <t>15276081729</t>
  </si>
  <si>
    <t>15276081730</t>
  </si>
  <si>
    <t>15276083725</t>
  </si>
  <si>
    <t>15276111580</t>
  </si>
  <si>
    <t>15276118391</t>
  </si>
  <si>
    <t>15276147204</t>
  </si>
  <si>
    <t>15276147229</t>
  </si>
  <si>
    <t>15276182316</t>
  </si>
  <si>
    <t>15276191157</t>
  </si>
  <si>
    <t>15276191190</t>
  </si>
  <si>
    <t>15276196143</t>
  </si>
  <si>
    <t>15276196144</t>
  </si>
  <si>
    <t>15276196146</t>
  </si>
  <si>
    <t>15276242058</t>
  </si>
  <si>
    <t>15276280134</t>
  </si>
  <si>
    <t>15276309689</t>
  </si>
  <si>
    <t>15276310071</t>
  </si>
  <si>
    <t>15276310113</t>
  </si>
  <si>
    <t>15276337826</t>
  </si>
  <si>
    <t>15276340712</t>
  </si>
  <si>
    <t>15276385864</t>
  </si>
  <si>
    <t>15276397723</t>
  </si>
  <si>
    <t>15276408374</t>
  </si>
  <si>
    <t>15276474002</t>
  </si>
  <si>
    <t>15276474143</t>
  </si>
  <si>
    <t>15276491807</t>
  </si>
  <si>
    <t>15276491809</t>
  </si>
  <si>
    <t>15276491810</t>
  </si>
  <si>
    <t>15276498924</t>
  </si>
  <si>
    <t>15276532262</t>
  </si>
  <si>
    <t>15276532276</t>
  </si>
  <si>
    <t>15276533598</t>
  </si>
  <si>
    <t>15276533617</t>
  </si>
  <si>
    <t>15276533716</t>
  </si>
  <si>
    <t>15276542838</t>
  </si>
  <si>
    <t>15276547646</t>
  </si>
  <si>
    <t>15276571176</t>
  </si>
  <si>
    <t>15276571225</t>
  </si>
  <si>
    <t>15276598307</t>
  </si>
  <si>
    <t>15276634837</t>
  </si>
  <si>
    <t>15276637070</t>
  </si>
  <si>
    <t>15276637214</t>
  </si>
  <si>
    <t>15276646365</t>
  </si>
  <si>
    <t>15276647000</t>
  </si>
  <si>
    <t>15276697420</t>
  </si>
  <si>
    <t>15276748101</t>
  </si>
  <si>
    <t>15276771165</t>
  </si>
  <si>
    <t>15276789760</t>
  </si>
  <si>
    <t>15276789876</t>
  </si>
  <si>
    <t>15276804841</t>
  </si>
  <si>
    <t>15276834790</t>
  </si>
  <si>
    <t>15276847731</t>
  </si>
  <si>
    <t>15276856945</t>
  </si>
  <si>
    <t>15276858000</t>
  </si>
  <si>
    <t>15276919906</t>
  </si>
  <si>
    <t>15276920447</t>
  </si>
  <si>
    <t>15276974630</t>
  </si>
  <si>
    <t>15276985306</t>
  </si>
  <si>
    <t>15276992395</t>
  </si>
  <si>
    <t>15276992948</t>
  </si>
  <si>
    <t>15277000135</t>
  </si>
  <si>
    <t>15277106689</t>
  </si>
  <si>
    <t>15277157377</t>
  </si>
  <si>
    <t>15277213283</t>
  </si>
  <si>
    <t>15277213301</t>
  </si>
  <si>
    <t>15277267167</t>
  </si>
  <si>
    <t>15277267181</t>
  </si>
  <si>
    <t>15277267189</t>
  </si>
  <si>
    <t>15277268452</t>
  </si>
  <si>
    <t>15277276874</t>
  </si>
  <si>
    <t>15277285622</t>
  </si>
  <si>
    <t>15277286620</t>
  </si>
  <si>
    <t>15277297721</t>
  </si>
  <si>
    <t>15277297768</t>
  </si>
  <si>
    <t>15277320418</t>
  </si>
  <si>
    <t>15277333577</t>
  </si>
  <si>
    <t>15277339367</t>
  </si>
  <si>
    <t>15277350260</t>
  </si>
  <si>
    <t>15277355531</t>
  </si>
  <si>
    <t>15277383025</t>
  </si>
  <si>
    <t>15277402868</t>
  </si>
  <si>
    <t>15277403718</t>
  </si>
  <si>
    <t>15277408562</t>
  </si>
  <si>
    <t>15277409257</t>
  </si>
  <si>
    <t>15277409338</t>
  </si>
  <si>
    <t>15277418592</t>
  </si>
  <si>
    <t>15277424139</t>
  </si>
  <si>
    <t>15277463746</t>
  </si>
  <si>
    <t>15277501163</t>
  </si>
  <si>
    <t>15277501249</t>
  </si>
  <si>
    <t>15277534199</t>
  </si>
  <si>
    <t>15277580066</t>
  </si>
  <si>
    <t>15277580347</t>
  </si>
  <si>
    <t>15277580375</t>
  </si>
  <si>
    <t>15277581664</t>
  </si>
  <si>
    <t>15277588442</t>
  </si>
  <si>
    <t>15277634680</t>
  </si>
  <si>
    <t>15277655459</t>
  </si>
  <si>
    <t>15277710932</t>
  </si>
  <si>
    <t>15277722607</t>
  </si>
  <si>
    <t>15277722608</t>
  </si>
  <si>
    <t>15277722609</t>
  </si>
  <si>
    <t>15277722620</t>
  </si>
  <si>
    <t>15277722621</t>
  </si>
  <si>
    <t>15277779944</t>
  </si>
  <si>
    <t>15277786875</t>
  </si>
  <si>
    <t>15277787981</t>
  </si>
  <si>
    <t>15277791722</t>
  </si>
  <si>
    <t>15277794862</t>
  </si>
  <si>
    <t>15277794863</t>
  </si>
  <si>
    <t>15277842281</t>
  </si>
  <si>
    <t>15277847554</t>
  </si>
  <si>
    <t>15277852226</t>
  </si>
  <si>
    <t>15277891559</t>
  </si>
  <si>
    <t>15277945273</t>
  </si>
  <si>
    <t>15277949191</t>
  </si>
  <si>
    <t>15277953693</t>
  </si>
  <si>
    <t>15277953720</t>
  </si>
  <si>
    <t>15277962668</t>
  </si>
  <si>
    <t>15277963505</t>
  </si>
  <si>
    <t>15277967648</t>
  </si>
  <si>
    <t>15277970777</t>
  </si>
  <si>
    <t>15278012447</t>
  </si>
  <si>
    <t>15278043870</t>
  </si>
  <si>
    <t>15278062595</t>
  </si>
  <si>
    <t>15278062596</t>
  </si>
  <si>
    <t>15278062597</t>
  </si>
  <si>
    <t>15278075132</t>
  </si>
  <si>
    <t>15278077935</t>
  </si>
  <si>
    <t>15278079148</t>
  </si>
  <si>
    <t>15278100239</t>
  </si>
  <si>
    <t>15278140664</t>
  </si>
  <si>
    <t>15278143177</t>
  </si>
  <si>
    <t>15278154728</t>
  </si>
  <si>
    <t>15278161284</t>
  </si>
  <si>
    <t>15278161285</t>
  </si>
  <si>
    <t>15278162222</t>
  </si>
  <si>
    <t>15278193285</t>
  </si>
  <si>
    <t>15278194870</t>
  </si>
  <si>
    <t>15278194872</t>
  </si>
  <si>
    <t>15278210827</t>
  </si>
  <si>
    <t>15278217106</t>
  </si>
  <si>
    <t>15278231555</t>
  </si>
  <si>
    <t>15278232835</t>
  </si>
  <si>
    <t>15278241709</t>
  </si>
  <si>
    <t>15278255783</t>
  </si>
  <si>
    <t>15278269735</t>
  </si>
  <si>
    <t>15278271775</t>
  </si>
  <si>
    <t>15278273778</t>
  </si>
  <si>
    <t>15278277545</t>
  </si>
  <si>
    <t>15278277590</t>
  </si>
  <si>
    <t>15278277826</t>
  </si>
  <si>
    <t>15278294447</t>
  </si>
  <si>
    <t>15278294690</t>
  </si>
  <si>
    <t>15278295767</t>
  </si>
  <si>
    <t>15278298198</t>
  </si>
  <si>
    <t>15278299099</t>
  </si>
  <si>
    <t>15278302836</t>
  </si>
  <si>
    <t>15278339692</t>
  </si>
  <si>
    <t>15278345980</t>
  </si>
  <si>
    <t>15278349035</t>
  </si>
  <si>
    <t>15278349166</t>
  </si>
  <si>
    <t>15278349186</t>
  </si>
  <si>
    <t>15278353041</t>
  </si>
  <si>
    <t>15278376024</t>
  </si>
  <si>
    <t>15278377641</t>
  </si>
  <si>
    <t>15278385489</t>
  </si>
  <si>
    <t>15278386207</t>
  </si>
  <si>
    <t>15278391981</t>
  </si>
  <si>
    <t>15278393795</t>
  </si>
  <si>
    <t>15278396192</t>
  </si>
  <si>
    <t>15278396203</t>
  </si>
  <si>
    <t>15278404966</t>
  </si>
  <si>
    <t>15278410183</t>
  </si>
  <si>
    <t>15278410184</t>
  </si>
  <si>
    <t>15278413242</t>
  </si>
  <si>
    <t>15278420157</t>
  </si>
  <si>
    <t>15278433071</t>
  </si>
  <si>
    <t>15278433964</t>
  </si>
  <si>
    <t>15278443227</t>
  </si>
  <si>
    <t>15278446691</t>
  </si>
  <si>
    <t>15278450646</t>
  </si>
  <si>
    <t>15278457282</t>
  </si>
  <si>
    <t>15278462216</t>
  </si>
  <si>
    <t>15278473552</t>
  </si>
  <si>
    <t>15278473604</t>
  </si>
  <si>
    <t>15278480322</t>
  </si>
  <si>
    <t>15278480354</t>
  </si>
  <si>
    <t>15278480428</t>
  </si>
  <si>
    <t>15278491360</t>
  </si>
  <si>
    <t>15278518194</t>
  </si>
  <si>
    <t>15278518479</t>
  </si>
  <si>
    <t>15278524425</t>
  </si>
  <si>
    <t>15278584060</t>
  </si>
  <si>
    <t>15278635674</t>
  </si>
  <si>
    <t>15278640217</t>
  </si>
  <si>
    <t>15278640263</t>
  </si>
  <si>
    <t>15278647987</t>
  </si>
  <si>
    <t>15278654598</t>
  </si>
  <si>
    <t>15278702021</t>
  </si>
  <si>
    <t>15278702104</t>
  </si>
  <si>
    <t>15278709900</t>
  </si>
  <si>
    <t>15278713736</t>
  </si>
  <si>
    <t>15278807340</t>
  </si>
  <si>
    <t>15278810571</t>
  </si>
  <si>
    <t>15278810850</t>
  </si>
  <si>
    <t>15278810854</t>
  </si>
  <si>
    <t>15278821678</t>
  </si>
  <si>
    <t>15278827214</t>
  </si>
  <si>
    <t>15278865582</t>
  </si>
  <si>
    <t>15278956494</t>
  </si>
  <si>
    <t>15278967170</t>
  </si>
  <si>
    <t>15278967454</t>
  </si>
  <si>
    <t>15279002822</t>
  </si>
  <si>
    <t>15279003114</t>
  </si>
  <si>
    <t>15279011662</t>
  </si>
  <si>
    <t>15279016994</t>
  </si>
  <si>
    <t>15279056431</t>
  </si>
  <si>
    <t>15279062508</t>
  </si>
  <si>
    <t>15279064304</t>
  </si>
  <si>
    <t>15279082414</t>
  </si>
  <si>
    <t>15279101144</t>
  </si>
  <si>
    <t>15279183393</t>
  </si>
  <si>
    <t>15279188669</t>
  </si>
  <si>
    <t>15279250400</t>
  </si>
  <si>
    <t>15279286108</t>
  </si>
  <si>
    <t>15279313150</t>
  </si>
  <si>
    <t>15279313152</t>
  </si>
  <si>
    <t>15279313198</t>
  </si>
  <si>
    <t>15279313493</t>
  </si>
  <si>
    <t>15279356904</t>
  </si>
  <si>
    <t>15279371777</t>
  </si>
  <si>
    <t>15279377773</t>
  </si>
  <si>
    <t>15279377997</t>
  </si>
  <si>
    <t>15279412323</t>
  </si>
  <si>
    <t>15279540143</t>
  </si>
  <si>
    <t>15279540340</t>
  </si>
  <si>
    <t>15279587250</t>
  </si>
  <si>
    <t>15279591506</t>
  </si>
  <si>
    <t>15279606743</t>
  </si>
  <si>
    <t>15279636954</t>
  </si>
  <si>
    <t>15279640312</t>
  </si>
  <si>
    <t>15279640405</t>
  </si>
  <si>
    <t>15279640408</t>
  </si>
  <si>
    <t>15279644603</t>
  </si>
  <si>
    <t>15279644604</t>
  </si>
  <si>
    <t>15279646390</t>
  </si>
  <si>
    <t>15279647823</t>
  </si>
  <si>
    <t>15279647844</t>
  </si>
  <si>
    <t>15279647853</t>
  </si>
  <si>
    <t>15279658073</t>
  </si>
  <si>
    <t>15279667620</t>
  </si>
  <si>
    <t>15279667621</t>
  </si>
  <si>
    <t>15279691667</t>
  </si>
  <si>
    <t>15279700748</t>
  </si>
  <si>
    <t>15279704009</t>
  </si>
  <si>
    <t>15279704835</t>
  </si>
  <si>
    <t>15279705473</t>
  </si>
  <si>
    <t>15279713001</t>
  </si>
  <si>
    <t>15279713015</t>
  </si>
  <si>
    <t>15279713039</t>
  </si>
  <si>
    <t>15279745797</t>
  </si>
  <si>
    <t>15279751176</t>
  </si>
  <si>
    <t>15279755298</t>
  </si>
  <si>
    <t>15279774035</t>
  </si>
  <si>
    <t>15279806100</t>
  </si>
  <si>
    <t>15279809413</t>
  </si>
  <si>
    <t>15279812550</t>
  </si>
  <si>
    <t>15279812558</t>
  </si>
  <si>
    <t>15279812560</t>
  </si>
  <si>
    <t>15279812567</t>
  </si>
  <si>
    <t>15279812585</t>
  </si>
  <si>
    <t>15279812588</t>
  </si>
  <si>
    <t>15279812589</t>
  </si>
  <si>
    <t>15279838615</t>
  </si>
  <si>
    <t>15279866551</t>
  </si>
  <si>
    <t>15279866553</t>
  </si>
  <si>
    <t>15279866837</t>
  </si>
  <si>
    <t>15279872699</t>
  </si>
  <si>
    <t>15279874141</t>
  </si>
  <si>
    <t>15279876850</t>
  </si>
  <si>
    <t>15279877095</t>
  </si>
  <si>
    <t>15279892922</t>
  </si>
  <si>
    <t>15279896474</t>
  </si>
  <si>
    <t>15279898386</t>
  </si>
  <si>
    <t>15279949562</t>
  </si>
  <si>
    <t>15279952925</t>
  </si>
  <si>
    <t>15280020863</t>
  </si>
  <si>
    <t>15280037373</t>
  </si>
  <si>
    <t>15280041623</t>
  </si>
  <si>
    <t>15280048594</t>
  </si>
  <si>
    <t>15280105719</t>
  </si>
  <si>
    <t>15280116679</t>
  </si>
  <si>
    <t>15280132679</t>
  </si>
  <si>
    <t>15280164760</t>
  </si>
  <si>
    <t>15280185629</t>
  </si>
  <si>
    <t>15280185668</t>
  </si>
  <si>
    <t>15280188853</t>
  </si>
  <si>
    <t>15280188855</t>
  </si>
  <si>
    <t>15280193603</t>
  </si>
  <si>
    <t>15280200811</t>
  </si>
  <si>
    <t>15280222833</t>
  </si>
  <si>
    <t>15280223005</t>
  </si>
  <si>
    <t>15280223006</t>
  </si>
  <si>
    <t>15280223007</t>
  </si>
  <si>
    <t>15280227508</t>
  </si>
  <si>
    <t>15280267768</t>
  </si>
  <si>
    <t>15280296281</t>
  </si>
  <si>
    <t>15280310023</t>
  </si>
  <si>
    <t>15280312876</t>
  </si>
  <si>
    <t>15280313673</t>
  </si>
  <si>
    <t>15280348480</t>
  </si>
  <si>
    <t>15280350378</t>
  </si>
  <si>
    <t>15280351800</t>
  </si>
  <si>
    <t>15280353693</t>
  </si>
  <si>
    <t>15280357889</t>
  </si>
  <si>
    <t>15280360921</t>
  </si>
  <si>
    <t>15280365257</t>
  </si>
  <si>
    <t>15280365482</t>
  </si>
  <si>
    <t>15280367411</t>
  </si>
  <si>
    <t>15280367428</t>
  </si>
  <si>
    <t>15280398328</t>
  </si>
  <si>
    <t>15280398751</t>
  </si>
  <si>
    <t>15280401246</t>
  </si>
  <si>
    <t>15280417386</t>
  </si>
  <si>
    <t>15280421209</t>
  </si>
  <si>
    <t>15280442437</t>
  </si>
  <si>
    <t>15280470308</t>
  </si>
  <si>
    <t>15280489983</t>
  </si>
  <si>
    <t>15280563460</t>
  </si>
  <si>
    <t>15280601149</t>
  </si>
  <si>
    <t>15280601150</t>
  </si>
  <si>
    <t>15280606582</t>
  </si>
  <si>
    <t>15280612784</t>
  </si>
  <si>
    <t>15280612875</t>
  </si>
  <si>
    <t>15280648236</t>
  </si>
  <si>
    <t>15280653286</t>
  </si>
  <si>
    <t>15280653287</t>
  </si>
  <si>
    <t>15280680138</t>
  </si>
  <si>
    <t>15280680402</t>
  </si>
  <si>
    <t>15280680428</t>
  </si>
  <si>
    <t>15280681595</t>
  </si>
  <si>
    <t>15280681628</t>
  </si>
  <si>
    <t>15280691544</t>
  </si>
  <si>
    <t>15280719731</t>
  </si>
  <si>
    <t>15280728450</t>
  </si>
  <si>
    <t>15280755092</t>
  </si>
  <si>
    <t>15280761119</t>
  </si>
  <si>
    <t>15280781765</t>
  </si>
  <si>
    <t>15280781779</t>
  </si>
  <si>
    <t>15280782986</t>
  </si>
  <si>
    <t>15280783192</t>
  </si>
  <si>
    <t>15280807271</t>
  </si>
  <si>
    <t>15280823504</t>
  </si>
  <si>
    <t>15280865265</t>
  </si>
  <si>
    <t>15280868978</t>
  </si>
  <si>
    <t>15280884509</t>
  </si>
  <si>
    <t>15280884522</t>
  </si>
  <si>
    <t>15280901909</t>
  </si>
  <si>
    <t>15280927188</t>
  </si>
  <si>
    <t>15280957327</t>
  </si>
  <si>
    <t>15280964175</t>
  </si>
  <si>
    <t>15280964213</t>
  </si>
  <si>
    <t>15280968094</t>
  </si>
  <si>
    <t>15280969509</t>
  </si>
  <si>
    <t>15280972990</t>
  </si>
  <si>
    <t>15280974073</t>
  </si>
  <si>
    <t>15280974983</t>
  </si>
  <si>
    <t>15281000699</t>
  </si>
  <si>
    <t>15281002865</t>
  </si>
  <si>
    <t>15281002866</t>
  </si>
  <si>
    <t>15281020480</t>
  </si>
  <si>
    <t>15281054577</t>
  </si>
  <si>
    <t>15281056274</t>
  </si>
  <si>
    <t>15281060394</t>
  </si>
  <si>
    <t>15281077478</t>
  </si>
  <si>
    <t>15281187555</t>
  </si>
  <si>
    <t>15281217458</t>
  </si>
  <si>
    <t>15281235504</t>
  </si>
  <si>
    <t>15281243864</t>
  </si>
  <si>
    <t>15281277591</t>
  </si>
  <si>
    <t>15281318127</t>
  </si>
  <si>
    <t>15281336068</t>
  </si>
  <si>
    <t>15281352694</t>
  </si>
  <si>
    <t>15281373183</t>
  </si>
  <si>
    <t>15281456638</t>
  </si>
  <si>
    <t>15281456685</t>
  </si>
  <si>
    <t>15281466624</t>
  </si>
  <si>
    <t>15281515457</t>
  </si>
  <si>
    <t>15281575018</t>
  </si>
  <si>
    <t>15281576433</t>
  </si>
  <si>
    <t>15281585080</t>
  </si>
  <si>
    <t>15281585087</t>
  </si>
  <si>
    <t>15281586922</t>
  </si>
  <si>
    <t>15281611133</t>
  </si>
  <si>
    <t>15281638202</t>
  </si>
  <si>
    <t>15281639765</t>
  </si>
  <si>
    <t>15281678060</t>
  </si>
  <si>
    <t>15281678061</t>
  </si>
  <si>
    <t>15281684773</t>
  </si>
  <si>
    <t>15281708443</t>
  </si>
  <si>
    <t>15281708456</t>
  </si>
  <si>
    <t>15281708550</t>
  </si>
  <si>
    <t>15281708593</t>
  </si>
  <si>
    <t>15281712631</t>
  </si>
  <si>
    <t>15281719340</t>
  </si>
  <si>
    <t>15281725832</t>
  </si>
  <si>
    <t>15281818581</t>
  </si>
  <si>
    <t>15281831611</t>
  </si>
  <si>
    <t>15281831613</t>
  </si>
  <si>
    <t>15281831616</t>
  </si>
  <si>
    <t>15281862473</t>
  </si>
  <si>
    <t>15281862481</t>
  </si>
  <si>
    <t>15281876328</t>
  </si>
  <si>
    <t>15281879623</t>
  </si>
  <si>
    <t>15281918076</t>
  </si>
  <si>
    <t>15281924845</t>
  </si>
  <si>
    <t>15281927075</t>
  </si>
  <si>
    <t>15281961606</t>
  </si>
  <si>
    <t>15281978042</t>
  </si>
  <si>
    <t>15281992306</t>
  </si>
  <si>
    <t>15281992307</t>
  </si>
  <si>
    <t>15282020598</t>
  </si>
  <si>
    <t>15282048502</t>
  </si>
  <si>
    <t>15282050242</t>
  </si>
  <si>
    <t>15282051213</t>
  </si>
  <si>
    <t>15282051670</t>
  </si>
  <si>
    <t>15282090262</t>
  </si>
  <si>
    <t>15282093508</t>
  </si>
  <si>
    <t>15282095910</t>
  </si>
  <si>
    <t>15282098465</t>
  </si>
  <si>
    <t>15282112317</t>
  </si>
  <si>
    <t>15282112319</t>
  </si>
  <si>
    <t>15282202049</t>
  </si>
  <si>
    <t>15282213611</t>
  </si>
  <si>
    <t>15282234446</t>
  </si>
  <si>
    <t>15282243372</t>
  </si>
  <si>
    <t>15282243892</t>
  </si>
  <si>
    <t>15282244297</t>
  </si>
  <si>
    <t>15282247750</t>
  </si>
  <si>
    <t>15282255002</t>
  </si>
  <si>
    <t>15282255162</t>
  </si>
  <si>
    <t>15282257500</t>
  </si>
  <si>
    <t>15282323933</t>
  </si>
  <si>
    <t>15282420203</t>
  </si>
  <si>
    <t>15282453804</t>
  </si>
  <si>
    <t>15282479769</t>
  </si>
  <si>
    <t>15282485953</t>
  </si>
  <si>
    <t>15282493825</t>
  </si>
  <si>
    <t>15282537297</t>
  </si>
  <si>
    <t>15282661447</t>
  </si>
  <si>
    <t>15282687256</t>
  </si>
  <si>
    <t>15282725493</t>
  </si>
  <si>
    <t>15282769392</t>
  </si>
  <si>
    <t>15282783336</t>
  </si>
  <si>
    <t>15282783354</t>
  </si>
  <si>
    <t>15282872011</t>
  </si>
  <si>
    <t>15282942048</t>
  </si>
  <si>
    <t>15282960115</t>
  </si>
  <si>
    <t>15283088492</t>
  </si>
  <si>
    <t>15283158646</t>
  </si>
  <si>
    <t>15283276982</t>
  </si>
  <si>
    <t>15283297138</t>
  </si>
  <si>
    <t>15283311806</t>
  </si>
  <si>
    <t>15283313248</t>
  </si>
  <si>
    <t>15283333249</t>
  </si>
  <si>
    <t>15283334286</t>
  </si>
  <si>
    <t>15283355852</t>
  </si>
  <si>
    <t>15283382896</t>
  </si>
  <si>
    <t>15283387323</t>
  </si>
  <si>
    <t>15283387590</t>
  </si>
  <si>
    <t>15283387992</t>
  </si>
  <si>
    <t>15283394038</t>
  </si>
  <si>
    <t>15283394039</t>
  </si>
  <si>
    <t>15283394040</t>
  </si>
  <si>
    <t>15283394041</t>
  </si>
  <si>
    <t>15283402117</t>
  </si>
  <si>
    <t>15283406103</t>
  </si>
  <si>
    <t>15283417523</t>
  </si>
  <si>
    <t>15283433644</t>
  </si>
  <si>
    <t>15283445504</t>
  </si>
  <si>
    <t>15283463843</t>
  </si>
  <si>
    <t>15283476751</t>
  </si>
  <si>
    <t>15283497883</t>
  </si>
  <si>
    <t>15283504568</t>
  </si>
  <si>
    <t>15283528571</t>
  </si>
  <si>
    <t>15283552173</t>
  </si>
  <si>
    <t>15283566734</t>
  </si>
  <si>
    <t>15283575104</t>
  </si>
  <si>
    <t>15283576370</t>
  </si>
  <si>
    <t>15283577000</t>
  </si>
  <si>
    <t>15283581450</t>
  </si>
  <si>
    <t>15283598777</t>
  </si>
  <si>
    <t>15283608402</t>
  </si>
  <si>
    <t>15283613891</t>
  </si>
  <si>
    <t>15283620341</t>
  </si>
  <si>
    <t>15283650386</t>
  </si>
  <si>
    <t>15283654931</t>
  </si>
  <si>
    <t>15283667378</t>
  </si>
  <si>
    <t>15283692954</t>
  </si>
  <si>
    <t>15283709156</t>
  </si>
  <si>
    <t>15283715456</t>
  </si>
  <si>
    <t>15283715530</t>
  </si>
  <si>
    <t>15283718696</t>
  </si>
  <si>
    <t>15283718716</t>
  </si>
  <si>
    <t>15283718717</t>
  </si>
  <si>
    <t>15283719290</t>
  </si>
  <si>
    <t>15283720056</t>
  </si>
  <si>
    <t>15283729830</t>
  </si>
  <si>
    <t>15283736873</t>
  </si>
  <si>
    <t>15283737611</t>
  </si>
  <si>
    <t>15283764510</t>
  </si>
  <si>
    <t>15283764771</t>
  </si>
  <si>
    <t>15283775465</t>
  </si>
  <si>
    <t>15283787315</t>
  </si>
  <si>
    <t>15283787504</t>
  </si>
  <si>
    <t>15283789726</t>
  </si>
  <si>
    <t>15283806930</t>
  </si>
  <si>
    <t>15283818524</t>
  </si>
  <si>
    <t>15283882509</t>
  </si>
  <si>
    <t>15283897632</t>
  </si>
  <si>
    <t>15283904373</t>
  </si>
  <si>
    <t>15283904374</t>
  </si>
  <si>
    <t>15283940240</t>
  </si>
  <si>
    <t>15283967026</t>
  </si>
  <si>
    <t>15284020416</t>
  </si>
  <si>
    <t>15284042170</t>
  </si>
  <si>
    <t>15284048664</t>
  </si>
  <si>
    <t>15284055390</t>
  </si>
  <si>
    <t>15284055391</t>
  </si>
  <si>
    <t>15284057611</t>
  </si>
  <si>
    <t>15284057612</t>
  </si>
  <si>
    <t>15284057614</t>
  </si>
  <si>
    <t>15284057618</t>
  </si>
  <si>
    <t>15284058046</t>
  </si>
  <si>
    <t>15284081450</t>
  </si>
  <si>
    <t>15284104555</t>
  </si>
  <si>
    <t>15284104556</t>
  </si>
  <si>
    <t>15284104601</t>
  </si>
  <si>
    <t>15284105874</t>
  </si>
  <si>
    <t>15284105875</t>
  </si>
  <si>
    <t>15284105876</t>
  </si>
  <si>
    <t>15284105912</t>
  </si>
  <si>
    <t>15284113846</t>
  </si>
  <si>
    <t>15284116276</t>
  </si>
  <si>
    <t>15284116277</t>
  </si>
  <si>
    <t>15284116627</t>
  </si>
  <si>
    <t>15284116952</t>
  </si>
  <si>
    <t>15284118740</t>
  </si>
  <si>
    <t>15284120045</t>
  </si>
  <si>
    <t>15284121125</t>
  </si>
  <si>
    <t>15284155376</t>
  </si>
  <si>
    <t>15284173708</t>
  </si>
  <si>
    <t>15284217495</t>
  </si>
  <si>
    <t>15284234076</t>
  </si>
  <si>
    <t>15284239741</t>
  </si>
  <si>
    <t>15284240051</t>
  </si>
  <si>
    <t>15284250805</t>
  </si>
  <si>
    <t>15284275696</t>
  </si>
  <si>
    <t>15284325378</t>
  </si>
  <si>
    <t>58363407</t>
  </si>
  <si>
    <t>15284357976</t>
  </si>
  <si>
    <t>58372230</t>
  </si>
  <si>
    <t>15284362002</t>
  </si>
  <si>
    <t>58373266</t>
  </si>
  <si>
    <t>15284363195</t>
  </si>
  <si>
    <t>58373689</t>
  </si>
  <si>
    <t>15284364814</t>
  </si>
  <si>
    <t>58374416</t>
  </si>
  <si>
    <t>15284376399</t>
  </si>
  <si>
    <t>58378448</t>
  </si>
  <si>
    <t>15284377386</t>
  </si>
  <si>
    <t>58378256</t>
  </si>
  <si>
    <t>15284406527</t>
  </si>
  <si>
    <t>58385310</t>
  </si>
  <si>
    <t>15284409213</t>
  </si>
  <si>
    <t>58387523</t>
  </si>
  <si>
    <t>15284425398</t>
  </si>
  <si>
    <t>58392236</t>
  </si>
  <si>
    <t>15284459869</t>
  </si>
  <si>
    <t>58400265</t>
  </si>
  <si>
    <t>15284471808</t>
  </si>
  <si>
    <t>58406748</t>
  </si>
  <si>
    <t>15284473510</t>
  </si>
  <si>
    <t>58406644</t>
  </si>
  <si>
    <t>15284473974</t>
  </si>
  <si>
    <t>58406334</t>
  </si>
  <si>
    <t>15284474978</t>
  </si>
  <si>
    <t>58407491</t>
  </si>
  <si>
    <t>15284553450</t>
  </si>
  <si>
    <t>58429211</t>
  </si>
  <si>
    <t>15284614899</t>
  </si>
  <si>
    <t>58447317</t>
  </si>
  <si>
    <t>15284614917</t>
  </si>
  <si>
    <t>58526221</t>
  </si>
  <si>
    <t>15284614918</t>
  </si>
  <si>
    <t>58447798</t>
  </si>
  <si>
    <t>15284670222</t>
  </si>
  <si>
    <t>58460970</t>
  </si>
  <si>
    <t>15284673665</t>
  </si>
  <si>
    <t>58462390</t>
  </si>
  <si>
    <t>15284711992</t>
  </si>
  <si>
    <t>58474161</t>
  </si>
  <si>
    <t>15284712055</t>
  </si>
  <si>
    <t>58474157</t>
  </si>
  <si>
    <t>15284725864</t>
  </si>
  <si>
    <t>58478219</t>
  </si>
  <si>
    <t>15284764822</t>
  </si>
  <si>
    <t>58491739</t>
  </si>
  <si>
    <t>15284764823</t>
  </si>
  <si>
    <t>58507270</t>
  </si>
  <si>
    <t>15284766362</t>
  </si>
  <si>
    <t>58492602</t>
  </si>
  <si>
    <t>15284766363</t>
  </si>
  <si>
    <t>58492422</t>
  </si>
  <si>
    <t>15284766823</t>
  </si>
  <si>
    <t>58491708</t>
  </si>
  <si>
    <t>15284766853</t>
  </si>
  <si>
    <t>58492132</t>
  </si>
  <si>
    <t>15284766854</t>
  </si>
  <si>
    <t>58492145</t>
  </si>
  <si>
    <t>15284766873</t>
  </si>
  <si>
    <t>58492389</t>
  </si>
  <si>
    <t>15284768454</t>
  </si>
  <si>
    <t>58493670</t>
  </si>
  <si>
    <t>15284768492</t>
  </si>
  <si>
    <t>58493383</t>
  </si>
  <si>
    <t>15284787679</t>
  </si>
  <si>
    <t>58502115</t>
  </si>
  <si>
    <t>15284798584</t>
  </si>
  <si>
    <t>58504039</t>
  </si>
  <si>
    <t>15284798914</t>
  </si>
  <si>
    <t>58503567</t>
  </si>
  <si>
    <t>15284837910</t>
  </si>
  <si>
    <t>58508320</t>
  </si>
  <si>
    <t>15284843453</t>
  </si>
  <si>
    <t>58511326</t>
  </si>
  <si>
    <t>15284874446</t>
  </si>
  <si>
    <t>58518981</t>
  </si>
  <si>
    <t>15284883877</t>
  </si>
  <si>
    <t>58520182</t>
  </si>
  <si>
    <t>15284892950</t>
  </si>
  <si>
    <t>58523389</t>
  </si>
  <si>
    <t>15284892977</t>
  </si>
  <si>
    <t>58523647</t>
  </si>
  <si>
    <t>15284893030</t>
  </si>
  <si>
    <t>58522874</t>
  </si>
  <si>
    <t>15284893104</t>
  </si>
  <si>
    <t>58523264</t>
  </si>
  <si>
    <t>15284901414</t>
  </si>
  <si>
    <t>58528435</t>
  </si>
  <si>
    <t>15284940524</t>
  </si>
  <si>
    <t>58538740</t>
  </si>
  <si>
    <t>15284972784</t>
  </si>
  <si>
    <t>58550202</t>
  </si>
  <si>
    <t>15284986180</t>
  </si>
  <si>
    <t>58552154</t>
  </si>
  <si>
    <t>15284995305</t>
  </si>
  <si>
    <t>58553936</t>
  </si>
  <si>
    <t>15284998175</t>
  </si>
  <si>
    <t>58553645</t>
  </si>
  <si>
    <t>15284998176</t>
  </si>
  <si>
    <t>58553435</t>
  </si>
  <si>
    <t>15285004390</t>
  </si>
  <si>
    <t>58566259</t>
  </si>
  <si>
    <t>15285004391</t>
  </si>
  <si>
    <t>58566131</t>
  </si>
  <si>
    <t>15285004392</t>
  </si>
  <si>
    <t>58566018</t>
  </si>
  <si>
    <t>15285004406</t>
  </si>
  <si>
    <t>58566436</t>
  </si>
  <si>
    <t>15285004408</t>
  </si>
  <si>
    <t>58566140</t>
  </si>
  <si>
    <t>15285004420</t>
  </si>
  <si>
    <t>58566253</t>
  </si>
  <si>
    <t>15285004422</t>
  </si>
  <si>
    <t>58566159</t>
  </si>
  <si>
    <t>15285004601</t>
  </si>
  <si>
    <t>58566151</t>
  </si>
  <si>
    <t>15285005584</t>
  </si>
  <si>
    <t>58566033</t>
  </si>
  <si>
    <t>15285005585</t>
  </si>
  <si>
    <t>58566304</t>
  </si>
  <si>
    <t>15285011234</t>
  </si>
  <si>
    <t>58568611</t>
  </si>
  <si>
    <t>15285011778</t>
  </si>
  <si>
    <t>58568814</t>
  </si>
  <si>
    <t>15285011788</t>
  </si>
  <si>
    <t>58569130</t>
  </si>
  <si>
    <t>15285057323</t>
  </si>
  <si>
    <t>58582245</t>
  </si>
  <si>
    <t>15285082653</t>
  </si>
  <si>
    <t>58589083</t>
  </si>
  <si>
    <t>15285095193</t>
  </si>
  <si>
    <t>58591738</t>
  </si>
  <si>
    <t>15285097663</t>
  </si>
  <si>
    <t>58595642</t>
  </si>
  <si>
    <t>15285122020</t>
  </si>
  <si>
    <t>58603132</t>
  </si>
  <si>
    <t>15285133653</t>
  </si>
  <si>
    <t>58606001</t>
  </si>
  <si>
    <t>15285134174</t>
  </si>
  <si>
    <t>58605795</t>
  </si>
  <si>
    <t>15285193320</t>
  </si>
  <si>
    <t>58621745</t>
  </si>
  <si>
    <t>15285194034</t>
  </si>
  <si>
    <t>58621653</t>
  </si>
  <si>
    <t>15285197840</t>
  </si>
  <si>
    <t>58625817</t>
  </si>
  <si>
    <t>15285197841</t>
  </si>
  <si>
    <t>58626024</t>
  </si>
  <si>
    <t>15285197842</t>
  </si>
  <si>
    <t>58626297</t>
  </si>
  <si>
    <t>15285197851</t>
  </si>
  <si>
    <t>58626321</t>
  </si>
  <si>
    <t>15285197883</t>
  </si>
  <si>
    <t>58626623</t>
  </si>
  <si>
    <t>15285197884</t>
  </si>
  <si>
    <t>58625780</t>
  </si>
  <si>
    <t>15285202578</t>
  </si>
  <si>
    <t>58628789</t>
  </si>
  <si>
    <t>15285234715</t>
  </si>
  <si>
    <t>58657004</t>
  </si>
  <si>
    <t>15285248710</t>
  </si>
  <si>
    <t>58663306</t>
  </si>
  <si>
    <t>15285296961</t>
  </si>
  <si>
    <t>58682913</t>
  </si>
  <si>
    <t>15285297167</t>
  </si>
  <si>
    <t>58682598</t>
  </si>
  <si>
    <t>15285334566</t>
  </si>
  <si>
    <t>58694395</t>
  </si>
  <si>
    <t>15285371452</t>
  </si>
  <si>
    <t>58707325</t>
  </si>
  <si>
    <t>15285431518</t>
  </si>
  <si>
    <t>58723296</t>
  </si>
  <si>
    <t>15285434454</t>
  </si>
  <si>
    <t>58724439</t>
  </si>
  <si>
    <t>15285434589</t>
  </si>
  <si>
    <t>58724203</t>
  </si>
  <si>
    <t>15285454550</t>
  </si>
  <si>
    <t>58730769</t>
  </si>
  <si>
    <t>15285460457</t>
  </si>
  <si>
    <t>58732068</t>
  </si>
  <si>
    <t>15285474657</t>
  </si>
  <si>
    <t>58737607</t>
  </si>
  <si>
    <t>15285475294</t>
  </si>
  <si>
    <t>58737457</t>
  </si>
  <si>
    <t>15285506954</t>
  </si>
  <si>
    <t>58746497</t>
  </si>
  <si>
    <t>15285516462</t>
  </si>
  <si>
    <t>58748624</t>
  </si>
  <si>
    <t>15285574242</t>
  </si>
  <si>
    <t>58771722</t>
  </si>
  <si>
    <t>15285574243</t>
  </si>
  <si>
    <t>58772200</t>
  </si>
  <si>
    <t>15285577463</t>
  </si>
  <si>
    <t>58773650</t>
  </si>
  <si>
    <t>15285609817</t>
  </si>
  <si>
    <t>58782570</t>
  </si>
  <si>
    <t>15285615181</t>
  </si>
  <si>
    <t>58784884</t>
  </si>
  <si>
    <t>15285647546</t>
  </si>
  <si>
    <t>58818366</t>
  </si>
  <si>
    <t>15285647547</t>
  </si>
  <si>
    <t>58818277</t>
  </si>
  <si>
    <t>15285673377</t>
  </si>
  <si>
    <t>58829842</t>
  </si>
  <si>
    <t>15285674981</t>
  </si>
  <si>
    <t>58829596</t>
  </si>
  <si>
    <t>15285689997</t>
  </si>
  <si>
    <t>58834881</t>
  </si>
  <si>
    <t>15285689998</t>
  </si>
  <si>
    <t>58834914</t>
  </si>
  <si>
    <t>15285689999</t>
  </si>
  <si>
    <t>58834243</t>
  </si>
  <si>
    <t>15285727425</t>
  </si>
  <si>
    <t>58847699</t>
  </si>
  <si>
    <t>15285764055</t>
  </si>
  <si>
    <t>58860320</t>
  </si>
  <si>
    <t>15285771626</t>
  </si>
  <si>
    <t>58863001</t>
  </si>
  <si>
    <t>15285787044</t>
  </si>
  <si>
    <t>58873174</t>
  </si>
  <si>
    <t>15285787045</t>
  </si>
  <si>
    <t>58873178</t>
  </si>
  <si>
    <t>15285832207</t>
  </si>
  <si>
    <t>58887225</t>
  </si>
  <si>
    <t>15285846658</t>
  </si>
  <si>
    <t>58895751</t>
  </si>
  <si>
    <t>15285848623</t>
  </si>
  <si>
    <t>58896898</t>
  </si>
  <si>
    <t>15285863208</t>
  </si>
  <si>
    <t>58899846</t>
  </si>
  <si>
    <t>15285871284</t>
  </si>
  <si>
    <t>58902730</t>
  </si>
  <si>
    <t>15285902269</t>
  </si>
  <si>
    <t>58917168</t>
  </si>
  <si>
    <t>15285961313</t>
  </si>
  <si>
    <t>58939968</t>
  </si>
  <si>
    <t>15285994169</t>
  </si>
  <si>
    <t>58952718</t>
  </si>
  <si>
    <t>15285999427</t>
  </si>
  <si>
    <t>58955383</t>
  </si>
  <si>
    <t>15285999428</t>
  </si>
  <si>
    <t>58955581</t>
  </si>
  <si>
    <t>15286001169</t>
  </si>
  <si>
    <t>58957054</t>
  </si>
  <si>
    <t>15286032852</t>
  </si>
  <si>
    <t>58966467</t>
  </si>
  <si>
    <t>15286032853</t>
  </si>
  <si>
    <t>58966070</t>
  </si>
  <si>
    <t>15286032855</t>
  </si>
  <si>
    <t>58966122</t>
  </si>
  <si>
    <t>15286037292</t>
  </si>
  <si>
    <t>58968225</t>
  </si>
  <si>
    <t>15286069337</t>
  </si>
  <si>
    <t>58979925</t>
  </si>
  <si>
    <t>28598972</t>
  </si>
  <si>
    <t>586684295</t>
  </si>
  <si>
    <t>56344226</t>
  </si>
  <si>
    <t>Syndication</t>
  </si>
  <si>
    <t>15284282977</t>
  </si>
  <si>
    <t>58353230</t>
  </si>
  <si>
    <t>15284461062</t>
  </si>
  <si>
    <t>58400046</t>
  </si>
  <si>
    <t>15284601446</t>
  </si>
  <si>
    <t>58444911</t>
  </si>
  <si>
    <t>15285023015</t>
  </si>
  <si>
    <t>58570385</t>
  </si>
  <si>
    <t>15285377786</t>
  </si>
  <si>
    <t>58709880</t>
  </si>
  <si>
    <t>15286070194</t>
  </si>
  <si>
    <t>58980445</t>
  </si>
  <si>
    <t>15267532847</t>
  </si>
  <si>
    <t>15270266901</t>
  </si>
  <si>
    <t>15282064484</t>
  </si>
  <si>
    <t>61698402</t>
  </si>
  <si>
    <t>15278462853</t>
  </si>
  <si>
    <t>15278711220</t>
  </si>
  <si>
    <t>15267545700</t>
  </si>
  <si>
    <t>15269946693</t>
  </si>
  <si>
    <t>27224113</t>
  </si>
  <si>
    <t>51841194</t>
  </si>
  <si>
    <t>27582199</t>
  </si>
  <si>
    <t>52547776</t>
  </si>
  <si>
    <t>28577067</t>
  </si>
  <si>
    <t>54435862</t>
  </si>
  <si>
    <t>28609713</t>
  </si>
  <si>
    <t>54499307</t>
  </si>
  <si>
    <t>586478027</t>
  </si>
  <si>
    <t>55105252</t>
  </si>
  <si>
    <t>586681911</t>
  </si>
  <si>
    <t>56062421</t>
  </si>
  <si>
    <t>586850860</t>
  </si>
  <si>
    <t>57007304</t>
  </si>
  <si>
    <t>586534286</t>
  </si>
  <si>
    <t>55895055</t>
  </si>
  <si>
    <t>586636826</t>
  </si>
  <si>
    <t>55802157</t>
  </si>
  <si>
    <t>586637221</t>
  </si>
  <si>
    <t>55804400</t>
  </si>
  <si>
    <t>586645130</t>
  </si>
  <si>
    <t>55866198</t>
  </si>
  <si>
    <t>586646719</t>
  </si>
  <si>
    <t>55878021</t>
  </si>
  <si>
    <t>586663685</t>
  </si>
  <si>
    <t>55967282</t>
  </si>
  <si>
    <t>586488203</t>
  </si>
  <si>
    <t>55129478</t>
  </si>
  <si>
    <t>586637590</t>
  </si>
  <si>
    <t>55806344</t>
  </si>
  <si>
    <t>15251356255</t>
  </si>
  <si>
    <t>15237072211</t>
  </si>
  <si>
    <t>15237068121</t>
  </si>
  <si>
    <t>15279432542</t>
  </si>
  <si>
    <t>586732590</t>
  </si>
  <si>
    <t>15282099969</t>
  </si>
  <si>
    <t>15273984523</t>
  </si>
  <si>
    <t>586875224</t>
  </si>
  <si>
    <t>57135809</t>
  </si>
  <si>
    <t>586339714</t>
  </si>
  <si>
    <t>54789101</t>
  </si>
  <si>
    <t>586343303</t>
  </si>
  <si>
    <t>54795843</t>
  </si>
  <si>
    <t>586651468</t>
  </si>
  <si>
    <t>586398562</t>
  </si>
  <si>
    <t>54924600</t>
  </si>
  <si>
    <t>15273478108</t>
  </si>
  <si>
    <t>15265515983</t>
  </si>
  <si>
    <t>15284355157</t>
  </si>
  <si>
    <t>58371828</t>
  </si>
  <si>
    <t>15279372919</t>
  </si>
  <si>
    <t>15274357170</t>
  </si>
  <si>
    <t>27885563</t>
  </si>
  <si>
    <t>53142713</t>
  </si>
  <si>
    <t>28569062</t>
  </si>
  <si>
    <t>54423466</t>
  </si>
  <si>
    <t>28569193</t>
  </si>
  <si>
    <t>54423685</t>
  </si>
  <si>
    <t>28570746</t>
  </si>
  <si>
    <t>54426914</t>
  </si>
  <si>
    <t>28602535</t>
  </si>
  <si>
    <t>54485183</t>
  </si>
  <si>
    <t>28608583</t>
  </si>
  <si>
    <t>54496662</t>
  </si>
  <si>
    <t>586399463</t>
  </si>
  <si>
    <t>54916113</t>
  </si>
  <si>
    <t>586479398</t>
  </si>
  <si>
    <t>55108759</t>
  </si>
  <si>
    <t>586744905</t>
  </si>
  <si>
    <t>56387923</t>
  </si>
  <si>
    <t>586557091</t>
  </si>
  <si>
    <t>55350559</t>
  </si>
  <si>
    <t>GRAND TOTAL</t>
  </si>
</sst>
</file>

<file path=xl/styles.xml><?xml version="1.0" encoding="utf-8"?>
<styleSheet xmlns="http://schemas.openxmlformats.org/spreadsheetml/2006/main">
- 
  <numFmts count="9">
    <numFmt numFmtId="164" formatCode="#,##0;-#,##0"/>
    <numFmt numFmtId="165" formatCode="#,##0.0;-#,##0.0"/>
    <numFmt numFmtId="166" formatCode="#,##0.00;-#,##0.00"/>
    <numFmt numFmtId="167" formatCode="#,##0.000;-#,##0.000"/>
    <numFmt numFmtId="168" formatCode="#,##0;[Red](#,##0)"/>
    <numFmt numFmtId="169" formatCode="#,##0.0;[Red](#,##0.0)"/>
    <numFmt numFmtId="170" formatCode="#,##0.00;[Red](#,##0.00)"/>
    <numFmt numFmtId="171" formatCode="#,##0.000;[Red]\(#,##0.000\)"/>
    <numFmt numFmtId="172" formatCode="m/d/yyyy;@"/>
  </numFmts>
  <fonts count="3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indexed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1">
      <alignment vertical="top"/>
      <protection locked="0"/>
    </xf>
  </cellStyleXfs>
  <cellXfs count="23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0" fontId="1" fillId="0" borderId="0" xfId="0" applyFont="1"/>
    <xf numFmtId="0" fontId="1" fillId="2" borderId="0" xfId="0" applyFont="1" applyFill="1"/>
    <xf numFmtId="40" fontId="1" fillId="2" borderId="0" xfId="0" applyNumberFormat="1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166" fontId="1" fillId="2" borderId="0" xfId="0" applyNumberFormat="1" applyFont="1" applyFill="1"/>
    <xf numFmtId="167" fontId="1" fillId="2" borderId="0" xfId="0" applyNumberFormat="1" applyFont="1" applyFill="1"/>
    <xf numFmtId="168" fontId="1" fillId="2" borderId="0" xfId="0" applyNumberFormat="1" applyFont="1" applyFill="1"/>
    <xf numFmtId="169" fontId="1" fillId="2" borderId="0" xfId="0" applyNumberFormat="1" applyFont="1" applyFill="1"/>
    <xf numFmtId="170" fontId="1" fillId="2" borderId="0" xfId="0" applyNumberFormat="1" applyFont="1" applyFill="1"/>
    <xf numFmtId="171" fontId="1" fillId="2" borderId="0" xfId="0" applyNumberFormat="1" applyFont="1" applyFill="1"/>
    <xf numFmtId="172" fontId="1" fillId="2" borderId="0" xfId="0" applyNumberFormat="1" applyFont="1" applyFill="1"/>
    <xf numFmtId="0" fontId="2" fillId="0" borderId="0" xfId="1" applyAlignment="1" applyProtection="1"/>
  </cellXfs>
  <cellStyles count="2">
    <cellStyle name="Normal" xfId="0" builtinId="0"/>
    <cellStyle name="Hyperlink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Relationship Id="rId15" Type="http://schemas.openxmlformats.org/officeDocument/2006/relationships/worksheet" Target="worksheets/sheet15.xml"/>
<Relationship Id="rId20" Type="http://schemas.openxmlformats.org/officeDocument/2006/relationships/sharedStrings" Target="sharedStrings.xml"/>
<Relationship Id="rId21" Type="http://schemas.openxmlformats.org/officeDocument/2006/relationships/styles" Target="styles.xml"/>
<Relationship Id="rId22" Type="http://schemas.openxmlformats.org/officeDocument/2006/relationships/theme" Target="theme/theme1.xml"/>
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0</xdr:col>
      <xdr:colOff>1775000</xdr:colOff>
      <xdr:row>2</xdr:row>
      <xdr:rowOff>180975</xdr:rowOff>
    </xdr:to>
    <xdr:pic>
      <xdr:nvPicPr>
        <xdr:cNvPr id="1025" name="Picture 1" descr="KANTAR_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0"/>
          <a:ext cx="1657350" cy="5619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Windows-1252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.bin"/>

</Relationships>

</file>

<file path=xl/worksheets/_rels/sheet2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2.bin"/>
</Relationships>

</file>

<file path=xl/worksheets/_rels/sheet3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3.bin"/>
</Relationships>

</file>

<file path=xl/worksheets/_rels/sheet4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4.bin"/>
</Relationships>

</file>

<file path=xl/worksheets/_rels/sheet5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5.bin"/>
</Relationships>

</file>

<file path=xl/worksheets/_rels/sheet6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6.bin"/>
</Relationships>

</file>

<file path=xl/worksheets/_rels/sheet7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7.bin"/>
</Relationships>

</file>

<file path=xl/worksheets/_rels/sheet8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8.bin"/>
</Relationships>

</file>

<file path=xl/worksheets/_rels/sheet9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9.bin"/>
</Relationships>

</file>

<file path=xl/worksheets/_rels/sheet10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0.bin"/>
</Relationships>

</file>

<file path=xl/worksheets/_rels/sheet11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1.bin"/>
</Relationships>

</file>

<file path=xl/worksheets/_rels/sheet12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2.bin"/>
</Relationships>

</file>

<file path=xl/worksheets/_rels/sheet13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0.bin"/>
</Relationships>

</file>

<file path=xl/worksheets/_rels/sheet14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0.bin"/>
</Relationships>

</file>

<file path=xl/worksheets/_rels/sheet15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0.bin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1627"/>
  <sheetViews>
    <sheetView workbookViewId="0"/>
  </sheetViews>
  <sheetFormatPr defaultRowHeight="15"/>
  <cols>
    <col min="1" max="1" width="75" customWidth="1"/>
    <col min="2" max="2" width="45" customWidth="1"/>
    <col min="3" max="3" width="45" customWidth="1"/>
    <col min="4" max="4" width="18" customWidth="1"/>
    <col min="5" max="5" width="45" customWidth="1"/>
    <col min="6" max="6" width="45" customWidth="1"/>
    <col min="7" max="7" width="35" customWidth="1"/>
    <col min="8" max="8" width="20" customWidth="1"/>
    <col min="9" max="9" width="14" customWidth="1"/>
    <col min="10" max="10" width="12" customWidth="1"/>
  </cols>
  <sheetData>
    <row r="1" spans="1:3">
      <c r="C1" s="10" t="s">
        <v>0</v>
      </c>
    </row>
    <row r="5" spans="1:4">
      <c r="A5" s="10" t="s">
        <v>1</v>
      </c>
      <c r="B5" s="0" t="s">
        <v>2</v>
      </c>
    </row>
    <row r="6" spans="1:4">
      <c r="A6" s="10" t="s">
        <v>3</v>
      </c>
      <c r="B6" s="0" t="s">
        <v>4</v>
      </c>
    </row>
    <row r="8" spans="1:12">
      <c r="A8" s="10" t="s">
        <v>5</v>
      </c>
      <c r="B8" s="10" t="s">
        <v>6</v>
      </c>
      <c r="C8" s="10" t="s">
        <v>7</v>
      </c>
      <c r="D8" s="10" t="s">
        <v>8</v>
      </c>
      <c r="E8" s="10" t="s">
        <v>9</v>
      </c>
      <c r="F8" s="10" t="inlineStr">
        <is>
          <t xml:space="preserve">BRAND</t>
        </is>
      </c>
      <c r="G8" s="10" t="inlineStr">
        <is>
          <t xml:space="preserve">MEDIA</t>
        </is>
      </c>
      <c r="H8" s="10" t="inlineStr">
        <is>
          <t xml:space="preserve">COLOR</t>
        </is>
      </c>
      <c r="I8" s="10" t="inlineStr">
        <is>
          <t xml:space="preserve">$</t>
        </is>
      </c>
      <c r="J8" s="10" t="inlineStr">
        <is>
          <t xml:space="preserve">UNITS</t>
        </is>
      </c>
    </row>
    <row r="9" spans="1:11">
      <c r="A9" s="22" t="str">
        <f>HYPERLINK("https://app.vivvix.com/360/KMI/IntelliDrive/ApplUI/Pages/CreativePages/CustomReportCreativeDetail.aspx?App=23&amp;ReportView=4&amp;Qid=1696098&amp;Row=1&amp;Col=1","Be A Fan Of Any US City")</f>
        <v/>
      </c>
      <c r="B9" s="0" t="s">
        <v>10</v>
      </c>
      <c r="C9" s="0" t="s">
        <v>11</v>
      </c>
      <c r="D9" s="0" t="s">
        <v>11</v>
      </c>
      <c r="E9" s="0" t="s">
        <v>12</v>
      </c>
      <c r="F9" s="0" t="s">
        <v>12</v>
      </c>
      <c r="G9" s="0" t="s">
        <v>13</v>
      </c>
      <c r="I9" s="5">
        <v>527317.000000</v>
      </c>
      <c r="J9" s="5">
        <v>193.000000</v>
      </c>
    </row>
    <row r="10" spans="1:11">
      <c r="A10" s="22" t="str">
        <f>HYPERLINK("https://app.vivvix.com/360/KMI/IntelliDrive/ApplUI/Pages/CreativePages/CustomReportCreativeDetail.aspx?App=23&amp;ReportView=4&amp;Qid=1696098&amp;Row=2&amp;Col=1","Be A Fan Of Any US City")</f>
        <v/>
      </c>
      <c r="B10" s="0" t="s">
        <v>10</v>
      </c>
      <c r="C10" s="0" t="s">
        <v>11</v>
      </c>
      <c r="D10" s="0" t="s">
        <v>11</v>
      </c>
      <c r="E10" s="0" t="s">
        <v>12</v>
      </c>
      <c r="F10" s="0" t="s">
        <v>12</v>
      </c>
      <c r="G10" s="0" t="s">
        <v>14</v>
      </c>
      <c r="I10" s="5">
        <v>1818820.000000</v>
      </c>
      <c r="J10" s="5">
        <v>26.000000</v>
      </c>
    </row>
    <row r="11" spans="1:11">
      <c r="A11" s="22" t="str">
        <f>HYPERLINK("https://app.vivvix.com/360/KMI/IntelliDrive/ApplUI/Pages/CreativePages/CustomReportCreativeDetail.aspx?App=23&amp;ReportView=4&amp;Qid=1696098&amp;Row=3&amp;Col=1","Be A Fan Of Any US City")</f>
        <v/>
      </c>
      <c r="B11" s="0" t="s">
        <v>10</v>
      </c>
      <c r="C11" s="0" t="s">
        <v>11</v>
      </c>
      <c r="D11" s="0" t="s">
        <v>11</v>
      </c>
      <c r="E11" s="0" t="s">
        <v>12</v>
      </c>
      <c r="F11" s="0" t="s">
        <v>12</v>
      </c>
      <c r="G11" s="0" t="s">
        <v>15</v>
      </c>
      <c r="I11" s="5">
        <v>5103.000000</v>
      </c>
      <c r="J11" s="5">
        <v>30.000000</v>
      </c>
    </row>
    <row r="12" spans="1:11">
      <c r="A12" s="22" t="str">
        <f>HYPERLINK("https://app.vivvix.com/360/KMI/IntelliDrive/ApplUI/Pages/CreativePages/CustomReportCreativeDetail.aspx?App=23&amp;ReportView=4&amp;Qid=1696098&amp;Row=4&amp;Col=1","Best One")</f>
        <v/>
      </c>
      <c r="B12" s="0" t="s">
        <v>16</v>
      </c>
      <c r="E12" s="0" t="s">
        <v>12</v>
      </c>
      <c r="F12" s="0" t="s">
        <v>12</v>
      </c>
      <c r="G12" s="0" t="s">
        <v>17</v>
      </c>
      <c r="I12" s="5">
        <v>23.599000</v>
      </c>
      <c r="J12" s="5">
        <v>3.000000</v>
      </c>
    </row>
    <row r="13" spans="1:11">
      <c r="A13" s="22" t="str">
        <f>HYPERLINK("https://app.vivvix.com/360/KMI/IntelliDrive/ApplUI/Pages/CreativePages/CustomReportCreativeDetail.aspx?App=23&amp;ReportView=4&amp;Qid=1696098&amp;Row=5&amp;Col=1","Best One")</f>
        <v/>
      </c>
      <c r="B13" s="0" t="s">
        <v>18</v>
      </c>
      <c r="E13" s="0" t="s">
        <v>12</v>
      </c>
      <c r="F13" s="0" t="s">
        <v>12</v>
      </c>
      <c r="G13" s="0" t="s">
        <v>17</v>
      </c>
      <c r="I13" s="5">
        <v>531.093000</v>
      </c>
      <c r="J13" s="5">
        <v>77.000000</v>
      </c>
    </row>
    <row r="14" spans="1:11">
      <c r="A14" s="22" t="str">
        <f>HYPERLINK("https://app.vivvix.com/360/KMI/IntelliDrive/ApplUI/Pages/CreativePages/CustomReportCreativeDetail.aspx?App=23&amp;ReportView=4&amp;Qid=1696098&amp;Row=6&amp;Col=1","Best One")</f>
        <v/>
      </c>
      <c r="B14" s="0" t="s">
        <v>19</v>
      </c>
      <c r="E14" s="0" t="s">
        <v>12</v>
      </c>
      <c r="F14" s="0" t="s">
        <v>12</v>
      </c>
      <c r="G14" s="0" t="s">
        <v>17</v>
      </c>
      <c r="I14" s="5">
        <v>5138.515000</v>
      </c>
      <c r="J14" s="5">
        <v>632.000000</v>
      </c>
    </row>
    <row r="15" spans="1:11">
      <c r="A15" s="22" t="str">
        <f>HYPERLINK("https://app.vivvix.com/360/KMI/IntelliDrive/ApplUI/Pages/CreativePages/CustomReportCreativeDetail.aspx?App=23&amp;ReportView=4&amp;Qid=1696098&amp;Row=7&amp;Col=1","Best One")</f>
        <v/>
      </c>
      <c r="B15" s="0" t="s">
        <v>19</v>
      </c>
      <c r="E15" s="0" t="s">
        <v>12</v>
      </c>
      <c r="F15" s="0" t="s">
        <v>12</v>
      </c>
      <c r="G15" s="0" t="s">
        <v>20</v>
      </c>
      <c r="I15" s="5">
        <v>88254.750000</v>
      </c>
      <c r="J15" s="5">
        <v>785.000000</v>
      </c>
    </row>
    <row r="16" spans="1:11">
      <c r="A16" s="22" t="str">
        <f>HYPERLINK("https://app.vivvix.com/360/KMI/IntelliDrive/ApplUI/Pages/CreativePages/CustomReportCreativeDetail.aspx?App=23&amp;ReportView=4&amp;Qid=1696098&amp;Row=8&amp;Col=1","Best One")</f>
        <v/>
      </c>
      <c r="B16" s="0" t="s">
        <v>21</v>
      </c>
      <c r="E16" s="0" t="s">
        <v>12</v>
      </c>
      <c r="F16" s="0" t="s">
        <v>12</v>
      </c>
      <c r="G16" s="0" t="s">
        <v>17</v>
      </c>
      <c r="I16" s="5">
        <v>7.908000</v>
      </c>
      <c r="J16" s="5">
        <v>1.000000</v>
      </c>
    </row>
    <row r="17" spans="1:11">
      <c r="A17" s="22" t="str">
        <f>HYPERLINK("https://app.vivvix.com/360/KMI/IntelliDrive/ApplUI/Pages/CreativePages/CustomReportCreativeDetail.aspx?App=23&amp;ReportView=4&amp;Qid=1696098&amp;Row=9&amp;Col=1","Best One")</f>
        <v/>
      </c>
      <c r="B17" s="0" t="s">
        <v>22</v>
      </c>
      <c r="C17" s="0" t="s">
        <v>23</v>
      </c>
      <c r="D17" s="0" t="s">
        <v>23</v>
      </c>
      <c r="E17" s="0" t="s">
        <v>12</v>
      </c>
      <c r="F17" s="0" t="s">
        <v>12</v>
      </c>
      <c r="G17" s="0" t="s">
        <v>17</v>
      </c>
      <c r="I17" s="5">
        <v>188.916000</v>
      </c>
      <c r="J17" s="5">
        <v>39.000000</v>
      </c>
    </row>
    <row r="18" spans="1:11">
      <c r="A18" s="22" t="str">
        <f>HYPERLINK("https://app.vivvix.com/360/KMI/IntelliDrive/ApplUI/Pages/CreativePages/CustomReportCreativeDetail.aspx?App=23&amp;ReportView=4&amp;Qid=1696098&amp;Row=10&amp;Col=1","Best One (Foreign Subtitles Added/Text Change)")</f>
        <v/>
      </c>
      <c r="B18" s="0" t="s">
        <v>24</v>
      </c>
      <c r="E18" s="0" t="s">
        <v>12</v>
      </c>
      <c r="F18" s="0" t="s">
        <v>12</v>
      </c>
      <c r="G18" s="0" t="s">
        <v>17</v>
      </c>
      <c r="I18" s="5">
        <v>34314.133000</v>
      </c>
      <c r="J18" s="5">
        <v>4921.000000</v>
      </c>
    </row>
    <row r="19" spans="1:11">
      <c r="A19" s="22" t="str">
        <f>HYPERLINK("https://app.vivvix.com/360/KMI/IntelliDrive/ApplUI/Pages/CreativePages/CustomReportCreativeDetail.aspx?App=23&amp;ReportView=4&amp;Qid=1696098&amp;Row=11&amp;Col=1","Best One (Foreign Subtitles Added/Text Change)")</f>
        <v/>
      </c>
      <c r="B19" s="0" t="s">
        <v>24</v>
      </c>
      <c r="E19" s="0" t="s">
        <v>12</v>
      </c>
      <c r="F19" s="0" t="s">
        <v>12</v>
      </c>
      <c r="G19" s="0" t="s">
        <v>20</v>
      </c>
      <c r="I19" s="5">
        <v>34473.600000</v>
      </c>
      <c r="J19" s="5">
        <v>320.000000</v>
      </c>
    </row>
    <row r="20" spans="1:11">
      <c r="A20" s="22" t="str">
        <f>HYPERLINK("https://app.vivvix.com/360/KMI/IntelliDrive/ApplUI/Pages/CreativePages/CustomReportCreativeDetail.aspx?App=23&amp;ReportView=4&amp;Qid=1696098&amp;Row=12&amp;Col=1","Best Service")</f>
        <v/>
      </c>
      <c r="B20" s="0" t="s">
        <v>25</v>
      </c>
      <c r="E20" s="0" t="s">
        <v>12</v>
      </c>
      <c r="F20" s="0" t="s">
        <v>12</v>
      </c>
      <c r="G20" s="0" t="s">
        <v>17</v>
      </c>
      <c r="I20" s="5">
        <v>53.150000</v>
      </c>
      <c r="J20" s="5">
        <v>10.000000</v>
      </c>
    </row>
    <row r="21" spans="1:11">
      <c r="A21" s="22" t="str">
        <f>HYPERLINK("https://app.vivvix.com/360/KMI/IntelliDrive/ApplUI/Pages/CreativePages/CustomReportCreativeDetail.aspx?App=23&amp;ReportView=4&amp;Qid=1696098&amp;Row=13&amp;Col=1","Best Stay")</f>
        <v/>
      </c>
      <c r="B21" s="0" t="s">
        <v>26</v>
      </c>
      <c r="E21" s="0" t="s">
        <v>12</v>
      </c>
      <c r="F21" s="0" t="s">
        <v>12</v>
      </c>
      <c r="G21" s="0" t="s">
        <v>17</v>
      </c>
      <c r="I21" s="5">
        <v>28840.484000</v>
      </c>
      <c r="J21" s="5">
        <v>4.000000</v>
      </c>
    </row>
    <row r="22" spans="1:11">
      <c r="A22" s="22" t="str">
        <f>HYPERLINK("https://app.vivvix.com/360/KMI/IntelliDrive/ApplUI/Pages/CreativePages/CustomReportCreativeDetail.aspx?App=23&amp;ReportView=4&amp;Qid=1696098&amp;Row=14&amp;Col=1","Best Stay")</f>
        <v/>
      </c>
      <c r="B22" s="0" t="s">
        <v>27</v>
      </c>
      <c r="E22" s="0" t="s">
        <v>12</v>
      </c>
      <c r="F22" s="0" t="s">
        <v>12</v>
      </c>
      <c r="G22" s="0" t="s">
        <v>17</v>
      </c>
      <c r="I22" s="5">
        <v>1340.947000</v>
      </c>
      <c r="J22" s="5">
        <v>266.000000</v>
      </c>
    </row>
    <row r="23" spans="1:11">
      <c r="A23" s="22" t="str">
        <f>HYPERLINK("https://app.vivvix.com/360/KMI/IntelliDrive/ApplUI/Pages/CreativePages/CustomReportCreativeDetail.aspx?App=23&amp;ReportView=4&amp;Qid=1696098&amp;Row=15&amp;Col=1","Better Option")</f>
        <v/>
      </c>
      <c r="B23" s="0" t="s">
        <v>28</v>
      </c>
      <c r="E23" s="0" t="s">
        <v>12</v>
      </c>
      <c r="F23" s="0" t="s">
        <v>12</v>
      </c>
      <c r="G23" s="0" t="s">
        <v>17</v>
      </c>
      <c r="I23" s="5">
        <v>5082.952000</v>
      </c>
      <c r="J23" s="5">
        <v>556.000000</v>
      </c>
    </row>
    <row r="24" spans="1:11">
      <c r="A24" s="22" t="str">
        <f>HYPERLINK("https://app.vivvix.com/360/KMI/IntelliDrive/ApplUI/Pages/CreativePages/CustomReportCreativeDetail.aspx?App=23&amp;ReportView=4&amp;Qid=1696098&amp;Row=16&amp;Col=1","Better Option")</f>
        <v/>
      </c>
      <c r="B24" s="0" t="s">
        <v>28</v>
      </c>
      <c r="E24" s="0" t="s">
        <v>12</v>
      </c>
      <c r="F24" s="0" t="s">
        <v>12</v>
      </c>
      <c r="G24" s="0" t="s">
        <v>20</v>
      </c>
      <c r="I24" s="5">
        <v>45145.953000</v>
      </c>
      <c r="J24" s="5">
        <v>261.000000</v>
      </c>
    </row>
    <row r="25" spans="1:11">
      <c r="A25" s="22" t="str">
        <f>HYPERLINK("https://app.vivvix.com/360/KMI/IntelliDrive/ApplUI/Pages/CreativePages/CustomReportCreativeDetail.aspx?App=23&amp;ReportView=4&amp;Qid=1696098&amp;Row=17&amp;Col=1","Better Option")</f>
        <v/>
      </c>
      <c r="B25" s="0" t="s">
        <v>29</v>
      </c>
      <c r="E25" s="0" t="s">
        <v>12</v>
      </c>
      <c r="F25" s="0" t="s">
        <v>12</v>
      </c>
      <c r="G25" s="0" t="s">
        <v>17</v>
      </c>
      <c r="I25" s="5">
        <v>15083.721000</v>
      </c>
      <c r="J25" s="5">
        <v>26.000000</v>
      </c>
    </row>
    <row r="26" spans="1:11">
      <c r="A26" s="22" t="str">
        <f>HYPERLINK("https://app.vivvix.com/360/KMI/IntelliDrive/ApplUI/Pages/CreativePages/CustomReportCreativeDetail.aspx?App=23&amp;ReportView=4&amp;Qid=1696098&amp;Row=18&amp;Col=1","Better Option")</f>
        <v/>
      </c>
      <c r="B26" s="0" t="s">
        <v>29</v>
      </c>
      <c r="E26" s="0" t="s">
        <v>12</v>
      </c>
      <c r="F26" s="0" t="s">
        <v>12</v>
      </c>
      <c r="G26" s="0" t="s">
        <v>20</v>
      </c>
      <c r="I26" s="5">
        <v>8439.468000</v>
      </c>
      <c r="J26" s="5">
        <v>22.000000</v>
      </c>
    </row>
    <row r="27" spans="1:11">
      <c r="A27" s="22" t="str">
        <f>HYPERLINK("https://app.vivvix.com/360/KMI/IntelliDrive/ApplUI/Pages/CreativePages/CustomReportCreativeDetail.aspx?App=23&amp;ReportView=4&amp;Qid=1696098&amp;Row=19&amp;Col=1","Better Option (20 Sec.)")</f>
        <v/>
      </c>
      <c r="B27" s="0" t="s">
        <v>30</v>
      </c>
      <c r="E27" s="0" t="s">
        <v>12</v>
      </c>
      <c r="F27" s="0" t="s">
        <v>12</v>
      </c>
      <c r="G27" s="0" t="s">
        <v>17</v>
      </c>
      <c r="I27" s="5">
        <v>155.414000</v>
      </c>
      <c r="J27" s="5">
        <v>17.000000</v>
      </c>
    </row>
    <row r="28" spans="1:11">
      <c r="A28" s="22" t="str">
        <f>HYPERLINK("https://app.vivvix.com/360/KMI/IntelliDrive/ApplUI/Pages/CreativePages/CustomReportCreativeDetail.aspx?App=23&amp;ReportView=4&amp;Qid=1696098&amp;Row=20&amp;Col=1","Better Places")</f>
        <v/>
      </c>
      <c r="B28" s="0" t="s">
        <v>31</v>
      </c>
      <c r="E28" s="0" t="s">
        <v>12</v>
      </c>
      <c r="F28" s="0" t="s">
        <v>12</v>
      </c>
      <c r="G28" s="0" t="s">
        <v>17</v>
      </c>
      <c r="I28" s="5">
        <v>188.069000</v>
      </c>
      <c r="J28" s="5">
        <v>28.000000</v>
      </c>
    </row>
    <row r="29" spans="1:11">
      <c r="A29" s="22" t="str">
        <f>HYPERLINK("https://app.vivvix.com/360/KMI/IntelliDrive/ApplUI/Pages/CreativePages/CustomReportCreativeDetail.aspx?App=23&amp;ReportView=4&amp;Qid=1696098&amp;Row=21&amp;Col=1","Book Fast (Visual Change/Audio Change)")</f>
        <v/>
      </c>
      <c r="B29" s="0" t="s">
        <v>32</v>
      </c>
      <c r="E29" s="0" t="s">
        <v>12</v>
      </c>
      <c r="F29" s="0" t="s">
        <v>12</v>
      </c>
      <c r="G29" s="0" t="s">
        <v>17</v>
      </c>
      <c r="I29" s="5">
        <v>653199.414000</v>
      </c>
      <c r="J29" s="5">
        <v>404.000000</v>
      </c>
    </row>
    <row r="30" spans="1:11">
      <c r="A30" s="22" t="str">
        <f>HYPERLINK("https://app.vivvix.com/360/KMI/IntelliDrive/ApplUI/Pages/CreativePages/CustomReportCreativeDetail.aspx?App=23&amp;ReportView=4&amp;Qid=1696098&amp;Row=22&amp;Col=1","Book Fast (Visual Change/Audio Change)")</f>
        <v/>
      </c>
      <c r="B30" s="0" t="s">
        <v>32</v>
      </c>
      <c r="E30" s="0" t="s">
        <v>12</v>
      </c>
      <c r="F30" s="0" t="s">
        <v>12</v>
      </c>
      <c r="G30" s="0" t="s">
        <v>20</v>
      </c>
      <c r="I30" s="5">
        <v>1795838.612000</v>
      </c>
      <c r="J30" s="5">
        <v>208.000000</v>
      </c>
    </row>
    <row r="31" spans="1:11">
      <c r="A31" s="22" t="str">
        <f>HYPERLINK("https://app.vivvix.com/360/KMI/IntelliDrive/ApplUI/Pages/CreativePages/CustomReportCreativeDetail.aspx?App=23&amp;ReportView=4&amp;Qid=1696098&amp;Row=23&amp;Col=1","Book Fast (Visual Change/Audio Change)")</f>
        <v/>
      </c>
      <c r="B31" s="0" t="s">
        <v>33</v>
      </c>
      <c r="E31" s="0" t="s">
        <v>12</v>
      </c>
      <c r="F31" s="0" t="s">
        <v>12</v>
      </c>
      <c r="G31" s="0" t="s">
        <v>17</v>
      </c>
      <c r="I31" s="5">
        <v>299467.658000</v>
      </c>
      <c r="J31" s="5">
        <v>1237.000000</v>
      </c>
    </row>
    <row r="32" spans="1:11">
      <c r="A32" s="22" t="str">
        <f>HYPERLINK("https://app.vivvix.com/360/KMI/IntelliDrive/ApplUI/Pages/CreativePages/CustomReportCreativeDetail.aspx?App=23&amp;ReportView=4&amp;Qid=1696098&amp;Row=24&amp;Col=1","Book Fast (Visual Change/Audio Change)")</f>
        <v/>
      </c>
      <c r="B32" s="0" t="s">
        <v>33</v>
      </c>
      <c r="E32" s="0" t="s">
        <v>12</v>
      </c>
      <c r="F32" s="0" t="s">
        <v>12</v>
      </c>
      <c r="G32" s="0" t="s">
        <v>20</v>
      </c>
      <c r="I32" s="5">
        <v>1199.110000</v>
      </c>
      <c r="J32" s="5">
        <v>55.000000</v>
      </c>
    </row>
    <row r="33" spans="1:11">
      <c r="A33" s="22" t="str">
        <f>HYPERLINK("https://app.vivvix.com/360/KMI/IntelliDrive/ApplUI/Pages/CreativePages/CustomReportCreativeDetail.aspx?App=23&amp;ReportView=4&amp;Qid=1696098&amp;Row=25&amp;Col=1","Book Fast (Visual Change/Audio Change)")</f>
        <v/>
      </c>
      <c r="B33" s="0" t="s">
        <v>34</v>
      </c>
      <c r="C33" s="0" t="s">
        <v>35</v>
      </c>
      <c r="D33" s="0" t="s">
        <v>35</v>
      </c>
      <c r="E33" s="0" t="s">
        <v>12</v>
      </c>
      <c r="F33" s="0" t="s">
        <v>12</v>
      </c>
      <c r="G33" s="0" t="s">
        <v>17</v>
      </c>
      <c r="I33" s="5">
        <v>130.493000</v>
      </c>
      <c r="J33" s="5">
        <v>1.000000</v>
      </c>
    </row>
    <row r="34" spans="1:11">
      <c r="A34" s="22" t="str">
        <f>HYPERLINK("https://app.vivvix.com/360/KMI/IntelliDrive/ApplUI/Pages/CreativePages/CustomReportCreativeDetail.aspx?App=23&amp;ReportView=4&amp;Qid=1696098&amp;Row=26&amp;Col=1","Book It")</f>
        <v/>
      </c>
      <c r="B34" s="0" t="s">
        <v>36</v>
      </c>
      <c r="E34" s="0" t="s">
        <v>12</v>
      </c>
      <c r="F34" s="0" t="s">
        <v>12</v>
      </c>
      <c r="G34" s="0" t="s">
        <v>20</v>
      </c>
      <c r="I34" s="5">
        <v>136613.960000</v>
      </c>
      <c r="J34" s="5">
        <v>1222.000000</v>
      </c>
    </row>
    <row r="35" spans="1:11">
      <c r="A35" s="22" t="str">
        <f>HYPERLINK("https://app.vivvix.com/360/KMI/IntelliDrive/ApplUI/Pages/CreativePages/CustomReportCreativeDetail.aspx?App=23&amp;ReportView=4&amp;Qid=1696098&amp;Row=27&amp;Col=1","Book It")</f>
        <v/>
      </c>
      <c r="B35" s="0" t="s">
        <v>36</v>
      </c>
      <c r="E35" s="0" t="s">
        <v>12</v>
      </c>
      <c r="F35" s="0" t="s">
        <v>12</v>
      </c>
      <c r="G35" s="0" t="s">
        <v>17</v>
      </c>
      <c r="I35" s="5">
        <v>8651.350000</v>
      </c>
      <c r="J35" s="5">
        <v>1018.000000</v>
      </c>
    </row>
    <row r="36" spans="1:11">
      <c r="A36" s="22" t="str">
        <f>HYPERLINK("https://app.vivvix.com/360/KMI/IntelliDrive/ApplUI/Pages/CreativePages/CustomReportCreativeDetail.aspx?App=23&amp;ReportView=4&amp;Qid=1696098&amp;Row=28&amp;Col=1","Book It")</f>
        <v/>
      </c>
      <c r="B36" s="0" t="s">
        <v>37</v>
      </c>
      <c r="E36" s="0" t="s">
        <v>12</v>
      </c>
      <c r="F36" s="0" t="s">
        <v>12</v>
      </c>
      <c r="G36" s="0" t="s">
        <v>17</v>
      </c>
      <c r="I36" s="5">
        <v>10.799000</v>
      </c>
      <c r="J36" s="5">
        <v>1.000000</v>
      </c>
    </row>
    <row r="37" spans="1:11">
      <c r="A37" s="22" t="str">
        <f>HYPERLINK("https://app.vivvix.com/360/KMI/IntelliDrive/ApplUI/Pages/CreativePages/CustomReportCreativeDetail.aspx?App=23&amp;ReportView=4&amp;Qid=1696098&amp;Row=29&amp;Col=1","Book It Now")</f>
        <v/>
      </c>
      <c r="B37" s="0" t="s">
        <v>38</v>
      </c>
      <c r="E37" s="0" t="s">
        <v>12</v>
      </c>
      <c r="F37" s="0" t="s">
        <v>12</v>
      </c>
      <c r="G37" s="0" t="s">
        <v>17</v>
      </c>
      <c r="I37" s="5">
        <v>74751.390000</v>
      </c>
      <c r="J37" s="5">
        <v>2784.000000</v>
      </c>
    </row>
    <row r="38" spans="1:11">
      <c r="A38" s="22" t="str">
        <f>HYPERLINK("https://app.vivvix.com/360/KMI/IntelliDrive/ApplUI/Pages/CreativePages/CustomReportCreativeDetail.aspx?App=23&amp;ReportView=4&amp;Qid=1696098&amp;Row=30&amp;Col=1","Book Now")</f>
        <v/>
      </c>
      <c r="B38" s="0" t="s">
        <v>39</v>
      </c>
      <c r="E38" s="0" t="s">
        <v>12</v>
      </c>
      <c r="F38" s="0" t="s">
        <v>12</v>
      </c>
      <c r="G38" s="0" t="s">
        <v>17</v>
      </c>
      <c r="I38" s="5">
        <v>47.835000</v>
      </c>
      <c r="J38" s="5">
        <v>9.000000</v>
      </c>
    </row>
    <row r="39" spans="1:11">
      <c r="A39" s="22" t="str">
        <f>HYPERLINK("https://app.vivvix.com/360/KMI/IntelliDrive/ApplUI/Pages/CreativePages/CustomReportCreativeDetail.aspx?App=23&amp;ReportView=4&amp;Qid=1696098&amp;Row=31&amp;Col=1","Book Now")</f>
        <v/>
      </c>
      <c r="B39" s="0" t="s">
        <v>40</v>
      </c>
      <c r="E39" s="0" t="s">
        <v>12</v>
      </c>
      <c r="F39" s="0" t="s">
        <v>12</v>
      </c>
      <c r="G39" s="0" t="s">
        <v>20</v>
      </c>
      <c r="I39" s="5">
        <v>57254.063000</v>
      </c>
      <c r="J39" s="5">
        <v>331.000000</v>
      </c>
    </row>
    <row r="40" spans="1:11">
      <c r="A40" s="22" t="str">
        <f>HYPERLINK("https://app.vivvix.com/360/KMI/IntelliDrive/ApplUI/Pages/CreativePages/CustomReportCreativeDetail.aspx?App=23&amp;ReportView=4&amp;Qid=1696098&amp;Row=32&amp;Col=1","Book Now")</f>
        <v/>
      </c>
      <c r="B40" s="0" t="s">
        <v>40</v>
      </c>
      <c r="E40" s="0" t="s">
        <v>12</v>
      </c>
      <c r="F40" s="0" t="s">
        <v>12</v>
      </c>
      <c r="G40" s="0" t="s">
        <v>17</v>
      </c>
      <c r="I40" s="5">
        <v>1718.696000</v>
      </c>
      <c r="J40" s="5">
        <v>188.000000</v>
      </c>
    </row>
    <row r="41" spans="1:11">
      <c r="A41" s="22" t="str">
        <f>HYPERLINK("https://app.vivvix.com/360/KMI/IntelliDrive/ApplUI/Pages/CreativePages/CustomReportCreativeDetail.aspx?App=23&amp;ReportView=4&amp;Qid=1696098&amp;Row=33&amp;Col=1","Book Now")</f>
        <v/>
      </c>
      <c r="B41" s="0" t="s">
        <v>41</v>
      </c>
      <c r="E41" s="0" t="s">
        <v>12</v>
      </c>
      <c r="F41" s="0" t="s">
        <v>12</v>
      </c>
      <c r="G41" s="0" t="s">
        <v>20</v>
      </c>
      <c r="I41" s="5">
        <v>9375.626000</v>
      </c>
      <c r="J41" s="5">
        <v>18.000000</v>
      </c>
    </row>
    <row r="42" spans="1:11">
      <c r="A42" s="22" t="str">
        <f>HYPERLINK("https://app.vivvix.com/360/KMI/IntelliDrive/ApplUI/Pages/CreativePages/CustomReportCreativeDetail.aspx?App=23&amp;ReportView=4&amp;Qid=1696098&amp;Row=34&amp;Col=1","Book Now")</f>
        <v/>
      </c>
      <c r="B42" s="0" t="s">
        <v>41</v>
      </c>
      <c r="E42" s="0" t="s">
        <v>12</v>
      </c>
      <c r="F42" s="0" t="s">
        <v>12</v>
      </c>
      <c r="G42" s="0" t="s">
        <v>17</v>
      </c>
      <c r="I42" s="5">
        <v>11913.973000</v>
      </c>
      <c r="J42" s="5">
        <v>24.000000</v>
      </c>
    </row>
    <row r="43" spans="1:11">
      <c r="A43" s="22" t="str">
        <f>HYPERLINK("https://app.vivvix.com/360/KMI/IntelliDrive/ApplUI/Pages/CreativePages/CustomReportCreativeDetail.aspx?App=23&amp;ReportView=4&amp;Qid=1696098&amp;Row=35&amp;Col=1","Book Now")</f>
        <v/>
      </c>
      <c r="B43" s="0" t="s">
        <v>42</v>
      </c>
      <c r="E43" s="0" t="s">
        <v>12</v>
      </c>
      <c r="F43" s="0" t="s">
        <v>12</v>
      </c>
      <c r="G43" s="0" t="s">
        <v>17</v>
      </c>
      <c r="I43" s="5">
        <v>9.142000</v>
      </c>
      <c r="J43" s="5">
        <v>1.000000</v>
      </c>
    </row>
    <row r="44" spans="1:11">
      <c r="A44" s="22" t="str">
        <f>HYPERLINK("https://app.vivvix.com/360/KMI/IntelliDrive/ApplUI/Pages/CreativePages/CustomReportCreativeDetail.aspx?App=23&amp;ReportView=4&amp;Qid=1696098&amp;Row=36&amp;Col=1","Book Now")</f>
        <v/>
      </c>
      <c r="B44" s="0" t="s">
        <v>43</v>
      </c>
      <c r="E44" s="0" t="s">
        <v>12</v>
      </c>
      <c r="F44" s="0" t="s">
        <v>12</v>
      </c>
      <c r="G44" s="0" t="s">
        <v>17</v>
      </c>
      <c r="I44" s="5">
        <v>759129.973000</v>
      </c>
      <c r="J44" s="5">
        <v>101822.000000</v>
      </c>
    </row>
    <row r="45" spans="1:11">
      <c r="A45" s="22" t="str">
        <f>HYPERLINK("https://app.vivvix.com/360/KMI/IntelliDrive/ApplUI/Pages/CreativePages/CustomReportCreativeDetail.aspx?App=23&amp;ReportView=4&amp;Qid=1696098&amp;Row=37&amp;Col=1","Book Now")</f>
        <v/>
      </c>
      <c r="B45" s="0" t="s">
        <v>43</v>
      </c>
      <c r="E45" s="0" t="s">
        <v>12</v>
      </c>
      <c r="F45" s="0" t="s">
        <v>12</v>
      </c>
      <c r="G45" s="0" t="s">
        <v>20</v>
      </c>
      <c r="I45" s="5">
        <v>5565178.090000</v>
      </c>
      <c r="J45" s="5">
        <v>54297.000000</v>
      </c>
    </row>
    <row r="46" spans="1:11">
      <c r="A46" s="22" t="str">
        <f>HYPERLINK("https://app.vivvix.com/360/KMI/IntelliDrive/ApplUI/Pages/CreativePages/CustomReportCreativeDetail.aspx?App=23&amp;ReportView=4&amp;Qid=1696098&amp;Row=38&amp;Col=1","Book Now")</f>
        <v/>
      </c>
      <c r="B46" s="0" t="s">
        <v>44</v>
      </c>
      <c r="E46" s="0" t="s">
        <v>12</v>
      </c>
      <c r="F46" s="0" t="s">
        <v>12</v>
      </c>
      <c r="G46" s="0" t="s">
        <v>20</v>
      </c>
      <c r="I46" s="5">
        <v>1640.628000</v>
      </c>
      <c r="J46" s="5">
        <v>11.000000</v>
      </c>
    </row>
    <row r="47" spans="1:11">
      <c r="A47" s="22" t="str">
        <f>HYPERLINK("https://app.vivvix.com/360/KMI/IntelliDrive/ApplUI/Pages/CreativePages/CustomReportCreativeDetail.aspx?App=23&amp;ReportView=4&amp;Qid=1696098&amp;Row=39&amp;Col=1","Book Now")</f>
        <v/>
      </c>
      <c r="B47" s="0" t="s">
        <v>44</v>
      </c>
      <c r="E47" s="0" t="s">
        <v>12</v>
      </c>
      <c r="F47" s="0" t="s">
        <v>12</v>
      </c>
      <c r="G47" s="0" t="s">
        <v>17</v>
      </c>
      <c r="I47" s="5">
        <v>26.575000</v>
      </c>
      <c r="J47" s="5">
        <v>5.000000</v>
      </c>
    </row>
    <row r="48" spans="1:11">
      <c r="A48" s="22" t="str">
        <f>HYPERLINK("https://app.vivvix.com/360/KMI/IntelliDrive/ApplUI/Pages/CreativePages/CustomReportCreativeDetail.aspx?App=23&amp;ReportView=4&amp;Qid=1696098&amp;Row=40&amp;Col=1","Book Now")</f>
        <v/>
      </c>
      <c r="B48" s="0" t="s">
        <v>45</v>
      </c>
      <c r="E48" s="0" t="s">
        <v>12</v>
      </c>
      <c r="F48" s="0" t="s">
        <v>12</v>
      </c>
      <c r="G48" s="0" t="s">
        <v>20</v>
      </c>
      <c r="I48" s="5">
        <v>894.888000</v>
      </c>
      <c r="J48" s="5">
        <v>6.000000</v>
      </c>
    </row>
    <row r="49" spans="1:11">
      <c r="A49" s="22" t="str">
        <f>HYPERLINK("https://app.vivvix.com/360/KMI/IntelliDrive/ApplUI/Pages/CreativePages/CustomReportCreativeDetail.aspx?App=23&amp;ReportView=4&amp;Qid=1696098&amp;Row=41&amp;Col=1","Book Now")</f>
        <v/>
      </c>
      <c r="B49" s="0" t="s">
        <v>45</v>
      </c>
      <c r="E49" s="0" t="s">
        <v>12</v>
      </c>
      <c r="F49" s="0" t="s">
        <v>12</v>
      </c>
      <c r="G49" s="0" t="s">
        <v>17</v>
      </c>
      <c r="I49" s="5">
        <v>5.315000</v>
      </c>
      <c r="J49" s="5">
        <v>1.000000</v>
      </c>
    </row>
    <row r="50" spans="1:11">
      <c r="A50" s="22" t="str">
        <f>HYPERLINK("https://app.vivvix.com/360/KMI/IntelliDrive/ApplUI/Pages/CreativePages/CustomReportCreativeDetail.aspx?App=23&amp;ReportView=4&amp;Qid=1696098&amp;Row=42&amp;Col=1","Book Now")</f>
        <v/>
      </c>
      <c r="B50" s="0" t="s">
        <v>46</v>
      </c>
      <c r="E50" s="0" t="s">
        <v>12</v>
      </c>
      <c r="F50" s="0" t="s">
        <v>12</v>
      </c>
      <c r="G50" s="0" t="s">
        <v>17</v>
      </c>
      <c r="I50" s="5">
        <v>22315.396000</v>
      </c>
      <c r="J50" s="5">
        <v>13.000000</v>
      </c>
    </row>
    <row r="51" spans="1:11">
      <c r="A51" s="22" t="str">
        <f>HYPERLINK("https://app.vivvix.com/360/KMI/IntelliDrive/ApplUI/Pages/CreativePages/CustomReportCreativeDetail.aspx?App=23&amp;ReportView=4&amp;Qid=1696098&amp;Row=43&amp;Col=1","Book Now")</f>
        <v/>
      </c>
      <c r="B51" s="0" t="s">
        <v>47</v>
      </c>
      <c r="C51" s="0" t="s">
        <v>48</v>
      </c>
      <c r="D51" s="0" t="s">
        <v>48</v>
      </c>
      <c r="E51" s="0" t="s">
        <v>12</v>
      </c>
      <c r="F51" s="0" t="s">
        <v>12</v>
      </c>
      <c r="G51" s="0" t="s">
        <v>17</v>
      </c>
      <c r="I51" s="5">
        <v>2540.377000</v>
      </c>
      <c r="J51" s="5">
        <v>383.000000</v>
      </c>
    </row>
    <row r="52" spans="1:11">
      <c r="A52" s="22" t="str">
        <f>HYPERLINK("https://app.vivvix.com/360/KMI/IntelliDrive/ApplUI/Pages/CreativePages/CustomReportCreativeDetail.aspx?App=23&amp;ReportView=4&amp;Qid=1696098&amp;Row=44&amp;Col=1","Book Now")</f>
        <v/>
      </c>
      <c r="B52" s="0" t="s">
        <v>47</v>
      </c>
      <c r="E52" s="0" t="s">
        <v>12</v>
      </c>
      <c r="F52" s="0" t="s">
        <v>12</v>
      </c>
      <c r="G52" s="0" t="s">
        <v>20</v>
      </c>
      <c r="I52" s="5">
        <v>65127.700000</v>
      </c>
      <c r="J52" s="5">
        <v>547.000000</v>
      </c>
    </row>
    <row r="53" spans="1:11">
      <c r="A53" s="22" t="str">
        <f>HYPERLINK("https://app.vivvix.com/360/KMI/IntelliDrive/ApplUI/Pages/CreativePages/CustomReportCreativeDetail.aspx?App=23&amp;ReportView=4&amp;Qid=1696098&amp;Row=45&amp;Col=1","Book Now")</f>
        <v/>
      </c>
      <c r="B53" s="0" t="s">
        <v>49</v>
      </c>
      <c r="E53" s="0" t="s">
        <v>12</v>
      </c>
      <c r="F53" s="0" t="s">
        <v>12</v>
      </c>
      <c r="G53" s="0" t="s">
        <v>17</v>
      </c>
      <c r="I53" s="5">
        <v>2112.626000</v>
      </c>
      <c r="J53" s="5">
        <v>369.000000</v>
      </c>
    </row>
    <row r="54" spans="1:11">
      <c r="A54" s="22" t="str">
        <f>HYPERLINK("https://app.vivvix.com/360/KMI/IntelliDrive/ApplUI/Pages/CreativePages/CustomReportCreativeDetail.aspx?App=23&amp;ReportView=4&amp;Qid=1696098&amp;Row=46&amp;Col=1","Book Now")</f>
        <v/>
      </c>
      <c r="B54" s="0" t="s">
        <v>50</v>
      </c>
      <c r="E54" s="0" t="s">
        <v>12</v>
      </c>
      <c r="F54" s="0" t="s">
        <v>12</v>
      </c>
      <c r="G54" s="0" t="s">
        <v>17</v>
      </c>
      <c r="I54" s="5">
        <v>104.595000</v>
      </c>
      <c r="J54" s="5">
        <v>15.000000</v>
      </c>
    </row>
    <row r="55" spans="1:11">
      <c r="A55" s="22" t="str">
        <f>HYPERLINK("https://app.vivvix.com/360/KMI/IntelliDrive/ApplUI/Pages/CreativePages/CustomReportCreativeDetail.aspx?App=23&amp;ReportView=4&amp;Qid=1696098&amp;Row=47&amp;Col=1","Book Now")</f>
        <v/>
      </c>
      <c r="B55" s="0" t="s">
        <v>50</v>
      </c>
      <c r="E55" s="0" t="s">
        <v>12</v>
      </c>
      <c r="F55" s="0" t="s">
        <v>12</v>
      </c>
      <c r="G55" s="0" t="s">
        <v>20</v>
      </c>
      <c r="I55" s="5">
        <v>646.380000</v>
      </c>
      <c r="J55" s="5">
        <v>6.000000</v>
      </c>
    </row>
    <row r="56" spans="1:11">
      <c r="A56" s="22" t="str">
        <f>HYPERLINK("https://app.vivvix.com/360/KMI/IntelliDrive/ApplUI/Pages/CreativePages/CustomReportCreativeDetail.aspx?App=23&amp;ReportView=4&amp;Qid=1696098&amp;Row=48&amp;Col=1","Book Now")</f>
        <v/>
      </c>
      <c r="B56" s="0" t="s">
        <v>51</v>
      </c>
      <c r="E56" s="0" t="s">
        <v>12</v>
      </c>
      <c r="F56" s="0" t="s">
        <v>12</v>
      </c>
      <c r="G56" s="0" t="s">
        <v>17</v>
      </c>
      <c r="I56" s="5">
        <v>90.649000</v>
      </c>
      <c r="J56" s="5">
        <v>13.000000</v>
      </c>
    </row>
    <row r="57" spans="1:11">
      <c r="A57" s="22" t="str">
        <f>HYPERLINK("https://app.vivvix.com/360/KMI/IntelliDrive/ApplUI/Pages/CreativePages/CustomReportCreativeDetail.aspx?App=23&amp;ReportView=4&amp;Qid=1696098&amp;Row=49&amp;Col=1","Book Now")</f>
        <v/>
      </c>
      <c r="B57" s="0" t="s">
        <v>51</v>
      </c>
      <c r="E57" s="0" t="s">
        <v>12</v>
      </c>
      <c r="F57" s="0" t="s">
        <v>12</v>
      </c>
      <c r="G57" s="0" t="s">
        <v>20</v>
      </c>
      <c r="I57" s="5">
        <v>646.380000</v>
      </c>
      <c r="J57" s="5">
        <v>6.000000</v>
      </c>
    </row>
    <row r="58" spans="1:11">
      <c r="A58" s="22" t="str">
        <f>HYPERLINK("https://app.vivvix.com/360/KMI/IntelliDrive/ApplUI/Pages/CreativePages/CustomReportCreativeDetail.aspx?App=23&amp;ReportView=4&amp;Qid=1696098&amp;Row=50&amp;Col=1","Book Now")</f>
        <v/>
      </c>
      <c r="B58" s="0" t="s">
        <v>52</v>
      </c>
      <c r="E58" s="0" t="s">
        <v>12</v>
      </c>
      <c r="F58" s="0" t="s">
        <v>12</v>
      </c>
      <c r="G58" s="0" t="s">
        <v>20</v>
      </c>
      <c r="I58" s="5">
        <v>323.190000</v>
      </c>
      <c r="J58" s="5">
        <v>3.000000</v>
      </c>
    </row>
    <row r="59" spans="1:11">
      <c r="A59" s="22" t="str">
        <f>HYPERLINK("https://app.vivvix.com/360/KMI/IntelliDrive/ApplUI/Pages/CreativePages/CustomReportCreativeDetail.aspx?App=23&amp;ReportView=4&amp;Qid=1696098&amp;Row=51&amp;Col=1","Book Now")</f>
        <v/>
      </c>
      <c r="B59" s="0" t="s">
        <v>52</v>
      </c>
      <c r="E59" s="0" t="s">
        <v>12</v>
      </c>
      <c r="F59" s="0" t="s">
        <v>12</v>
      </c>
      <c r="G59" s="0" t="s">
        <v>17</v>
      </c>
      <c r="I59" s="5">
        <v>41.838000</v>
      </c>
      <c r="J59" s="5">
        <v>6.000000</v>
      </c>
    </row>
    <row r="60" spans="1:11">
      <c r="A60" s="22" t="str">
        <f>HYPERLINK("https://app.vivvix.com/360/KMI/IntelliDrive/ApplUI/Pages/CreativePages/CustomReportCreativeDetail.aspx?App=23&amp;ReportView=4&amp;Qid=1696098&amp;Row=52&amp;Col=1","Book Now")</f>
        <v/>
      </c>
      <c r="B60" s="0" t="s">
        <v>53</v>
      </c>
      <c r="E60" s="0" t="s">
        <v>12</v>
      </c>
      <c r="F60" s="0" t="s">
        <v>12</v>
      </c>
      <c r="G60" s="0" t="s">
        <v>17</v>
      </c>
      <c r="I60" s="5">
        <v>111531.482000</v>
      </c>
      <c r="J60" s="5">
        <v>911.000000</v>
      </c>
    </row>
    <row r="61" spans="1:11">
      <c r="A61" s="22" t="str">
        <f>HYPERLINK("https://app.vivvix.com/360/KMI/IntelliDrive/ApplUI/Pages/CreativePages/CustomReportCreativeDetail.aspx?App=23&amp;ReportView=4&amp;Qid=1696098&amp;Row=53&amp;Col=1","Book Now")</f>
        <v/>
      </c>
      <c r="B61" s="0" t="s">
        <v>54</v>
      </c>
      <c r="E61" s="0" t="s">
        <v>12</v>
      </c>
      <c r="F61" s="0" t="s">
        <v>12</v>
      </c>
      <c r="G61" s="0" t="s">
        <v>17</v>
      </c>
      <c r="I61" s="5">
        <v>794.382000</v>
      </c>
      <c r="J61" s="5">
        <v>149.000000</v>
      </c>
    </row>
    <row r="62" spans="1:11">
      <c r="A62" s="22" t="str">
        <f>HYPERLINK("https://app.vivvix.com/360/KMI/IntelliDrive/ApplUI/Pages/CreativePages/CustomReportCreativeDetail.aspx?App=23&amp;ReportView=4&amp;Qid=1696098&amp;Row=54&amp;Col=1","Book Now")</f>
        <v/>
      </c>
      <c r="B62" s="0" t="s">
        <v>55</v>
      </c>
      <c r="E62" s="0" t="s">
        <v>12</v>
      </c>
      <c r="F62" s="0" t="s">
        <v>12</v>
      </c>
      <c r="G62" s="0" t="s">
        <v>17</v>
      </c>
      <c r="I62" s="5">
        <v>734.942000</v>
      </c>
      <c r="J62" s="5">
        <v>143.000000</v>
      </c>
    </row>
    <row r="63" spans="1:11">
      <c r="A63" s="22" t="str">
        <f>HYPERLINK("https://app.vivvix.com/360/KMI/IntelliDrive/ApplUI/Pages/CreativePages/CustomReportCreativeDetail.aspx?App=23&amp;ReportView=4&amp;Qid=1696098&amp;Row=55&amp;Col=1","Book Now")</f>
        <v/>
      </c>
      <c r="B63" s="0" t="s">
        <v>56</v>
      </c>
      <c r="E63" s="0" t="s">
        <v>12</v>
      </c>
      <c r="F63" s="0" t="s">
        <v>12</v>
      </c>
      <c r="G63" s="0" t="s">
        <v>17</v>
      </c>
      <c r="I63" s="5">
        <v>102.914000</v>
      </c>
      <c r="J63" s="5">
        <v>10.000000</v>
      </c>
    </row>
    <row r="64" spans="1:11">
      <c r="A64" s="22" t="str">
        <f>HYPERLINK("https://app.vivvix.com/360/KMI/IntelliDrive/ApplUI/Pages/CreativePages/CustomReportCreativeDetail.aspx?App=23&amp;ReportView=4&amp;Qid=1696098&amp;Row=56&amp;Col=1","Book Now")</f>
        <v/>
      </c>
      <c r="B64" s="0" t="s">
        <v>57</v>
      </c>
      <c r="E64" s="0" t="s">
        <v>12</v>
      </c>
      <c r="F64" s="0" t="s">
        <v>12</v>
      </c>
      <c r="G64" s="0" t="s">
        <v>17</v>
      </c>
      <c r="I64" s="5">
        <v>43.196000</v>
      </c>
      <c r="J64" s="5">
        <v>4.000000</v>
      </c>
    </row>
    <row r="65" spans="1:11">
      <c r="A65" s="22" t="str">
        <f>HYPERLINK("https://app.vivvix.com/360/KMI/IntelliDrive/ApplUI/Pages/CreativePages/CustomReportCreativeDetail.aspx?App=23&amp;ReportView=4&amp;Qid=1696098&amp;Row=57&amp;Col=1","Book Now")</f>
        <v/>
      </c>
      <c r="B65" s="0" t="s">
        <v>58</v>
      </c>
      <c r="E65" s="0" t="s">
        <v>12</v>
      </c>
      <c r="F65" s="0" t="s">
        <v>12</v>
      </c>
      <c r="G65" s="0" t="s">
        <v>20</v>
      </c>
      <c r="I65" s="5">
        <v>596002.496000</v>
      </c>
      <c r="J65" s="5">
        <v>6233.000000</v>
      </c>
    </row>
    <row r="66" spans="1:11">
      <c r="A66" s="22" t="str">
        <f>HYPERLINK("https://app.vivvix.com/360/KMI/IntelliDrive/ApplUI/Pages/CreativePages/CustomReportCreativeDetail.aspx?App=23&amp;ReportView=4&amp;Qid=1696098&amp;Row=58&amp;Col=1","Book Now")</f>
        <v/>
      </c>
      <c r="B66" s="0" t="s">
        <v>58</v>
      </c>
      <c r="E66" s="0" t="s">
        <v>12</v>
      </c>
      <c r="F66" s="0" t="s">
        <v>12</v>
      </c>
      <c r="G66" s="0" t="s">
        <v>17</v>
      </c>
      <c r="I66" s="5">
        <v>69648.420000</v>
      </c>
      <c r="J66" s="5">
        <v>17803.000000</v>
      </c>
    </row>
    <row r="67" spans="1:11">
      <c r="A67" s="22" t="str">
        <f>HYPERLINK("https://app.vivvix.com/360/KMI/IntelliDrive/ApplUI/Pages/CreativePages/CustomReportCreativeDetail.aspx?App=23&amp;ReportView=4&amp;Qid=1696098&amp;Row=59&amp;Col=1","Book Now")</f>
        <v/>
      </c>
      <c r="B67" s="0" t="s">
        <v>59</v>
      </c>
      <c r="E67" s="0" t="s">
        <v>12</v>
      </c>
      <c r="F67" s="0" t="s">
        <v>12</v>
      </c>
      <c r="G67" s="0" t="s">
        <v>17</v>
      </c>
      <c r="I67" s="5">
        <v>30488.220000</v>
      </c>
      <c r="J67" s="5">
        <v>3554.000000</v>
      </c>
    </row>
    <row r="68" spans="1:11">
      <c r="A68" s="22" t="str">
        <f>HYPERLINK("https://app.vivvix.com/360/KMI/IntelliDrive/ApplUI/Pages/CreativePages/CustomReportCreativeDetail.aspx?App=23&amp;ReportView=4&amp;Qid=1696098&amp;Row=60&amp;Col=1","Book Now")</f>
        <v/>
      </c>
      <c r="B68" s="0" t="s">
        <v>59</v>
      </c>
      <c r="E68" s="0" t="s">
        <v>12</v>
      </c>
      <c r="F68" s="0" t="s">
        <v>12</v>
      </c>
      <c r="G68" s="0" t="s">
        <v>20</v>
      </c>
      <c r="I68" s="5">
        <v>456793.865000</v>
      </c>
      <c r="J68" s="5">
        <v>4738.000000</v>
      </c>
    </row>
    <row r="69" spans="1:11">
      <c r="A69" s="22" t="str">
        <f>HYPERLINK("https://app.vivvix.com/360/KMI/IntelliDrive/ApplUI/Pages/CreativePages/CustomReportCreativeDetail.aspx?App=23&amp;ReportView=4&amp;Qid=1696098&amp;Row=61&amp;Col=1","Book Now")</f>
        <v/>
      </c>
      <c r="B69" s="0" t="s">
        <v>60</v>
      </c>
      <c r="C69" s="0" t="s">
        <v>61</v>
      </c>
      <c r="D69" s="0" t="s">
        <v>61</v>
      </c>
      <c r="E69" s="0" t="s">
        <v>12</v>
      </c>
      <c r="F69" s="0" t="s">
        <v>12</v>
      </c>
      <c r="G69" s="0" t="s">
        <v>17</v>
      </c>
      <c r="I69" s="5">
        <v>506.412000</v>
      </c>
      <c r="J69" s="5">
        <v>133.000000</v>
      </c>
    </row>
    <row r="70" spans="1:11">
      <c r="A70" s="22" t="str">
        <f>HYPERLINK("https://app.vivvix.com/360/KMI/IntelliDrive/ApplUI/Pages/CreativePages/CustomReportCreativeDetail.aspx?App=23&amp;ReportView=4&amp;Qid=1696098&amp;Row=62&amp;Col=1","Book Now (15 Sec., L/A Change)")</f>
        <v/>
      </c>
      <c r="B70" s="0" t="s">
        <v>62</v>
      </c>
      <c r="E70" s="0" t="s">
        <v>12</v>
      </c>
      <c r="F70" s="0" t="s">
        <v>12</v>
      </c>
      <c r="G70" s="0" t="s">
        <v>17</v>
      </c>
      <c r="I70" s="5">
        <v>327855.935000</v>
      </c>
      <c r="J70" s="5">
        <v>1121.000000</v>
      </c>
    </row>
    <row r="71" spans="1:11">
      <c r="A71" s="22" t="str">
        <f>HYPERLINK("https://app.vivvix.com/360/KMI/IntelliDrive/ApplUI/Pages/CreativePages/CustomReportCreativeDetail.aspx?App=23&amp;ReportView=4&amp;Qid=1696098&amp;Row=63&amp;Col=1","Book Now (Audio Change/Visual Change)")</f>
        <v/>
      </c>
      <c r="B71" s="0" t="s">
        <v>63</v>
      </c>
      <c r="E71" s="0" t="s">
        <v>12</v>
      </c>
      <c r="F71" s="0" t="s">
        <v>12</v>
      </c>
      <c r="G71" s="0" t="s">
        <v>17</v>
      </c>
      <c r="I71" s="5">
        <v>1183.979000</v>
      </c>
      <c r="J71" s="5">
        <v>180.000000</v>
      </c>
    </row>
    <row r="72" spans="1:11">
      <c r="A72" s="22" t="str">
        <f>HYPERLINK("https://app.vivvix.com/360/KMI/IntelliDrive/ApplUI/Pages/CreativePages/CustomReportCreativeDetail.aspx?App=23&amp;ReportView=4&amp;Qid=1696098&amp;Row=64&amp;Col=1","Book Now (Audio Change/Visual Change)")</f>
        <v/>
      </c>
      <c r="B72" s="0" t="s">
        <v>63</v>
      </c>
      <c r="E72" s="0" t="s">
        <v>12</v>
      </c>
      <c r="F72" s="0" t="s">
        <v>12</v>
      </c>
      <c r="G72" s="0" t="s">
        <v>20</v>
      </c>
      <c r="I72" s="5">
        <v>17901.335000</v>
      </c>
      <c r="J72" s="5">
        <v>154.000000</v>
      </c>
    </row>
    <row r="73" spans="1:11">
      <c r="A73" s="22" t="str">
        <f>HYPERLINK("https://app.vivvix.com/360/KMI/IntelliDrive/ApplUI/Pages/CreativePages/CustomReportCreativeDetail.aspx?App=23&amp;ReportView=4&amp;Qid=1696098&amp;Row=65&amp;Col=1","Book Now (LV Change)")</f>
        <v/>
      </c>
      <c r="B73" s="0" t="s">
        <v>64</v>
      </c>
      <c r="E73" s="0" t="s">
        <v>12</v>
      </c>
      <c r="F73" s="0" t="s">
        <v>12</v>
      </c>
      <c r="G73" s="0" t="s">
        <v>20</v>
      </c>
      <c r="I73" s="5">
        <v>230741.956000</v>
      </c>
      <c r="J73" s="5">
        <v>207.000000</v>
      </c>
    </row>
    <row r="74" spans="1:11">
      <c r="A74" s="22" t="str">
        <f>HYPERLINK("https://app.vivvix.com/360/KMI/IntelliDrive/ApplUI/Pages/CreativePages/CustomReportCreativeDetail.aspx?App=23&amp;ReportView=4&amp;Qid=1696098&amp;Row=66&amp;Col=1","Book Now (LV Change)")</f>
        <v/>
      </c>
      <c r="B74" s="0" t="s">
        <v>64</v>
      </c>
      <c r="E74" s="0" t="s">
        <v>12</v>
      </c>
      <c r="F74" s="0" t="s">
        <v>12</v>
      </c>
      <c r="G74" s="0" t="s">
        <v>17</v>
      </c>
      <c r="I74" s="5">
        <v>139046.696000</v>
      </c>
      <c r="J74" s="5">
        <v>134.000000</v>
      </c>
    </row>
    <row r="75" spans="1:11">
      <c r="A75" s="22" t="str">
        <f>HYPERLINK("https://app.vivvix.com/360/KMI/IntelliDrive/ApplUI/Pages/CreativePages/CustomReportCreativeDetail.aspx?App=23&amp;ReportView=4&amp;Qid=1696098&amp;Row=67&amp;Col=1","Book Now (LV/Visual/Audio Change)")</f>
        <v/>
      </c>
      <c r="B75" s="0" t="s">
        <v>65</v>
      </c>
      <c r="E75" s="0" t="s">
        <v>12</v>
      </c>
      <c r="F75" s="0" t="s">
        <v>12</v>
      </c>
      <c r="G75" s="0" t="s">
        <v>20</v>
      </c>
      <c r="I75" s="5">
        <v>65155.855000</v>
      </c>
      <c r="J75" s="5">
        <v>570.000000</v>
      </c>
    </row>
    <row r="76" spans="1:11">
      <c r="A76" s="22" t="str">
        <f>HYPERLINK("https://app.vivvix.com/360/KMI/IntelliDrive/ApplUI/Pages/CreativePages/CustomReportCreativeDetail.aspx?App=23&amp;ReportView=4&amp;Qid=1696098&amp;Row=68&amp;Col=1","Book Now (LV/Visual/Audio Change)")</f>
        <v/>
      </c>
      <c r="B76" s="0" t="s">
        <v>65</v>
      </c>
      <c r="C76" s="0" t="s">
        <v>66</v>
      </c>
      <c r="D76" s="0" t="s">
        <v>66</v>
      </c>
      <c r="E76" s="0" t="s">
        <v>12</v>
      </c>
      <c r="F76" s="0" t="s">
        <v>12</v>
      </c>
      <c r="G76" s="0" t="s">
        <v>17</v>
      </c>
      <c r="I76" s="5">
        <v>1901.438000</v>
      </c>
      <c r="J76" s="5">
        <v>319.000000</v>
      </c>
    </row>
    <row r="77" spans="1:11">
      <c r="A77" s="22" t="str">
        <f>HYPERLINK("https://app.vivvix.com/360/KMI/IntelliDrive/ApplUI/Pages/CreativePages/CustomReportCreativeDetail.aspx?App=23&amp;ReportView=4&amp;Qid=1696098&amp;Row=69&amp;Col=1","Book Now (Subtitles Omitted)")</f>
        <v/>
      </c>
      <c r="B77" s="0" t="s">
        <v>67</v>
      </c>
      <c r="E77" s="0" t="s">
        <v>12</v>
      </c>
      <c r="F77" s="0" t="s">
        <v>12</v>
      </c>
      <c r="G77" s="0" t="s">
        <v>17</v>
      </c>
      <c r="I77" s="5">
        <v>383.907000</v>
      </c>
      <c r="J77" s="5">
        <v>2.000000</v>
      </c>
    </row>
    <row r="78" spans="1:11">
      <c r="A78" s="22" t="str">
        <f>HYPERLINK("https://app.vivvix.com/360/KMI/IntelliDrive/ApplUI/Pages/CreativePages/CustomReportCreativeDetail.aspx?App=23&amp;ReportView=4&amp;Qid=1696098&amp;Row=70&amp;Col=1","Book Now (V/o/Text Added)")</f>
        <v/>
      </c>
      <c r="B78" s="0" t="s">
        <v>68</v>
      </c>
      <c r="C78" s="0" t="s">
        <v>69</v>
      </c>
      <c r="D78" s="0" t="s">
        <v>69</v>
      </c>
      <c r="E78" s="0" t="s">
        <v>12</v>
      </c>
      <c r="F78" s="0" t="s">
        <v>12</v>
      </c>
      <c r="G78" s="0" t="s">
        <v>17</v>
      </c>
      <c r="I78" s="5">
        <v>190309.419000</v>
      </c>
      <c r="J78" s="5">
        <v>1590.000000</v>
      </c>
    </row>
    <row r="79" spans="1:11">
      <c r="A79" s="22" t="str">
        <f>HYPERLINK("https://app.vivvix.com/360/KMI/IntelliDrive/ApplUI/Pages/CreativePages/CustomReportCreativeDetail.aspx?App=23&amp;ReportView=4&amp;Qid=1696098&amp;Row=71&amp;Col=1","Book Now (V/o/Text Added)")</f>
        <v/>
      </c>
      <c r="B79" s="0" t="s">
        <v>68</v>
      </c>
      <c r="E79" s="0" t="s">
        <v>12</v>
      </c>
      <c r="F79" s="0" t="s">
        <v>12</v>
      </c>
      <c r="G79" s="0" t="s">
        <v>20</v>
      </c>
      <c r="I79" s="5">
        <v>332698.216000</v>
      </c>
      <c r="J79" s="5">
        <v>34.000000</v>
      </c>
    </row>
    <row r="80" spans="1:11">
      <c r="A80" s="22" t="str">
        <f>HYPERLINK("https://app.vivvix.com/360/KMI/IntelliDrive/ApplUI/Pages/CreativePages/CustomReportCreativeDetail.aspx?App=23&amp;ReportView=4&amp;Qid=1696098&amp;Row=72&amp;Col=1","Book Now (V/o/Text Added)")</f>
        <v/>
      </c>
      <c r="B80" s="0" t="s">
        <v>70</v>
      </c>
      <c r="C80" s="0" t="s">
        <v>71</v>
      </c>
      <c r="D80" s="0" t="s">
        <v>71</v>
      </c>
      <c r="E80" s="0" t="s">
        <v>12</v>
      </c>
      <c r="F80" s="0" t="s">
        <v>12</v>
      </c>
      <c r="G80" s="0" t="s">
        <v>17</v>
      </c>
      <c r="I80" s="5">
        <v>163134.456000</v>
      </c>
      <c r="J80" s="5">
        <v>1617.000000</v>
      </c>
    </row>
    <row r="81" spans="1:11">
      <c r="A81" s="22" t="str">
        <f>HYPERLINK("https://app.vivvix.com/360/KMI/IntelliDrive/ApplUI/Pages/CreativePages/CustomReportCreativeDetail.aspx?App=23&amp;ReportView=4&amp;Qid=1696098&amp;Row=73&amp;Col=1","Book Now (V/o/Text Added)")</f>
        <v/>
      </c>
      <c r="B81" s="0" t="s">
        <v>70</v>
      </c>
      <c r="E81" s="0" t="s">
        <v>12</v>
      </c>
      <c r="F81" s="0" t="s">
        <v>12</v>
      </c>
      <c r="G81" s="0" t="s">
        <v>20</v>
      </c>
      <c r="I81" s="5">
        <v>632.258000</v>
      </c>
      <c r="J81" s="5">
        <v>29.000000</v>
      </c>
    </row>
    <row r="82" spans="1:11">
      <c r="A82" s="22" t="str">
        <f>HYPERLINK("https://app.vivvix.com/360/KMI/IntelliDrive/ApplUI/Pages/CreativePages/CustomReportCreativeDetail.aspx?App=23&amp;ReportView=4&amp;Qid=1696098&amp;Row=74&amp;Col=1","Book Today")</f>
        <v/>
      </c>
      <c r="B82" s="0" t="s">
        <v>72</v>
      </c>
      <c r="E82" s="0" t="s">
        <v>12</v>
      </c>
      <c r="F82" s="0" t="s">
        <v>12</v>
      </c>
      <c r="G82" s="0" t="s">
        <v>17</v>
      </c>
      <c r="I82" s="5">
        <v>119.210000</v>
      </c>
      <c r="J82" s="5">
        <v>13.000000</v>
      </c>
    </row>
    <row r="83" spans="1:11">
      <c r="A83" s="22" t="str">
        <f>HYPERLINK("https://app.vivvix.com/360/KMI/IntelliDrive/ApplUI/Pages/CreativePages/CustomReportCreativeDetail.aspx?App=23&amp;ReportView=4&amp;Qid=1696098&amp;Row=75&amp;Col=1","Book Today")</f>
        <v/>
      </c>
      <c r="B83" s="0" t="s">
        <v>73</v>
      </c>
      <c r="E83" s="0" t="s">
        <v>12</v>
      </c>
      <c r="F83" s="0" t="s">
        <v>12</v>
      </c>
      <c r="G83" s="0" t="s">
        <v>20</v>
      </c>
      <c r="I83" s="5">
        <v>304731.205000</v>
      </c>
      <c r="J83" s="5">
        <v>3168.000000</v>
      </c>
    </row>
    <row r="84" spans="1:11">
      <c r="A84" s="22" t="str">
        <f>HYPERLINK("https://app.vivvix.com/360/KMI/IntelliDrive/ApplUI/Pages/CreativePages/CustomReportCreativeDetail.aspx?App=23&amp;ReportView=4&amp;Qid=1696098&amp;Row=76&amp;Col=1","Book Today")</f>
        <v/>
      </c>
      <c r="B84" s="0" t="s">
        <v>73</v>
      </c>
      <c r="E84" s="0" t="s">
        <v>12</v>
      </c>
      <c r="F84" s="0" t="s">
        <v>12</v>
      </c>
      <c r="G84" s="0" t="s">
        <v>17</v>
      </c>
      <c r="I84" s="5">
        <v>9873.160000</v>
      </c>
      <c r="J84" s="5">
        <v>2533.000000</v>
      </c>
    </row>
    <row r="85" spans="1:11">
      <c r="A85" s="22" t="str">
        <f>HYPERLINK("https://app.vivvix.com/360/KMI/IntelliDrive/ApplUI/Pages/CreativePages/CustomReportCreativeDetail.aspx?App=23&amp;ReportView=4&amp;Qid=1696098&amp;Row=77&amp;Col=1","Book Waterfront Hotel")</f>
        <v/>
      </c>
      <c r="B85" s="0" t="s">
        <v>74</v>
      </c>
      <c r="C85" s="0" t="s">
        <v>75</v>
      </c>
      <c r="D85" s="0" t="s">
        <v>75</v>
      </c>
      <c r="E85" s="0" t="s">
        <v>12</v>
      </c>
      <c r="F85" s="0" t="s">
        <v>12</v>
      </c>
      <c r="G85" s="0" t="s">
        <v>15</v>
      </c>
      <c r="I85" s="5">
        <v>24876.000000</v>
      </c>
      <c r="J85" s="5">
        <v>98.000000</v>
      </c>
    </row>
    <row r="86" spans="1:11">
      <c r="A86" s="22" t="str">
        <f>HYPERLINK("https://app.vivvix.com/360/KMI/IntelliDrive/ApplUI/Pages/CreativePages/CustomReportCreativeDetail.aspx?App=23&amp;ReportView=4&amp;Qid=1696098&amp;Row=78&amp;Col=1","Book Waterfront Hotel")</f>
        <v/>
      </c>
      <c r="B86" s="0" t="s">
        <v>74</v>
      </c>
      <c r="C86" s="0" t="s">
        <v>75</v>
      </c>
      <c r="D86" s="0" t="s">
        <v>75</v>
      </c>
      <c r="E86" s="0" t="s">
        <v>12</v>
      </c>
      <c r="F86" s="0" t="s">
        <v>12</v>
      </c>
      <c r="G86" s="0" t="s">
        <v>13</v>
      </c>
      <c r="I86" s="5">
        <v>555105.000000</v>
      </c>
      <c r="J86" s="5">
        <v>212.000000</v>
      </c>
    </row>
    <row r="87" spans="1:11">
      <c r="A87" s="22" t="str">
        <f>HYPERLINK("https://app.vivvix.com/360/KMI/IntelliDrive/ApplUI/Pages/CreativePages/CustomReportCreativeDetail.aspx?App=23&amp;ReportView=4&amp;Qid=1696098&amp;Row=79&amp;Col=1","Book Waterfront Hotel")</f>
        <v/>
      </c>
      <c r="B87" s="0" t="s">
        <v>74</v>
      </c>
      <c r="C87" s="0" t="s">
        <v>75</v>
      </c>
      <c r="D87" s="0" t="s">
        <v>75</v>
      </c>
      <c r="E87" s="0" t="s">
        <v>12</v>
      </c>
      <c r="F87" s="0" t="s">
        <v>12</v>
      </c>
      <c r="G87" s="0" t="s">
        <v>14</v>
      </c>
      <c r="I87" s="5">
        <v>967416.000000</v>
      </c>
      <c r="J87" s="5">
        <v>26.000000</v>
      </c>
    </row>
    <row r="88" spans="1:11">
      <c r="A88" s="22" t="str">
        <f>HYPERLINK("https://app.vivvix.com/360/KMI/IntelliDrive/ApplUI/Pages/CreativePages/CustomReportCreativeDetail.aspx?App=23&amp;ReportView=4&amp;Qid=1696098&amp;Row=80&amp;Col=1","Book What You Want")</f>
        <v/>
      </c>
      <c r="B88" s="0" t="s">
        <v>76</v>
      </c>
      <c r="C88" s="0" t="s">
        <v>77</v>
      </c>
      <c r="D88" s="0" t="s">
        <v>77</v>
      </c>
      <c r="E88" s="0" t="s">
        <v>12</v>
      </c>
      <c r="F88" s="0" t="s">
        <v>12</v>
      </c>
      <c r="G88" s="0" t="s">
        <v>17</v>
      </c>
      <c r="I88" s="5">
        <v>38422.608000</v>
      </c>
      <c r="J88" s="5">
        <v>7932.000000</v>
      </c>
    </row>
    <row r="89" spans="1:11">
      <c r="A89" s="22" t="str">
        <f>HYPERLINK("https://app.vivvix.com/360/KMI/IntelliDrive/ApplUI/Pages/CreativePages/CustomReportCreativeDetail.aspx?App=23&amp;ReportView=4&amp;Qid=1696098&amp;Row=81&amp;Col=1","Book What You Want")</f>
        <v/>
      </c>
      <c r="B89" s="0" t="s">
        <v>76</v>
      </c>
      <c r="E89" s="0" t="s">
        <v>12</v>
      </c>
      <c r="F89" s="0" t="s">
        <v>12</v>
      </c>
      <c r="G89" s="0" t="s">
        <v>20</v>
      </c>
      <c r="I89" s="5">
        <v>159799.920000</v>
      </c>
      <c r="J89" s="5">
        <v>1168.000000</v>
      </c>
    </row>
    <row r="90" spans="1:11">
      <c r="A90" s="22" t="str">
        <f>HYPERLINK("https://app.vivvix.com/360/KMI/IntelliDrive/ApplUI/Pages/CreativePages/CustomReportCreativeDetail.aspx?App=23&amp;ReportView=4&amp;Qid=1696098&amp;Row=82&amp;Col=1","Book Whoever You Want To Be")</f>
        <v/>
      </c>
      <c r="B90" s="0" t="s">
        <v>78</v>
      </c>
      <c r="C90" s="0" t="s">
        <v>79</v>
      </c>
      <c r="D90" s="0" t="s">
        <v>79</v>
      </c>
      <c r="E90" s="0" t="s">
        <v>12</v>
      </c>
      <c r="F90" s="0" t="s">
        <v>12</v>
      </c>
      <c r="G90" s="0" t="s">
        <v>13</v>
      </c>
      <c r="I90" s="5">
        <v>1000053.000000</v>
      </c>
      <c r="J90" s="5">
        <v>455.000000</v>
      </c>
    </row>
    <row r="91" spans="1:11">
      <c r="A91" s="22" t="str">
        <f>HYPERLINK("https://app.vivvix.com/360/KMI/IntelliDrive/ApplUI/Pages/CreativePages/CustomReportCreativeDetail.aspx?App=23&amp;ReportView=4&amp;Qid=1696098&amp;Row=83&amp;Col=1","Book Whoever You Want To Be")</f>
        <v/>
      </c>
      <c r="B91" s="0" t="s">
        <v>78</v>
      </c>
      <c r="C91" s="0" t="s">
        <v>79</v>
      </c>
      <c r="D91" s="0" t="s">
        <v>79</v>
      </c>
      <c r="E91" s="0" t="s">
        <v>12</v>
      </c>
      <c r="F91" s="0" t="s">
        <v>12</v>
      </c>
      <c r="G91" s="0" t="s">
        <v>15</v>
      </c>
      <c r="I91" s="5">
        <v>1852.000000</v>
      </c>
      <c r="J91" s="5">
        <v>8.000000</v>
      </c>
    </row>
    <row r="92" spans="1:11">
      <c r="A92" s="22" t="str">
        <f>HYPERLINK("https://app.vivvix.com/360/KMI/IntelliDrive/ApplUI/Pages/CreativePages/CustomReportCreativeDetail.aspx?App=23&amp;ReportView=4&amp;Qid=1696098&amp;Row=84&amp;Col=1","Book Whoever You Want To Be")</f>
        <v/>
      </c>
      <c r="B92" s="0" t="s">
        <v>78</v>
      </c>
      <c r="C92" s="0" t="s">
        <v>79</v>
      </c>
      <c r="D92" s="0" t="s">
        <v>79</v>
      </c>
      <c r="E92" s="0" t="s">
        <v>12</v>
      </c>
      <c r="F92" s="0" t="s">
        <v>12</v>
      </c>
      <c r="G92" s="0" t="s">
        <v>14</v>
      </c>
      <c r="I92" s="5">
        <v>270418.000000</v>
      </c>
      <c r="J92" s="5">
        <v>28.000000</v>
      </c>
    </row>
    <row r="93" spans="1:11">
      <c r="A93" s="22" t="str">
        <f>HYPERLINK("https://app.vivvix.com/360/KMI/IntelliDrive/ApplUI/Pages/CreativePages/CustomReportCreativeDetail.aspx?App=23&amp;ReportView=4&amp;Qid=1696098&amp;Row=85&amp;Col=1","Book Whoever You Want To Be")</f>
        <v/>
      </c>
      <c r="B93" s="0" t="s">
        <v>80</v>
      </c>
      <c r="E93" s="0" t="s">
        <v>12</v>
      </c>
      <c r="F93" s="0" t="s">
        <v>12</v>
      </c>
      <c r="G93" s="0" t="s">
        <v>17</v>
      </c>
      <c r="I93" s="5">
        <v>3228.318000</v>
      </c>
      <c r="J93" s="5">
        <v>11.000000</v>
      </c>
    </row>
    <row r="94" spans="1:11">
      <c r="A94" s="22" t="str">
        <f>HYPERLINK("https://app.vivvix.com/360/KMI/IntelliDrive/ApplUI/Pages/CreativePages/CustomReportCreativeDetail.aspx?App=23&amp;ReportView=4&amp;Qid=1696098&amp;Row=86&amp;Col=1","Book Whoever You Want To Be")</f>
        <v/>
      </c>
      <c r="B94" s="0" t="s">
        <v>81</v>
      </c>
      <c r="E94" s="0" t="s">
        <v>12</v>
      </c>
      <c r="F94" s="0" t="s">
        <v>12</v>
      </c>
      <c r="G94" s="0" t="s">
        <v>17</v>
      </c>
      <c r="I94" s="5">
        <v>20132.319000</v>
      </c>
      <c r="J94" s="5">
        <v>33.000000</v>
      </c>
    </row>
    <row r="95" spans="1:11">
      <c r="A95" s="22" t="str">
        <f>HYPERLINK("https://app.vivvix.com/360/KMI/IntelliDrive/ApplUI/Pages/CreativePages/CustomReportCreativeDetail.aspx?App=23&amp;ReportView=4&amp;Qid=1696098&amp;Row=87&amp;Col=1","Book Whoever You Want To Be")</f>
        <v/>
      </c>
      <c r="B95" s="0" t="s">
        <v>82</v>
      </c>
      <c r="E95" s="0" t="s">
        <v>12</v>
      </c>
      <c r="F95" s="0" t="s">
        <v>12</v>
      </c>
      <c r="G95" s="0" t="s">
        <v>17</v>
      </c>
      <c r="I95" s="5">
        <v>1377.276000</v>
      </c>
      <c r="J95" s="5">
        <v>1.000000</v>
      </c>
    </row>
    <row r="96" spans="1:11">
      <c r="A96" s="22" t="str">
        <f>HYPERLINK("https://app.vivvix.com/360/KMI/IntelliDrive/ApplUI/Pages/CreativePages/CustomReportCreativeDetail.aspx?App=23&amp;ReportView=4&amp;Qid=1696098&amp;Row=88&amp;Col=1","Book Whoever You Want To Be")</f>
        <v/>
      </c>
      <c r="B96" s="0" t="s">
        <v>83</v>
      </c>
      <c r="E96" s="0" t="s">
        <v>12</v>
      </c>
      <c r="F96" s="0" t="s">
        <v>12</v>
      </c>
      <c r="G96" s="0" t="s">
        <v>17</v>
      </c>
      <c r="I96" s="5">
        <v>4936.003000</v>
      </c>
      <c r="J96" s="5">
        <v>35.000000</v>
      </c>
    </row>
    <row r="97" spans="1:11">
      <c r="A97" s="22" t="str">
        <f>HYPERLINK("https://app.vivvix.com/360/KMI/IntelliDrive/ApplUI/Pages/CreativePages/CustomReportCreativeDetail.aspx?App=23&amp;ReportView=4&amp;Qid=1696098&amp;Row=89&amp;Col=1","Book Whoever You Want To Be (15 secs)")</f>
        <v/>
      </c>
      <c r="B97" s="0" t="s">
        <v>84</v>
      </c>
      <c r="E97" s="0" t="s">
        <v>12</v>
      </c>
      <c r="F97" s="0" t="s">
        <v>12</v>
      </c>
      <c r="G97" s="0" t="s">
        <v>17</v>
      </c>
      <c r="I97" s="5">
        <v>1689129.442000</v>
      </c>
      <c r="J97" s="5">
        <v>205932.000000</v>
      </c>
    </row>
    <row r="98" spans="1:11">
      <c r="A98" s="22" t="str">
        <f>HYPERLINK("https://app.vivvix.com/360/KMI/IntelliDrive/ApplUI/Pages/CreativePages/CustomReportCreativeDetail.aspx?App=23&amp;ReportView=4&amp;Qid=1696098&amp;Row=90&amp;Col=1","Book Whoever You Want To Be (15 secs)")</f>
        <v/>
      </c>
      <c r="B98" s="0" t="s">
        <v>84</v>
      </c>
      <c r="E98" s="0" t="s">
        <v>12</v>
      </c>
      <c r="F98" s="0" t="s">
        <v>12</v>
      </c>
      <c r="G98" s="0" t="s">
        <v>20</v>
      </c>
      <c r="I98" s="5">
        <v>19161209.258000</v>
      </c>
      <c r="J98" s="5">
        <v>138445.000000</v>
      </c>
    </row>
    <row r="99" spans="1:11">
      <c r="A99" s="22" t="str">
        <f>HYPERLINK("https://app.vivvix.com/360/KMI/IntelliDrive/ApplUI/Pages/CreativePages/CustomReportCreativeDetail.aspx?App=23&amp;ReportView=4&amp;Qid=1696098&amp;Row=91&amp;Col=1","Book Whoever You Want To Be (15 secs)")</f>
        <v/>
      </c>
      <c r="B99" s="0" t="s">
        <v>85</v>
      </c>
      <c r="E99" s="0" t="s">
        <v>12</v>
      </c>
      <c r="F99" s="0" t="s">
        <v>12</v>
      </c>
      <c r="G99" s="0" t="s">
        <v>17</v>
      </c>
      <c r="I99" s="5">
        <v>2431.790000</v>
      </c>
      <c r="J99" s="5">
        <v>439.000000</v>
      </c>
    </row>
    <row r="100" spans="1:11">
      <c r="A100" s="22" t="str">
        <f>HYPERLINK("https://app.vivvix.com/360/KMI/IntelliDrive/ApplUI/Pages/CreativePages/CustomReportCreativeDetail.aspx?App=23&amp;ReportView=4&amp;Qid=1696098&amp;Row=92&amp;Col=1","Book Whoever You Want To Be (L/V Change)")</f>
        <v/>
      </c>
      <c r="B100" s="0" t="s">
        <v>86</v>
      </c>
      <c r="E100" s="0" t="s">
        <v>12</v>
      </c>
      <c r="F100" s="0" t="s">
        <v>12</v>
      </c>
      <c r="G100" s="0" t="s">
        <v>17</v>
      </c>
      <c r="I100" s="5">
        <v>173946.493000</v>
      </c>
      <c r="J100" s="5">
        <v>27263.000000</v>
      </c>
    </row>
    <row r="101" spans="1:11">
      <c r="A101" s="22" t="str">
        <f>HYPERLINK("https://app.vivvix.com/360/KMI/IntelliDrive/ApplUI/Pages/CreativePages/CustomReportCreativeDetail.aspx?App=23&amp;ReportView=4&amp;Qid=1696098&amp;Row=93&amp;Col=1","Book Whoever You Want To Be (L/V Change)")</f>
        <v/>
      </c>
      <c r="B101" s="0" t="s">
        <v>86</v>
      </c>
      <c r="E101" s="0" t="s">
        <v>12</v>
      </c>
      <c r="F101" s="0" t="s">
        <v>12</v>
      </c>
      <c r="G101" s="0" t="s">
        <v>20</v>
      </c>
      <c r="I101" s="5">
        <v>3086030.041000</v>
      </c>
      <c r="J101" s="5">
        <v>23886.000000</v>
      </c>
    </row>
    <row r="102" spans="1:11">
      <c r="A102" s="22" t="str">
        <f>HYPERLINK("https://app.vivvix.com/360/KMI/IntelliDrive/ApplUI/Pages/CreativePages/CustomReportCreativeDetail.aspx?App=23&amp;ReportView=4&amp;Qid=1696098&amp;Row=94&amp;Col=1","Book Whoever You Want To Be (L/V Change)")</f>
        <v/>
      </c>
      <c r="B102" s="0" t="s">
        <v>87</v>
      </c>
      <c r="E102" s="0" t="s">
        <v>12</v>
      </c>
      <c r="F102" s="0" t="s">
        <v>12</v>
      </c>
      <c r="G102" s="0" t="s">
        <v>17</v>
      </c>
      <c r="I102" s="5">
        <v>53658.896000</v>
      </c>
      <c r="J102" s="5">
        <v>57.000000</v>
      </c>
    </row>
    <row r="103" spans="1:11">
      <c r="A103" s="22" t="str">
        <f>HYPERLINK("https://app.vivvix.com/360/KMI/IntelliDrive/ApplUI/Pages/CreativePages/CustomReportCreativeDetail.aspx?App=23&amp;ReportView=4&amp;Qid=1696098&amp;Row=95&amp;Col=1","Book Whoever You Want To Be (L/V Change)")</f>
        <v/>
      </c>
      <c r="B103" s="0" t="s">
        <v>87</v>
      </c>
      <c r="E103" s="0" t="s">
        <v>12</v>
      </c>
      <c r="F103" s="0" t="s">
        <v>12</v>
      </c>
      <c r="G103" s="0" t="s">
        <v>20</v>
      </c>
      <c r="I103" s="5">
        <v>182805.519000</v>
      </c>
      <c r="J103" s="5">
        <v>2.000000</v>
      </c>
    </row>
    <row r="104" spans="1:11">
      <c r="A104" s="22" t="str">
        <f>HYPERLINK("https://app.vivvix.com/360/KMI/IntelliDrive/ApplUI/Pages/CreativePages/CustomReportCreativeDetail.aspx?App=23&amp;ReportView=4&amp;Qid=1696098&amp;Row=96&amp;Col=1","Book Whoever You Want To Be (L/V Change)")</f>
        <v/>
      </c>
      <c r="B104" s="0" t="s">
        <v>88</v>
      </c>
      <c r="E104" s="0" t="s">
        <v>12</v>
      </c>
      <c r="F104" s="0" t="s">
        <v>12</v>
      </c>
      <c r="G104" s="0" t="s">
        <v>20</v>
      </c>
      <c r="I104" s="5">
        <v>35717.496000</v>
      </c>
      <c r="J104" s="5">
        <v>1.000000</v>
      </c>
    </row>
    <row r="105" spans="1:11">
      <c r="A105" s="22" t="str">
        <f>HYPERLINK("https://app.vivvix.com/360/KMI/IntelliDrive/ApplUI/Pages/CreativePages/CustomReportCreativeDetail.aspx?App=23&amp;ReportView=4&amp;Qid=1696098&amp;Row=97&amp;Col=1","Book Whoever You Want To Be (L/V Change)")</f>
        <v/>
      </c>
      <c r="B105" s="0" t="s">
        <v>89</v>
      </c>
      <c r="E105" s="0" t="s">
        <v>12</v>
      </c>
      <c r="F105" s="0" t="s">
        <v>12</v>
      </c>
      <c r="G105" s="0" t="s">
        <v>17</v>
      </c>
      <c r="I105" s="5">
        <v>16103.160000</v>
      </c>
      <c r="J105" s="5">
        <v>33.000000</v>
      </c>
    </row>
    <row r="106" spans="1:11">
      <c r="A106" s="22" t="str">
        <f>HYPERLINK("https://app.vivvix.com/360/KMI/IntelliDrive/ApplUI/Pages/CreativePages/CustomReportCreativeDetail.aspx?App=23&amp;ReportView=4&amp;Qid=1696098&amp;Row=98&amp;Col=1","Book Whoever You Want To Be (L/V Change)")</f>
        <v/>
      </c>
      <c r="B106" s="0" t="s">
        <v>89</v>
      </c>
      <c r="E106" s="0" t="s">
        <v>12</v>
      </c>
      <c r="F106" s="0" t="s">
        <v>12</v>
      </c>
      <c r="G106" s="0" t="s">
        <v>20</v>
      </c>
      <c r="I106" s="5">
        <v>1520.101000</v>
      </c>
      <c r="J106" s="5">
        <v>1.000000</v>
      </c>
    </row>
    <row r="107" spans="1:11">
      <c r="A107" s="22" t="str">
        <f>HYPERLINK("https://app.vivvix.com/360/KMI/IntelliDrive/ApplUI/Pages/CreativePages/CustomReportCreativeDetail.aspx?App=23&amp;ReportView=4&amp;Qid=1696098&amp;Row=99&amp;Col=1","Book Whoever You Want To Be (L/V Change)")</f>
        <v/>
      </c>
      <c r="B107" s="0" t="s">
        <v>90</v>
      </c>
      <c r="E107" s="0" t="s">
        <v>12</v>
      </c>
      <c r="F107" s="0" t="s">
        <v>12</v>
      </c>
      <c r="G107" s="0" t="s">
        <v>17</v>
      </c>
      <c r="I107" s="5">
        <v>2444.722000</v>
      </c>
      <c r="J107" s="5">
        <v>438.000000</v>
      </c>
    </row>
    <row r="108" spans="1:11">
      <c r="A108" s="22" t="str">
        <f>HYPERLINK("https://app.vivvix.com/360/KMI/IntelliDrive/ApplUI/Pages/CreativePages/CustomReportCreativeDetail.aspx?App=23&amp;ReportView=4&amp;Qid=1696098&amp;Row=100&amp;Col=1","Book Whoever You Want To Be (Subtitles Added)")</f>
        <v/>
      </c>
      <c r="B108" s="0" t="s">
        <v>91</v>
      </c>
      <c r="E108" s="0" t="s">
        <v>12</v>
      </c>
      <c r="F108" s="0" t="s">
        <v>12</v>
      </c>
      <c r="G108" s="0" t="s">
        <v>17</v>
      </c>
      <c r="I108" s="5">
        <v>5.315000</v>
      </c>
      <c r="J108" s="5">
        <v>1.000000</v>
      </c>
    </row>
    <row r="109" spans="1:11">
      <c r="A109" s="22" t="str">
        <f>HYPERLINK("https://app.vivvix.com/360/KMI/IntelliDrive/ApplUI/Pages/CreativePages/CustomReportCreativeDetail.aspx?App=23&amp;ReportView=4&amp;Qid=1696098&amp;Row=101&amp;Col=1","Book Yours")</f>
        <v/>
      </c>
      <c r="B109" s="0" t="s">
        <v>92</v>
      </c>
      <c r="E109" s="0" t="s">
        <v>12</v>
      </c>
      <c r="F109" s="0" t="s">
        <v>12</v>
      </c>
      <c r="G109" s="0" t="s">
        <v>17</v>
      </c>
      <c r="I109" s="5">
        <v>5.315000</v>
      </c>
      <c r="J109" s="5">
        <v>1.000000</v>
      </c>
    </row>
    <row r="110" spans="1:11">
      <c r="A110" s="22" t="str">
        <f>HYPERLINK("https://app.vivvix.com/360/KMI/IntelliDrive/ApplUI/Pages/CreativePages/CustomReportCreativeDetail.aspx?App=23&amp;ReportView=4&amp;Qid=1696098&amp;Row=102&amp;Col=1","Book Yours")</f>
        <v/>
      </c>
      <c r="B110" s="0" t="s">
        <v>93</v>
      </c>
      <c r="C110" s="0" t="s">
        <v>94</v>
      </c>
      <c r="D110" s="0" t="s">
        <v>94</v>
      </c>
      <c r="E110" s="0" t="s">
        <v>12</v>
      </c>
      <c r="F110" s="0" t="s">
        <v>12</v>
      </c>
      <c r="G110" s="0" t="s">
        <v>17</v>
      </c>
      <c r="I110" s="5">
        <v>10299.425000</v>
      </c>
      <c r="J110" s="5">
        <v>4.000000</v>
      </c>
    </row>
    <row r="111" spans="1:11">
      <c r="A111" s="22" t="str">
        <f>HYPERLINK("https://app.vivvix.com/360/KMI/IntelliDrive/ApplUI/Pages/CreativePages/CustomReportCreativeDetail.aspx?App=23&amp;ReportView=4&amp;Qid=1696098&amp;Row=103&amp;Col=1","Book Yours")</f>
        <v/>
      </c>
      <c r="B111" s="0" t="s">
        <v>95</v>
      </c>
      <c r="E111" s="0" t="s">
        <v>12</v>
      </c>
      <c r="F111" s="0" t="s">
        <v>12</v>
      </c>
      <c r="G111" s="0" t="s">
        <v>17</v>
      </c>
      <c r="I111" s="5">
        <v>1614.223000</v>
      </c>
      <c r="J111" s="5">
        <v>23.000000</v>
      </c>
    </row>
    <row r="112" spans="1:11">
      <c r="A112" s="22" t="str">
        <f>HYPERLINK("https://app.vivvix.com/360/KMI/IntelliDrive/ApplUI/Pages/CreativePages/CustomReportCreativeDetail.aspx?App=23&amp;ReportView=4&amp;Qid=1696098&amp;Row=104&amp;Col=1","Book Yours")</f>
        <v/>
      </c>
      <c r="B112" s="0" t="s">
        <v>96</v>
      </c>
      <c r="E112" s="0" t="s">
        <v>12</v>
      </c>
      <c r="F112" s="0" t="s">
        <v>12</v>
      </c>
      <c r="G112" s="0" t="s">
        <v>17</v>
      </c>
      <c r="I112" s="5">
        <v>53.171000</v>
      </c>
      <c r="J112" s="5">
        <v>7.000000</v>
      </c>
    </row>
    <row r="113" spans="1:11">
      <c r="A113" s="22" t="str">
        <f>HYPERLINK("https://app.vivvix.com/360/KMI/IntelliDrive/ApplUI/Pages/CreativePages/CustomReportCreativeDetail.aspx?App=23&amp;ReportView=4&amp;Qid=1696098&amp;Row=105&amp;Col=1","Book Yours")</f>
        <v/>
      </c>
      <c r="B113" s="0" t="s">
        <v>97</v>
      </c>
      <c r="C113" s="0" t="s">
        <v>98</v>
      </c>
      <c r="D113" s="0" t="s">
        <v>98</v>
      </c>
      <c r="E113" s="0" t="s">
        <v>12</v>
      </c>
      <c r="F113" s="0" t="s">
        <v>12</v>
      </c>
      <c r="G113" s="0" t="s">
        <v>17</v>
      </c>
      <c r="I113" s="5">
        <v>900.997000</v>
      </c>
      <c r="J113" s="5">
        <v>4.000000</v>
      </c>
    </row>
    <row r="114" spans="1:11">
      <c r="A114" s="22" t="str">
        <f>HYPERLINK("https://app.vivvix.com/360/KMI/IntelliDrive/ApplUI/Pages/CreativePages/CustomReportCreativeDetail.aspx?App=23&amp;ReportView=4&amp;Qid=1696098&amp;Row=106&amp;Col=1","Booking.com")</f>
        <v/>
      </c>
      <c r="B114" s="0" t="s">
        <v>99</v>
      </c>
      <c r="C114" s="0" t="s">
        <v>100</v>
      </c>
      <c r="D114" s="0" t="s">
        <v>100</v>
      </c>
      <c r="E114" s="0" t="s">
        <v>12</v>
      </c>
      <c r="F114" s="0" t="s">
        <v>12</v>
      </c>
      <c r="G114" s="0" t="s">
        <v>101</v>
      </c>
      <c r="H114" s="0" t="s">
        <v>102</v>
      </c>
      <c r="I114" s="5">
        <v>556800.000000</v>
      </c>
      <c r="J114" s="5">
        <v>1.000000</v>
      </c>
    </row>
    <row r="115" spans="1:11">
      <c r="A115" s="22" t="str">
        <f>HYPERLINK("https://app.vivvix.com/360/KMI/IntelliDrive/ApplUI/Pages/CreativePages/CustomReportCreativeDetail.aspx?App=23&amp;ReportView=4&amp;Qid=1696098&amp;Row=107&amp;Col=1","Both Sides")</f>
        <v/>
      </c>
      <c r="B115" s="0" t="s">
        <v>103</v>
      </c>
      <c r="E115" s="0" t="s">
        <v>12</v>
      </c>
      <c r="F115" s="0" t="s">
        <v>12</v>
      </c>
      <c r="G115" s="0" t="s">
        <v>17</v>
      </c>
      <c r="I115" s="5">
        <v>88.936000</v>
      </c>
      <c r="J115" s="5">
        <v>14.000000</v>
      </c>
    </row>
    <row r="116" spans="1:11">
      <c r="A116" s="22" t="str">
        <f>HYPERLINK("https://app.vivvix.com/360/KMI/IntelliDrive/ApplUI/Pages/CreativePages/CustomReportCreativeDetail.aspx?App=23&amp;ReportView=4&amp;Qid=1696098&amp;Row=108&amp;Col=1","Check Now")</f>
        <v/>
      </c>
      <c r="B116" s="0" t="s">
        <v>104</v>
      </c>
      <c r="E116" s="0" t="s">
        <v>12</v>
      </c>
      <c r="F116" s="0" t="s">
        <v>12</v>
      </c>
      <c r="G116" s="0" t="s">
        <v>17</v>
      </c>
      <c r="I116" s="5">
        <v>54.118000</v>
      </c>
      <c r="J116" s="5">
        <v>8.000000</v>
      </c>
    </row>
    <row r="117" spans="1:11">
      <c r="A117" s="22" t="str">
        <f>HYPERLINK("https://app.vivvix.com/360/KMI/IntelliDrive/ApplUI/Pages/CreativePages/CustomReportCreativeDetail.aspx?App=23&amp;ReportView=4&amp;Qid=1696098&amp;Row=109&amp;Col=1","Choose Now")</f>
        <v/>
      </c>
      <c r="B117" s="0" t="s">
        <v>105</v>
      </c>
      <c r="E117" s="0" t="s">
        <v>12</v>
      </c>
      <c r="F117" s="0" t="s">
        <v>12</v>
      </c>
      <c r="G117" s="0" t="s">
        <v>17</v>
      </c>
      <c r="I117" s="5">
        <v>63.314000</v>
      </c>
      <c r="J117" s="5">
        <v>9.000000</v>
      </c>
    </row>
    <row r="118" spans="1:11">
      <c r="A118" s="22" t="str">
        <f>HYPERLINK("https://app.vivvix.com/360/KMI/IntelliDrive/ApplUI/Pages/CreativePages/CustomReportCreativeDetail.aspx?App=23&amp;ReportView=4&amp;Qid=1696098&amp;Row=110&amp;Col=1","Cool Adventure")</f>
        <v/>
      </c>
      <c r="B118" s="0" t="s">
        <v>106</v>
      </c>
      <c r="E118" s="0" t="s">
        <v>12</v>
      </c>
      <c r="F118" s="0" t="s">
        <v>12</v>
      </c>
      <c r="G118" s="0" t="s">
        <v>17</v>
      </c>
      <c r="I118" s="5">
        <v>141.570000</v>
      </c>
      <c r="J118" s="5">
        <v>27.000000</v>
      </c>
    </row>
    <row r="119" spans="1:11">
      <c r="A119" s="22" t="str">
        <f>HYPERLINK("https://app.vivvix.com/360/KMI/IntelliDrive/ApplUI/Pages/CreativePages/CustomReportCreativeDetail.aspx?App=23&amp;ReportView=4&amp;Qid=1696098&amp;Row=111&amp;Col=1","Couple Surprise (20 Sec./Subtitles Added)")</f>
        <v/>
      </c>
      <c r="B119" s="0" t="s">
        <v>107</v>
      </c>
      <c r="E119" s="0" t="s">
        <v>12</v>
      </c>
      <c r="F119" s="0" t="s">
        <v>12</v>
      </c>
      <c r="G119" s="0" t="s">
        <v>17</v>
      </c>
      <c r="I119" s="5">
        <v>127.988000</v>
      </c>
      <c r="J119" s="5">
        <v>14.000000</v>
      </c>
    </row>
    <row r="120" spans="1:11">
      <c r="A120" s="0" t="s">
        <v>108</v>
      </c>
      <c r="E120" s="0" t="s">
        <v>12</v>
      </c>
      <c r="F120" s="0" t="s">
        <v>12</v>
      </c>
      <c r="G120" s="0" t="s">
        <v>14</v>
      </c>
      <c r="I120" s="5">
        <v>583548.000000</v>
      </c>
      <c r="J120" s="5">
        <v>7.000000</v>
      </c>
    </row>
    <row r="121" spans="1:11">
      <c r="A121" s="22" t="str">
        <f>HYPERLINK("https://app.vivvix.com/360/KMI/IntelliDrive/ApplUI/Pages/CreativePages/CustomReportCreativeDetail.aspx?App=23&amp;ReportView=4&amp;Qid=1696098&amp;Row=113&amp;Col=1","Do It Now")</f>
        <v/>
      </c>
      <c r="B121" s="0" t="s">
        <v>109</v>
      </c>
      <c r="E121" s="0" t="s">
        <v>12</v>
      </c>
      <c r="F121" s="0" t="s">
        <v>12</v>
      </c>
      <c r="G121" s="0" t="s">
        <v>17</v>
      </c>
      <c r="I121" s="5">
        <v>496.255000</v>
      </c>
      <c r="J121" s="5">
        <v>65.000000</v>
      </c>
    </row>
    <row r="122" spans="1:11">
      <c r="A122" s="22" t="str">
        <f>HYPERLINK("https://app.vivvix.com/360/KMI/IntelliDrive/ApplUI/Pages/CreativePages/CustomReportCreativeDetail.aspx?App=23&amp;ReportView=4&amp;Qid=1696098&amp;Row=114&amp;Col=1","Eat It")</f>
        <v/>
      </c>
      <c r="B122" s="0" t="s">
        <v>110</v>
      </c>
      <c r="E122" s="0" t="s">
        <v>12</v>
      </c>
      <c r="F122" s="0" t="s">
        <v>12</v>
      </c>
      <c r="G122" s="0" t="s">
        <v>17</v>
      </c>
      <c r="I122" s="5">
        <v>6913.681000</v>
      </c>
      <c r="J122" s="5">
        <v>841.000000</v>
      </c>
    </row>
    <row r="123" spans="1:11">
      <c r="A123" s="22" t="str">
        <f>HYPERLINK("https://app.vivvix.com/360/KMI/IntelliDrive/ApplUI/Pages/CreativePages/CustomReportCreativeDetail.aspx?App=23&amp;ReportView=4&amp;Qid=1696098&amp;Row=115&amp;Col=1","Eat It")</f>
        <v/>
      </c>
      <c r="B123" s="0" t="s">
        <v>110</v>
      </c>
      <c r="E123" s="0" t="s">
        <v>12</v>
      </c>
      <c r="F123" s="0" t="s">
        <v>12</v>
      </c>
      <c r="G123" s="0" t="s">
        <v>20</v>
      </c>
      <c r="I123" s="5">
        <v>94673.005000</v>
      </c>
      <c r="J123" s="5">
        <v>845.000000</v>
      </c>
    </row>
    <row r="124" spans="1:11">
      <c r="A124" s="22" t="str">
        <f>HYPERLINK("https://app.vivvix.com/360/KMI/IntelliDrive/ApplUI/Pages/CreativePages/CustomReportCreativeDetail.aspx?App=23&amp;ReportView=4&amp;Qid=1696098&amp;Row=116&amp;Col=1","Eat It (Spanish)")</f>
        <v/>
      </c>
      <c r="B124" s="0" t="s">
        <v>111</v>
      </c>
      <c r="E124" s="0" t="s">
        <v>12</v>
      </c>
      <c r="F124" s="0" t="s">
        <v>12</v>
      </c>
      <c r="G124" s="0" t="s">
        <v>17</v>
      </c>
      <c r="I124" s="5">
        <v>578.759000</v>
      </c>
      <c r="J124" s="5">
        <v>83.000000</v>
      </c>
    </row>
    <row r="125" spans="1:11">
      <c r="A125" s="22" t="str">
        <f>HYPERLINK("https://app.vivvix.com/360/KMI/IntelliDrive/ApplUI/Pages/CreativePages/CustomReportCreativeDetail.aspx?App=23&amp;ReportView=4&amp;Qid=1696098&amp;Row=117&amp;Col=1","Eat It (Spanish)")</f>
        <v/>
      </c>
      <c r="B125" s="0" t="s">
        <v>111</v>
      </c>
      <c r="E125" s="0" t="s">
        <v>12</v>
      </c>
      <c r="F125" s="0" t="s">
        <v>12</v>
      </c>
      <c r="G125" s="0" t="s">
        <v>20</v>
      </c>
      <c r="I125" s="5">
        <v>430.920000</v>
      </c>
      <c r="J125" s="5">
        <v>4.000000</v>
      </c>
    </row>
    <row r="126" spans="1:11">
      <c r="A126" s="22" t="str">
        <f>HYPERLINK("https://app.vivvix.com/360/KMI/IntelliDrive/ApplUI/Pages/CreativePages/CustomReportCreativeDetail.aspx?App=23&amp;ReportView=4&amp;Qid=1696098&amp;Row=118&amp;Col=1","Enhancing Travel With Refined Taste")</f>
        <v/>
      </c>
      <c r="B126" s="0" t="s">
        <v>112</v>
      </c>
      <c r="C126" s="0" t="s">
        <v>113</v>
      </c>
      <c r="D126" s="0" t="s">
        <v>113</v>
      </c>
      <c r="E126" s="0" t="s">
        <v>12</v>
      </c>
      <c r="F126" s="0" t="s">
        <v>12</v>
      </c>
      <c r="G126" s="0" t="s">
        <v>13</v>
      </c>
      <c r="I126" s="5">
        <v>1211285.000000</v>
      </c>
      <c r="J126" s="5">
        <v>478.000000</v>
      </c>
    </row>
    <row r="127" spans="1:11">
      <c r="A127" s="22" t="str">
        <f>HYPERLINK("https://app.vivvix.com/360/KMI/IntelliDrive/ApplUI/Pages/CreativePages/CustomReportCreativeDetail.aspx?App=23&amp;ReportView=4&amp;Qid=1696098&amp;Row=119&amp;Col=1","Enhancing Travel With Refined Taste")</f>
        <v/>
      </c>
      <c r="B127" s="0" t="s">
        <v>112</v>
      </c>
      <c r="C127" s="0" t="s">
        <v>113</v>
      </c>
      <c r="D127" s="0" t="s">
        <v>113</v>
      </c>
      <c r="E127" s="0" t="s">
        <v>12</v>
      </c>
      <c r="F127" s="0" t="s">
        <v>12</v>
      </c>
      <c r="G127" s="0" t="s">
        <v>14</v>
      </c>
      <c r="I127" s="5">
        <v>494596.000000</v>
      </c>
      <c r="J127" s="5">
        <v>36.000000</v>
      </c>
    </row>
    <row r="128" spans="1:11">
      <c r="A128" s="22" t="str">
        <f>HYPERLINK("https://app.vivvix.com/360/KMI/IntelliDrive/ApplUI/Pages/CreativePages/CustomReportCreativeDetail.aspx?App=23&amp;ReportView=4&amp;Qid=1696098&amp;Row=120&amp;Col=1","Enhancing Travel With Refined Taste")</f>
        <v/>
      </c>
      <c r="B128" s="0" t="s">
        <v>112</v>
      </c>
      <c r="C128" s="0" t="s">
        <v>113</v>
      </c>
      <c r="D128" s="0" t="s">
        <v>113</v>
      </c>
      <c r="E128" s="0" t="s">
        <v>12</v>
      </c>
      <c r="F128" s="0" t="s">
        <v>12</v>
      </c>
      <c r="G128" s="0" t="s">
        <v>15</v>
      </c>
      <c r="I128" s="5">
        <v>460.000000</v>
      </c>
      <c r="J128" s="5">
        <v>3.000000</v>
      </c>
    </row>
    <row r="129" spans="1:11">
      <c r="A129" s="22" t="str">
        <f>HYPERLINK("https://app.vivvix.com/360/KMI/IntelliDrive/ApplUI/Pages/CreativePages/CustomReportCreativeDetail.aspx?App=23&amp;ReportView=4&amp;Qid=1696098&amp;Row=121&amp;Col=1","Enhancing Travel With Refined Taste")</f>
        <v/>
      </c>
      <c r="B129" s="0" t="s">
        <v>114</v>
      </c>
      <c r="C129" s="0" t="s">
        <v>115</v>
      </c>
      <c r="D129" s="0" t="s">
        <v>115</v>
      </c>
      <c r="E129" s="0" t="s">
        <v>12</v>
      </c>
      <c r="F129" s="0" t="s">
        <v>12</v>
      </c>
      <c r="G129" s="0" t="s">
        <v>17</v>
      </c>
      <c r="I129" s="5">
        <v>8579.086000</v>
      </c>
      <c r="J129" s="5">
        <v>2.000000</v>
      </c>
    </row>
    <row r="130" spans="1:11">
      <c r="A130" s="22" t="str">
        <f>HYPERLINK("https://app.vivvix.com/360/KMI/IntelliDrive/ApplUI/Pages/CreativePages/CustomReportCreativeDetail.aspx?App=23&amp;ReportView=4&amp;Qid=1696098&amp;Row=122&amp;Col=1","Enjoy More")</f>
        <v/>
      </c>
      <c r="B130" s="0" t="s">
        <v>116</v>
      </c>
      <c r="E130" s="0" t="s">
        <v>12</v>
      </c>
      <c r="F130" s="0" t="s">
        <v>12</v>
      </c>
      <c r="G130" s="0" t="s">
        <v>17</v>
      </c>
      <c r="I130" s="5">
        <v>4058.649000</v>
      </c>
      <c r="J130" s="5">
        <v>1.000000</v>
      </c>
    </row>
    <row r="131" spans="1:11">
      <c r="A131" s="22" t="str">
        <f>HYPERLINK("https://app.vivvix.com/360/KMI/IntelliDrive/ApplUI/Pages/CreativePages/CustomReportCreativeDetail.aspx?App=23&amp;ReportView=4&amp;Qid=1696098&amp;Row=123&amp;Col=1","Explore")</f>
        <v/>
      </c>
      <c r="B131" s="0" t="s">
        <v>117</v>
      </c>
      <c r="E131" s="0" t="s">
        <v>12</v>
      </c>
      <c r="F131" s="0" t="s">
        <v>12</v>
      </c>
      <c r="G131" s="0" t="s">
        <v>17</v>
      </c>
      <c r="I131" s="5">
        <v>77.534000</v>
      </c>
      <c r="J131" s="5">
        <v>10.000000</v>
      </c>
    </row>
    <row r="132" spans="1:11">
      <c r="A132" s="22" t="str">
        <f>HYPERLINK("https://app.vivvix.com/360/KMI/IntelliDrive/ApplUI/Pages/CreativePages/CustomReportCreativeDetail.aspx?App=23&amp;ReportView=4&amp;Qid=1696098&amp;Row=124&amp;Col=1","Explore More")</f>
        <v/>
      </c>
      <c r="B132" s="0" t="s">
        <v>118</v>
      </c>
      <c r="E132" s="0" t="s">
        <v>12</v>
      </c>
      <c r="F132" s="0" t="s">
        <v>12</v>
      </c>
      <c r="G132" s="0" t="s">
        <v>17</v>
      </c>
      <c r="I132" s="5">
        <v>21.822000</v>
      </c>
      <c r="J132" s="5">
        <v>4.000000</v>
      </c>
    </row>
    <row r="133" spans="1:11">
      <c r="A133" s="22" t="str">
        <f>HYPERLINK("https://app.vivvix.com/360/KMI/IntelliDrive/ApplUI/Pages/CreativePages/CustomReportCreativeDetail.aspx?App=23&amp;ReportView=4&amp;Qid=1696098&amp;Row=125&amp;Col=1","Fast Booking")</f>
        <v/>
      </c>
      <c r="B133" s="0" t="s">
        <v>119</v>
      </c>
      <c r="E133" s="0" t="s">
        <v>12</v>
      </c>
      <c r="F133" s="0" t="s">
        <v>12</v>
      </c>
      <c r="G133" s="0" t="s">
        <v>17</v>
      </c>
      <c r="I133" s="5">
        <v>738.334000</v>
      </c>
      <c r="J133" s="5">
        <v>114.000000</v>
      </c>
    </row>
    <row r="134" spans="1:11">
      <c r="A134" s="22" t="str">
        <f>HYPERLINK("https://app.vivvix.com/360/KMI/IntelliDrive/ApplUI/Pages/CreativePages/CustomReportCreativeDetail.aspx?App=23&amp;ReportView=4&amp;Qid=1696098&amp;Row=126&amp;Col=1","Find Everything")</f>
        <v/>
      </c>
      <c r="B134" s="0" t="s">
        <v>120</v>
      </c>
      <c r="E134" s="0" t="s">
        <v>12</v>
      </c>
      <c r="F134" s="0" t="s">
        <v>12</v>
      </c>
      <c r="G134" s="0" t="s">
        <v>17</v>
      </c>
      <c r="I134" s="5">
        <v>47.088000</v>
      </c>
      <c r="J134" s="5">
        <v>12.000000</v>
      </c>
    </row>
    <row r="135" spans="1:11">
      <c r="A135" s="22" t="str">
        <f>HYPERLINK("https://app.vivvix.com/360/KMI/IntelliDrive/ApplUI/Pages/CreativePages/CustomReportCreativeDetail.aspx?App=23&amp;ReportView=4&amp;Qid=1696098&amp;Row=127&amp;Col=1","find great stays across the usa")</f>
        <v/>
      </c>
      <c r="B135" s="0" t="s">
        <v>121</v>
      </c>
      <c r="C135" s="0" t="s">
        <v>122</v>
      </c>
      <c r="D135" s="0" t="s">
        <v>122</v>
      </c>
      <c r="E135" s="0" t="s">
        <v>12</v>
      </c>
      <c r="F135" s="0" t="s">
        <v>12</v>
      </c>
      <c r="G135" s="0" t="s">
        <v>13</v>
      </c>
      <c r="I135" s="5">
        <v>2240.000000</v>
      </c>
      <c r="J135" s="5">
        <v>14.000000</v>
      </c>
    </row>
    <row r="136" spans="1:11">
      <c r="A136" s="22" t="str">
        <f>HYPERLINK("https://app.vivvix.com/360/KMI/IntelliDrive/ApplUI/Pages/CreativePages/CustomReportCreativeDetail.aspx?App=23&amp;ReportView=4&amp;Qid=1696098&amp;Row=128&amp;Col=1","find great stays across the uSA")</f>
        <v/>
      </c>
      <c r="B136" s="0" t="s">
        <v>123</v>
      </c>
      <c r="C136" s="0" t="s">
        <v>124</v>
      </c>
      <c r="D136" s="0" t="s">
        <v>124</v>
      </c>
      <c r="E136" s="0" t="s">
        <v>12</v>
      </c>
      <c r="F136" s="0" t="s">
        <v>12</v>
      </c>
      <c r="G136" s="0" t="s">
        <v>13</v>
      </c>
      <c r="I136" s="5">
        <v>18392.000000</v>
      </c>
      <c r="J136" s="5">
        <v>38.000000</v>
      </c>
    </row>
    <row r="137" spans="1:11">
      <c r="A137" s="22" t="str">
        <f>HYPERLINK("https://app.vivvix.com/360/KMI/IntelliDrive/ApplUI/Pages/CreativePages/CustomReportCreativeDetail.aspx?App=23&amp;ReportView=4&amp;Qid=1696098&amp;Row=129&amp;Col=1","find great stays across the uSA")</f>
        <v/>
      </c>
      <c r="B137" s="0" t="s">
        <v>123</v>
      </c>
      <c r="C137" s="0" t="s">
        <v>124</v>
      </c>
      <c r="D137" s="0" t="s">
        <v>124</v>
      </c>
      <c r="E137" s="0" t="s">
        <v>12</v>
      </c>
      <c r="F137" s="0" t="s">
        <v>12</v>
      </c>
      <c r="G137" s="0" t="s">
        <v>15</v>
      </c>
      <c r="I137" s="5">
        <v>224.000000</v>
      </c>
      <c r="J137" s="5">
        <v>12.000000</v>
      </c>
    </row>
    <row r="138" spans="1:11">
      <c r="A138" s="22" t="str">
        <f>HYPERLINK("https://app.vivvix.com/360/KMI/IntelliDrive/ApplUI/Pages/CreativePages/CustomReportCreativeDetail.aspx?App=23&amp;ReportView=4&amp;Qid=1696098&amp;Row=130&amp;Col=1","find great stays across the uSA 3")</f>
        <v/>
      </c>
      <c r="B138" s="0" t="s">
        <v>125</v>
      </c>
      <c r="C138" s="0" t="s">
        <v>126</v>
      </c>
      <c r="D138" s="0" t="s">
        <v>126</v>
      </c>
      <c r="E138" s="0" t="s">
        <v>12</v>
      </c>
      <c r="F138" s="0" t="s">
        <v>12</v>
      </c>
      <c r="G138" s="0" t="s">
        <v>13</v>
      </c>
      <c r="I138" s="5">
        <v>75127.000000</v>
      </c>
      <c r="J138" s="5">
        <v>92.000000</v>
      </c>
    </row>
    <row r="139" spans="1:11">
      <c r="A139" s="22" t="str">
        <f>HYPERLINK("https://app.vivvix.com/360/KMI/IntelliDrive/ApplUI/Pages/CreativePages/CustomReportCreativeDetail.aspx?App=23&amp;ReportView=4&amp;Qid=1696098&amp;Row=131&amp;Col=1","find great stays across the uSA 3")</f>
        <v/>
      </c>
      <c r="B139" s="0" t="s">
        <v>125</v>
      </c>
      <c r="C139" s="0" t="s">
        <v>126</v>
      </c>
      <c r="D139" s="0" t="s">
        <v>126</v>
      </c>
      <c r="E139" s="0" t="s">
        <v>12</v>
      </c>
      <c r="F139" s="0" t="s">
        <v>12</v>
      </c>
      <c r="G139" s="0" t="s">
        <v>15</v>
      </c>
      <c r="I139" s="5">
        <v>355.000000</v>
      </c>
      <c r="J139" s="5">
        <v>14.000000</v>
      </c>
    </row>
    <row r="140" spans="1:11">
      <c r="A140" s="22" t="str">
        <f>HYPERLINK("https://app.vivvix.com/360/KMI/IntelliDrive/ApplUI/Pages/CreativePages/CustomReportCreativeDetail.aspx?App=23&amp;ReportView=4&amp;Qid=1696098&amp;Row=132&amp;Col=1","Find Great Stays Across the USA 4")</f>
        <v/>
      </c>
      <c r="B140" s="0" t="s">
        <v>127</v>
      </c>
      <c r="C140" s="0" t="s">
        <v>128</v>
      </c>
      <c r="D140" s="0" t="s">
        <v>128</v>
      </c>
      <c r="E140" s="0" t="s">
        <v>12</v>
      </c>
      <c r="F140" s="0" t="s">
        <v>12</v>
      </c>
      <c r="G140" s="0" t="s">
        <v>13</v>
      </c>
      <c r="I140" s="5">
        <v>71561.000000</v>
      </c>
      <c r="J140" s="5">
        <v>41.000000</v>
      </c>
    </row>
    <row r="141" spans="1:11">
      <c r="A141" s="22" t="str">
        <f>HYPERLINK("https://app.vivvix.com/360/KMI/IntelliDrive/ApplUI/Pages/CreativePages/CustomReportCreativeDetail.aspx?App=23&amp;ReportView=4&amp;Qid=1696098&amp;Row=133&amp;Col=1","Find Great Stays Across the USA 4")</f>
        <v/>
      </c>
      <c r="B141" s="0" t="s">
        <v>127</v>
      </c>
      <c r="C141" s="0" t="s">
        <v>128</v>
      </c>
      <c r="D141" s="0" t="s">
        <v>128</v>
      </c>
      <c r="E141" s="0" t="s">
        <v>12</v>
      </c>
      <c r="F141" s="0" t="s">
        <v>12</v>
      </c>
      <c r="G141" s="0" t="s">
        <v>14</v>
      </c>
      <c r="I141" s="5">
        <v>135555.000000</v>
      </c>
      <c r="J141" s="5">
        <v>3.000000</v>
      </c>
    </row>
    <row r="142" spans="1:11">
      <c r="A142" s="22" t="str">
        <f>HYPERLINK("https://app.vivvix.com/360/KMI/IntelliDrive/ApplUI/Pages/CreativePages/CustomReportCreativeDetail.aspx?App=23&amp;ReportView=4&amp;Qid=1696098&amp;Row=134&amp;Col=1","Find Great Stays Across the USA 4")</f>
        <v/>
      </c>
      <c r="B142" s="0" t="s">
        <v>127</v>
      </c>
      <c r="C142" s="0" t="s">
        <v>128</v>
      </c>
      <c r="D142" s="0" t="s">
        <v>128</v>
      </c>
      <c r="E142" s="0" t="s">
        <v>12</v>
      </c>
      <c r="F142" s="0" t="s">
        <v>12</v>
      </c>
      <c r="G142" s="0" t="s">
        <v>15</v>
      </c>
      <c r="I142" s="5">
        <v>0.000000</v>
      </c>
      <c r="J142" s="5">
        <v>7.000000</v>
      </c>
    </row>
    <row r="143" spans="1:11">
      <c r="A143" s="22" t="str">
        <f>HYPERLINK("https://app.vivvix.com/360/KMI/IntelliDrive/ApplUI/Pages/CreativePages/CustomReportCreativeDetail.aspx?App=23&amp;ReportView=4&amp;Qid=1696098&amp;Row=135&amp;Col=1","Find Great Stays Across the USA 5")</f>
        <v/>
      </c>
      <c r="B143" s="0" t="s">
        <v>129</v>
      </c>
      <c r="C143" s="0" t="s">
        <v>130</v>
      </c>
      <c r="D143" s="0" t="s">
        <v>130</v>
      </c>
      <c r="E143" s="0" t="s">
        <v>12</v>
      </c>
      <c r="F143" s="0" t="s">
        <v>12</v>
      </c>
      <c r="G143" s="0" t="s">
        <v>13</v>
      </c>
      <c r="I143" s="5">
        <v>63457.000000</v>
      </c>
      <c r="J143" s="5">
        <v>26.000000</v>
      </c>
    </row>
    <row r="144" spans="1:11">
      <c r="A144" s="22" t="str">
        <f>HYPERLINK("https://app.vivvix.com/360/KMI/IntelliDrive/ApplUI/Pages/CreativePages/CustomReportCreativeDetail.aspx?App=23&amp;ReportView=4&amp;Qid=1696098&amp;Row=136&amp;Col=1","Find Great Stays Across the USA 5")</f>
        <v/>
      </c>
      <c r="B144" s="0" t="s">
        <v>129</v>
      </c>
      <c r="C144" s="0" t="s">
        <v>130</v>
      </c>
      <c r="D144" s="0" t="s">
        <v>130</v>
      </c>
      <c r="E144" s="0" t="s">
        <v>12</v>
      </c>
      <c r="F144" s="0" t="s">
        <v>12</v>
      </c>
      <c r="G144" s="0" t="s">
        <v>15</v>
      </c>
      <c r="I144" s="5">
        <v>0.000000</v>
      </c>
      <c r="J144" s="5">
        <v>1.000000</v>
      </c>
    </row>
    <row r="145" spans="1:11">
      <c r="A145" s="22" t="str">
        <f>HYPERLINK("https://app.vivvix.com/360/KMI/IntelliDrive/ApplUI/Pages/CreativePages/CustomReportCreativeDetail.aspx?App=23&amp;ReportView=4&amp;Qid=1696098&amp;Row=137&amp;Col=1","Find It")</f>
        <v/>
      </c>
      <c r="B145" s="0" t="s">
        <v>131</v>
      </c>
      <c r="E145" s="0" t="s">
        <v>12</v>
      </c>
      <c r="F145" s="0" t="s">
        <v>12</v>
      </c>
      <c r="G145" s="0" t="s">
        <v>20</v>
      </c>
      <c r="I145" s="5">
        <v>636861.960000</v>
      </c>
      <c r="J145" s="5">
        <v>4270.000000</v>
      </c>
    </row>
    <row r="146" spans="1:11">
      <c r="A146" s="22" t="str">
        <f>HYPERLINK("https://app.vivvix.com/360/KMI/IntelliDrive/ApplUI/Pages/CreativePages/CustomReportCreativeDetail.aspx?App=23&amp;ReportView=4&amp;Qid=1696098&amp;Row=138&amp;Col=1","Find It")</f>
        <v/>
      </c>
      <c r="B146" s="0" t="s">
        <v>131</v>
      </c>
      <c r="E146" s="0" t="s">
        <v>12</v>
      </c>
      <c r="F146" s="0" t="s">
        <v>12</v>
      </c>
      <c r="G146" s="0" t="s">
        <v>17</v>
      </c>
      <c r="I146" s="5">
        <v>15913.110000</v>
      </c>
      <c r="J146" s="5">
        <v>2994.000000</v>
      </c>
    </row>
    <row r="147" spans="1:11">
      <c r="A147" s="22" t="str">
        <f>HYPERLINK("https://app.vivvix.com/360/KMI/IntelliDrive/ApplUI/Pages/CreativePages/CustomReportCreativeDetail.aspx?App=23&amp;ReportView=4&amp;Qid=1696098&amp;Row=139&amp;Col=1","Find It")</f>
        <v/>
      </c>
      <c r="B147" s="0" t="s">
        <v>132</v>
      </c>
      <c r="E147" s="0" t="s">
        <v>12</v>
      </c>
      <c r="F147" s="0" t="s">
        <v>12</v>
      </c>
      <c r="G147" s="0" t="s">
        <v>17</v>
      </c>
      <c r="I147" s="5">
        <v>212.600000</v>
      </c>
      <c r="J147" s="5">
        <v>40.000000</v>
      </c>
    </row>
    <row r="148" spans="1:11">
      <c r="A148" s="22" t="str">
        <f>HYPERLINK("https://app.vivvix.com/360/KMI/IntelliDrive/ApplUI/Pages/CreativePages/CustomReportCreativeDetail.aspx?App=23&amp;ReportView=4&amp;Qid=1696098&amp;Row=140&amp;Col=1","Find It")</f>
        <v/>
      </c>
      <c r="B148" s="0" t="s">
        <v>133</v>
      </c>
      <c r="E148" s="0" t="s">
        <v>12</v>
      </c>
      <c r="F148" s="0" t="s">
        <v>12</v>
      </c>
      <c r="G148" s="0" t="s">
        <v>17</v>
      </c>
      <c r="I148" s="5">
        <v>42.520000</v>
      </c>
      <c r="J148" s="5">
        <v>8.000000</v>
      </c>
    </row>
    <row r="149" spans="1:11">
      <c r="A149" s="22" t="str">
        <f>HYPERLINK("https://app.vivvix.com/360/KMI/IntelliDrive/ApplUI/Pages/CreativePages/CustomReportCreativeDetail.aspx?App=23&amp;ReportView=4&amp;Qid=1696098&amp;Row=141&amp;Col=1","Find More")</f>
        <v/>
      </c>
      <c r="B149" s="0" t="s">
        <v>134</v>
      </c>
      <c r="E149" s="0" t="s">
        <v>12</v>
      </c>
      <c r="F149" s="0" t="s">
        <v>12</v>
      </c>
      <c r="G149" s="0" t="s">
        <v>17</v>
      </c>
      <c r="I149" s="5">
        <v>37.205000</v>
      </c>
      <c r="J149" s="5">
        <v>7.000000</v>
      </c>
    </row>
    <row r="150" spans="1:11">
      <c r="A150" s="22" t="str">
        <f>HYPERLINK("https://app.vivvix.com/360/KMI/IntelliDrive/ApplUI/Pages/CreativePages/CustomReportCreativeDetail.aspx?App=23&amp;ReportView=4&amp;Qid=1696098&amp;Row=142&amp;Col=1","Find The Perfect Vacation Rental 105")</f>
        <v/>
      </c>
      <c r="B150" s="0" t="s">
        <v>135</v>
      </c>
      <c r="C150" s="0" t="s">
        <v>136</v>
      </c>
      <c r="D150" s="0" t="s">
        <v>136</v>
      </c>
      <c r="E150" s="0" t="s">
        <v>12</v>
      </c>
      <c r="F150" s="0" t="s">
        <v>12</v>
      </c>
      <c r="G150" s="0" t="s">
        <v>13</v>
      </c>
      <c r="I150" s="5">
        <v>384917.000000</v>
      </c>
      <c r="J150" s="5">
        <v>377.000000</v>
      </c>
    </row>
    <row r="151" spans="1:11">
      <c r="A151" s="22" t="str">
        <f>HYPERLINK("https://app.vivvix.com/360/KMI/IntelliDrive/ApplUI/Pages/CreativePages/CustomReportCreativeDetail.aspx?App=23&amp;ReportView=4&amp;Qid=1696098&amp;Row=143&amp;Col=1","Find The Perfect Vacation Rental 105")</f>
        <v/>
      </c>
      <c r="B151" s="0" t="s">
        <v>135</v>
      </c>
      <c r="C151" s="0" t="s">
        <v>136</v>
      </c>
      <c r="D151" s="0" t="s">
        <v>136</v>
      </c>
      <c r="E151" s="0" t="s">
        <v>12</v>
      </c>
      <c r="F151" s="0" t="s">
        <v>12</v>
      </c>
      <c r="G151" s="0" t="s">
        <v>14</v>
      </c>
      <c r="I151" s="5">
        <v>106600.000000</v>
      </c>
      <c r="J151" s="5">
        <v>20.000000</v>
      </c>
    </row>
    <row r="152" spans="1:11">
      <c r="A152" s="22" t="str">
        <f>HYPERLINK("https://app.vivvix.com/360/KMI/IntelliDrive/ApplUI/Pages/CreativePages/CustomReportCreativeDetail.aspx?App=23&amp;ReportView=4&amp;Qid=1696098&amp;Row=144&amp;Col=1","Find The Perfect Vacation Rental 158")</f>
        <v/>
      </c>
      <c r="B152" s="0" t="s">
        <v>137</v>
      </c>
      <c r="C152" s="0" t="s">
        <v>138</v>
      </c>
      <c r="D152" s="0" t="s">
        <v>138</v>
      </c>
      <c r="E152" s="0" t="s">
        <v>12</v>
      </c>
      <c r="F152" s="0" t="s">
        <v>12</v>
      </c>
      <c r="G152" s="0" t="s">
        <v>13</v>
      </c>
      <c r="I152" s="5">
        <v>606.000000</v>
      </c>
      <c r="J152" s="5">
        <v>2.000000</v>
      </c>
    </row>
    <row r="153" spans="1:11">
      <c r="A153" s="22" t="str">
        <f>HYPERLINK("https://app.vivvix.com/360/KMI/IntelliDrive/ApplUI/Pages/CreativePages/CustomReportCreativeDetail.aspx?App=23&amp;ReportView=4&amp;Qid=1696098&amp;Row=145&amp;Col=1","Find The Perfect Vacation Rental 165")</f>
        <v/>
      </c>
      <c r="B153" s="0" t="s">
        <v>139</v>
      </c>
      <c r="C153" s="0" t="s">
        <v>140</v>
      </c>
      <c r="D153" s="0" t="s">
        <v>140</v>
      </c>
      <c r="E153" s="0" t="s">
        <v>12</v>
      </c>
      <c r="F153" s="0" t="s">
        <v>12</v>
      </c>
      <c r="G153" s="0" t="s">
        <v>14</v>
      </c>
      <c r="I153" s="5">
        <v>3700.000000</v>
      </c>
      <c r="J153" s="5">
        <v>1.000000</v>
      </c>
    </row>
    <row r="154" spans="1:11">
      <c r="A154" s="22" t="str">
        <f>HYPERLINK("https://app.vivvix.com/360/KMI/IntelliDrive/ApplUI/Pages/CreativePages/CustomReportCreativeDetail.aspx?App=23&amp;ReportView=4&amp;Qid=1696098&amp;Row=146&amp;Col=1","Find The Perfect Vacation Rental 167")</f>
        <v/>
      </c>
      <c r="B154" s="0" t="s">
        <v>141</v>
      </c>
      <c r="C154" s="0" t="s">
        <v>142</v>
      </c>
      <c r="D154" s="0" t="s">
        <v>142</v>
      </c>
      <c r="E154" s="0" t="s">
        <v>12</v>
      </c>
      <c r="F154" s="0" t="s">
        <v>12</v>
      </c>
      <c r="G154" s="0" t="s">
        <v>13</v>
      </c>
      <c r="I154" s="5">
        <v>1228.000000</v>
      </c>
      <c r="J154" s="5">
        <v>1.000000</v>
      </c>
    </row>
    <row r="155" spans="1:11">
      <c r="A155" s="22" t="str">
        <f>HYPERLINK("https://app.vivvix.com/360/KMI/IntelliDrive/ApplUI/Pages/CreativePages/CustomReportCreativeDetail.aspx?App=23&amp;ReportView=4&amp;Qid=1696098&amp;Row=147&amp;Col=1","Find The Perfect Vacation Rental 168")</f>
        <v/>
      </c>
      <c r="B155" s="0" t="s">
        <v>143</v>
      </c>
      <c r="C155" s="0" t="s">
        <v>144</v>
      </c>
      <c r="D155" s="0" t="s">
        <v>144</v>
      </c>
      <c r="E155" s="0" t="s">
        <v>12</v>
      </c>
      <c r="F155" s="0" t="s">
        <v>12</v>
      </c>
      <c r="G155" s="0" t="s">
        <v>13</v>
      </c>
      <c r="I155" s="5">
        <v>1764.000000</v>
      </c>
      <c r="J155" s="5">
        <v>4.000000</v>
      </c>
    </row>
    <row r="156" spans="1:11">
      <c r="A156" s="22" t="str">
        <f>HYPERLINK("https://app.vivvix.com/360/KMI/IntelliDrive/ApplUI/Pages/CreativePages/CustomReportCreativeDetail.aspx?App=23&amp;ReportView=4&amp;Qid=1696098&amp;Row=148&amp;Col=1","Find The Perfect Vacation Rental 172")</f>
        <v/>
      </c>
      <c r="B156" s="0" t="s">
        <v>145</v>
      </c>
      <c r="C156" s="0" t="s">
        <v>146</v>
      </c>
      <c r="D156" s="0" t="s">
        <v>146</v>
      </c>
      <c r="E156" s="0" t="s">
        <v>12</v>
      </c>
      <c r="F156" s="0" t="s">
        <v>12</v>
      </c>
      <c r="G156" s="0" t="s">
        <v>13</v>
      </c>
      <c r="I156" s="5">
        <v>3857529.000000</v>
      </c>
      <c r="J156" s="5">
        <v>4033.000000</v>
      </c>
    </row>
    <row r="157" spans="1:11">
      <c r="A157" s="22" t="str">
        <f>HYPERLINK("https://app.vivvix.com/360/KMI/IntelliDrive/ApplUI/Pages/CreativePages/CustomReportCreativeDetail.aspx?App=23&amp;ReportView=4&amp;Qid=1696098&amp;Row=149&amp;Col=1","Find The Perfect Vacation Rental 172")</f>
        <v/>
      </c>
      <c r="B157" s="0" t="s">
        <v>145</v>
      </c>
      <c r="C157" s="0" t="s">
        <v>146</v>
      </c>
      <c r="D157" s="0" t="s">
        <v>146</v>
      </c>
      <c r="E157" s="0" t="s">
        <v>12</v>
      </c>
      <c r="F157" s="0" t="s">
        <v>12</v>
      </c>
      <c r="G157" s="0" t="s">
        <v>14</v>
      </c>
      <c r="I157" s="5">
        <v>1013860.000000</v>
      </c>
      <c r="J157" s="5">
        <v>174.000000</v>
      </c>
    </row>
    <row r="158" spans="1:11">
      <c r="A158" s="22" t="str">
        <f>HYPERLINK("https://app.vivvix.com/360/KMI/IntelliDrive/ApplUI/Pages/CreativePages/CustomReportCreativeDetail.aspx?App=23&amp;ReportView=4&amp;Qid=1696098&amp;Row=150&amp;Col=1","Find The Perfect Vacation Rental 172")</f>
        <v/>
      </c>
      <c r="B158" s="0" t="s">
        <v>145</v>
      </c>
      <c r="C158" s="0" t="s">
        <v>146</v>
      </c>
      <c r="D158" s="0" t="s">
        <v>146</v>
      </c>
      <c r="E158" s="0" t="s">
        <v>12</v>
      </c>
      <c r="F158" s="0" t="s">
        <v>12</v>
      </c>
      <c r="G158" s="0" t="s">
        <v>15</v>
      </c>
      <c r="I158" s="5">
        <v>36839.000000</v>
      </c>
      <c r="J158" s="5">
        <v>189.000000</v>
      </c>
    </row>
    <row r="159" spans="1:11">
      <c r="A159" s="22" t="str">
        <f>HYPERLINK("https://app.vivvix.com/360/KMI/IntelliDrive/ApplUI/Pages/CreativePages/CustomReportCreativeDetail.aspx?App=23&amp;ReportView=4&amp;Qid=1696098&amp;Row=151&amp;Col=1","Find The Perfect Vacation Rental 173")</f>
        <v/>
      </c>
      <c r="B159" s="0" t="s">
        <v>147</v>
      </c>
      <c r="C159" s="0" t="s">
        <v>148</v>
      </c>
      <c r="D159" s="0" t="s">
        <v>148</v>
      </c>
      <c r="E159" s="0" t="s">
        <v>12</v>
      </c>
      <c r="F159" s="0" t="s">
        <v>12</v>
      </c>
      <c r="G159" s="0" t="s">
        <v>15</v>
      </c>
      <c r="I159" s="5">
        <v>17.000000</v>
      </c>
      <c r="J159" s="5">
        <v>3.000000</v>
      </c>
    </row>
    <row r="160" spans="1:11">
      <c r="A160" s="22" t="str">
        <f>HYPERLINK("https://app.vivvix.com/360/KMI/IntelliDrive/ApplUI/Pages/CreativePages/CustomReportCreativeDetail.aspx?App=23&amp;ReportView=4&amp;Qid=1696098&amp;Row=152&amp;Col=1","Find The Perfect Vacation Rental 173")</f>
        <v/>
      </c>
      <c r="B160" s="0" t="s">
        <v>147</v>
      </c>
      <c r="C160" s="0" t="s">
        <v>148</v>
      </c>
      <c r="D160" s="0" t="s">
        <v>148</v>
      </c>
      <c r="E160" s="0" t="s">
        <v>12</v>
      </c>
      <c r="F160" s="0" t="s">
        <v>12</v>
      </c>
      <c r="G160" s="0" t="s">
        <v>13</v>
      </c>
      <c r="I160" s="5">
        <v>1517619.000000</v>
      </c>
      <c r="J160" s="5">
        <v>1607.000000</v>
      </c>
    </row>
    <row r="161" spans="1:11">
      <c r="A161" s="22" t="str">
        <f>HYPERLINK("https://app.vivvix.com/360/KMI/IntelliDrive/ApplUI/Pages/CreativePages/CustomReportCreativeDetail.aspx?App=23&amp;ReportView=4&amp;Qid=1696098&amp;Row=153&amp;Col=1","Find The Perfect Vacation Rental 173")</f>
        <v/>
      </c>
      <c r="B161" s="0" t="s">
        <v>147</v>
      </c>
      <c r="C161" s="0" t="s">
        <v>148</v>
      </c>
      <c r="D161" s="0" t="s">
        <v>148</v>
      </c>
      <c r="E161" s="0" t="s">
        <v>12</v>
      </c>
      <c r="F161" s="0" t="s">
        <v>12</v>
      </c>
      <c r="G161" s="0" t="s">
        <v>14</v>
      </c>
      <c r="I161" s="5">
        <v>519435.000000</v>
      </c>
      <c r="J161" s="5">
        <v>39.000000</v>
      </c>
    </row>
    <row r="162" spans="1:11">
      <c r="A162" s="22" t="str">
        <f>HYPERLINK("https://app.vivvix.com/360/KMI/IntelliDrive/ApplUI/Pages/CreativePages/CustomReportCreativeDetail.aspx?App=23&amp;ReportView=4&amp;Qid=1696098&amp;Row=154&amp;Col=1","Find The Perfect Vacation Rental 174")</f>
        <v/>
      </c>
      <c r="B162" s="0" t="s">
        <v>149</v>
      </c>
      <c r="C162" s="0" t="s">
        <v>150</v>
      </c>
      <c r="D162" s="0" t="s">
        <v>150</v>
      </c>
      <c r="E162" s="0" t="s">
        <v>12</v>
      </c>
      <c r="F162" s="0" t="s">
        <v>12</v>
      </c>
      <c r="G162" s="0" t="s">
        <v>13</v>
      </c>
      <c r="I162" s="5">
        <v>836891.000000</v>
      </c>
      <c r="J162" s="5">
        <v>482.000000</v>
      </c>
    </row>
    <row r="163" spans="1:11">
      <c r="A163" s="22" t="str">
        <f>HYPERLINK("https://app.vivvix.com/360/KMI/IntelliDrive/ApplUI/Pages/CreativePages/CustomReportCreativeDetail.aspx?App=23&amp;ReportView=4&amp;Qid=1696098&amp;Row=155&amp;Col=1","Find The Perfect Vacation Rental 174")</f>
        <v/>
      </c>
      <c r="B163" s="0" t="s">
        <v>149</v>
      </c>
      <c r="C163" s="0" t="s">
        <v>150</v>
      </c>
      <c r="D163" s="0" t="s">
        <v>150</v>
      </c>
      <c r="E163" s="0" t="s">
        <v>12</v>
      </c>
      <c r="F163" s="0" t="s">
        <v>12</v>
      </c>
      <c r="G163" s="0" t="s">
        <v>14</v>
      </c>
      <c r="I163" s="5">
        <v>641301.000000</v>
      </c>
      <c r="J163" s="5">
        <v>26.000000</v>
      </c>
    </row>
    <row r="164" spans="1:11">
      <c r="A164" s="22" t="str">
        <f>HYPERLINK("https://app.vivvix.com/360/KMI/IntelliDrive/ApplUI/Pages/CreativePages/CustomReportCreativeDetail.aspx?App=23&amp;ReportView=4&amp;Qid=1696098&amp;Row=156&amp;Col=1","Find The Perfect Vacation Rental 174")</f>
        <v/>
      </c>
      <c r="B164" s="0" t="s">
        <v>149</v>
      </c>
      <c r="C164" s="0" t="s">
        <v>150</v>
      </c>
      <c r="D164" s="0" t="s">
        <v>150</v>
      </c>
      <c r="E164" s="0" t="s">
        <v>12</v>
      </c>
      <c r="F164" s="0" t="s">
        <v>12</v>
      </c>
      <c r="G164" s="0" t="s">
        <v>15</v>
      </c>
      <c r="I164" s="5">
        <v>14369.000000</v>
      </c>
      <c r="J164" s="5">
        <v>26.000000</v>
      </c>
    </row>
    <row r="165" spans="1:11">
      <c r="A165" s="22" t="str">
        <f>HYPERLINK("https://app.vivvix.com/360/KMI/IntelliDrive/ApplUI/Pages/CreativePages/CustomReportCreativeDetail.aspx?App=23&amp;ReportView=4&amp;Qid=1696098&amp;Row=157&amp;Col=1","Finds So Many Choices")</f>
        <v/>
      </c>
      <c r="B165" s="0" t="s">
        <v>151</v>
      </c>
      <c r="C165" s="0" t="s">
        <v>152</v>
      </c>
      <c r="D165" s="0" t="s">
        <v>152</v>
      </c>
      <c r="E165" s="0" t="s">
        <v>12</v>
      </c>
      <c r="F165" s="0" t="s">
        <v>12</v>
      </c>
      <c r="G165" s="0" t="s">
        <v>13</v>
      </c>
      <c r="I165" s="5">
        <v>1629447.000000</v>
      </c>
      <c r="J165" s="5">
        <v>1310.000000</v>
      </c>
    </row>
    <row r="166" spans="1:11">
      <c r="A166" s="22" t="str">
        <f>HYPERLINK("https://app.vivvix.com/360/KMI/IntelliDrive/ApplUI/Pages/CreativePages/CustomReportCreativeDetail.aspx?App=23&amp;ReportView=4&amp;Qid=1696098&amp;Row=158&amp;Col=1","Finds So Many Choices")</f>
        <v/>
      </c>
      <c r="B166" s="0" t="s">
        <v>151</v>
      </c>
      <c r="C166" s="0" t="s">
        <v>152</v>
      </c>
      <c r="D166" s="0" t="s">
        <v>152</v>
      </c>
      <c r="E166" s="0" t="s">
        <v>12</v>
      </c>
      <c r="F166" s="0" t="s">
        <v>12</v>
      </c>
      <c r="G166" s="0" t="s">
        <v>14</v>
      </c>
      <c r="I166" s="5">
        <v>836904.000000</v>
      </c>
      <c r="J166" s="5">
        <v>159.000000</v>
      </c>
    </row>
    <row r="167" spans="1:11">
      <c r="A167" s="22" t="str">
        <f>HYPERLINK("https://app.vivvix.com/360/KMI/IntelliDrive/ApplUI/Pages/CreativePages/CustomReportCreativeDetail.aspx?App=23&amp;ReportView=4&amp;Qid=1696098&amp;Row=159&amp;Col=1","Finds So Many Choices")</f>
        <v/>
      </c>
      <c r="B167" s="0" t="s">
        <v>151</v>
      </c>
      <c r="C167" s="0" t="s">
        <v>152</v>
      </c>
      <c r="D167" s="0" t="s">
        <v>152</v>
      </c>
      <c r="E167" s="0" t="s">
        <v>12</v>
      </c>
      <c r="F167" s="0" t="s">
        <v>12</v>
      </c>
      <c r="G167" s="0" t="s">
        <v>15</v>
      </c>
      <c r="I167" s="5">
        <v>857.000000</v>
      </c>
      <c r="J167" s="5">
        <v>32.000000</v>
      </c>
    </row>
    <row r="168" spans="1:11">
      <c r="A168" s="22" t="str">
        <f>HYPERLINK("https://app.vivvix.com/360/KMI/IntelliDrive/ApplUI/Pages/CreativePages/CustomReportCreativeDetail.aspx?App=23&amp;ReportView=4&amp;Qid=1696098&amp;Row=160&amp;Col=1","For You")</f>
        <v/>
      </c>
      <c r="B168" s="0" t="s">
        <v>153</v>
      </c>
      <c r="E168" s="0" t="s">
        <v>12</v>
      </c>
      <c r="F168" s="0" t="s">
        <v>12</v>
      </c>
      <c r="G168" s="0" t="s">
        <v>17</v>
      </c>
      <c r="I168" s="5">
        <v>7.736000</v>
      </c>
      <c r="J168" s="5">
        <v>1.000000</v>
      </c>
    </row>
    <row r="169" spans="1:11">
      <c r="A169" s="22" t="str">
        <f>HYPERLINK("https://app.vivvix.com/360/KMI/IntelliDrive/ApplUI/Pages/CreativePages/CustomReportCreativeDetail.aspx?App=23&amp;ReportView=4&amp;Qid=1696098&amp;Row=161&amp;Col=1","For You (15 Sec.)")</f>
        <v/>
      </c>
      <c r="B169" s="0" t="s">
        <v>154</v>
      </c>
      <c r="E169" s="0" t="s">
        <v>12</v>
      </c>
      <c r="F169" s="0" t="s">
        <v>12</v>
      </c>
      <c r="G169" s="0" t="s">
        <v>17</v>
      </c>
      <c r="I169" s="5">
        <v>13461.876000</v>
      </c>
      <c r="J169" s="5">
        <v>42.000000</v>
      </c>
    </row>
    <row r="170" spans="1:11">
      <c r="A170" s="22" t="str">
        <f>HYPERLINK("https://app.vivvix.com/360/KMI/IntelliDrive/ApplUI/Pages/CreativePages/CustomReportCreativeDetail.aspx?App=23&amp;ReportView=4&amp;Qid=1696098&amp;Row=162&amp;Col=1","For You (15 Sec.)")</f>
        <v/>
      </c>
      <c r="B170" s="0" t="s">
        <v>154</v>
      </c>
      <c r="E170" s="0" t="s">
        <v>12</v>
      </c>
      <c r="F170" s="0" t="s">
        <v>12</v>
      </c>
      <c r="G170" s="0" t="s">
        <v>20</v>
      </c>
      <c r="I170" s="5">
        <v>20021.036000</v>
      </c>
      <c r="J170" s="5">
        <v>31.000000</v>
      </c>
    </row>
    <row r="171" spans="1:11">
      <c r="A171" s="22" t="str">
        <f>HYPERLINK("https://app.vivvix.com/360/KMI/IntelliDrive/ApplUI/Pages/CreativePages/CustomReportCreativeDetail.aspx?App=23&amp;ReportView=4&amp;Qid=1696098&amp;Row=163&amp;Col=1","Free Cancelation 36")</f>
        <v/>
      </c>
      <c r="B171" s="0" t="s">
        <v>155</v>
      </c>
      <c r="C171" s="0" t="s">
        <v>156</v>
      </c>
      <c r="D171" s="0" t="s">
        <v>156</v>
      </c>
      <c r="E171" s="0" t="s">
        <v>12</v>
      </c>
      <c r="F171" s="0" t="s">
        <v>12</v>
      </c>
      <c r="G171" s="0" t="s">
        <v>13</v>
      </c>
      <c r="I171" s="5">
        <v>422707.000000</v>
      </c>
      <c r="J171" s="5">
        <v>382.000000</v>
      </c>
    </row>
    <row r="172" spans="1:11">
      <c r="A172" s="22" t="str">
        <f>HYPERLINK("https://app.vivvix.com/360/KMI/IntelliDrive/ApplUI/Pages/CreativePages/CustomReportCreativeDetail.aspx?App=23&amp;ReportView=4&amp;Qid=1696098&amp;Row=164&amp;Col=1","Free Cancelation 36")</f>
        <v/>
      </c>
      <c r="B172" s="0" t="s">
        <v>155</v>
      </c>
      <c r="C172" s="0" t="s">
        <v>156</v>
      </c>
      <c r="D172" s="0" t="s">
        <v>156</v>
      </c>
      <c r="E172" s="0" t="s">
        <v>12</v>
      </c>
      <c r="F172" s="0" t="s">
        <v>12</v>
      </c>
      <c r="G172" s="0" t="s">
        <v>14</v>
      </c>
      <c r="I172" s="5">
        <v>274300.000000</v>
      </c>
      <c r="J172" s="5">
        <v>20.000000</v>
      </c>
    </row>
    <row r="173" spans="1:11">
      <c r="A173" s="22" t="str">
        <f>HYPERLINK("https://app.vivvix.com/360/KMI/IntelliDrive/ApplUI/Pages/CreativePages/CustomReportCreativeDetail.aspx?App=23&amp;ReportView=4&amp;Qid=1696098&amp;Row=165&amp;Col=1","Free Cancelation 37")</f>
        <v/>
      </c>
      <c r="B173" s="0" t="s">
        <v>157</v>
      </c>
      <c r="C173" s="0" t="s">
        <v>158</v>
      </c>
      <c r="D173" s="0" t="s">
        <v>158</v>
      </c>
      <c r="E173" s="0" t="s">
        <v>12</v>
      </c>
      <c r="F173" s="0" t="s">
        <v>12</v>
      </c>
      <c r="G173" s="0" t="s">
        <v>13</v>
      </c>
      <c r="I173" s="5">
        <v>394824.000000</v>
      </c>
      <c r="J173" s="5">
        <v>362.000000</v>
      </c>
    </row>
    <row r="174" spans="1:11">
      <c r="A174" s="22" t="str">
        <f>HYPERLINK("https://app.vivvix.com/360/KMI/IntelliDrive/ApplUI/Pages/CreativePages/CustomReportCreativeDetail.aspx?App=23&amp;ReportView=4&amp;Qid=1696098&amp;Row=166&amp;Col=1","Free Cancelation 37")</f>
        <v/>
      </c>
      <c r="B174" s="0" t="s">
        <v>157</v>
      </c>
      <c r="C174" s="0" t="s">
        <v>158</v>
      </c>
      <c r="D174" s="0" t="s">
        <v>158</v>
      </c>
      <c r="E174" s="0" t="s">
        <v>12</v>
      </c>
      <c r="F174" s="0" t="s">
        <v>12</v>
      </c>
      <c r="G174" s="0" t="s">
        <v>14</v>
      </c>
      <c r="I174" s="5">
        <v>200100.000000</v>
      </c>
      <c r="J174" s="5">
        <v>19.000000</v>
      </c>
    </row>
    <row r="175" spans="1:11">
      <c r="A175" s="22" t="str">
        <f>HYPERLINK("https://app.vivvix.com/360/KMI/IntelliDrive/ApplUI/Pages/CreativePages/CustomReportCreativeDetail.aspx?App=23&amp;ReportView=4&amp;Qid=1696098&amp;Row=167&amp;Col=1","Free Cancellation 47")</f>
        <v/>
      </c>
      <c r="B175" s="0" t="s">
        <v>159</v>
      </c>
      <c r="C175" s="0" t="s">
        <v>160</v>
      </c>
      <c r="D175" s="0" t="s">
        <v>160</v>
      </c>
      <c r="E175" s="0" t="s">
        <v>12</v>
      </c>
      <c r="F175" s="0" t="s">
        <v>12</v>
      </c>
      <c r="G175" s="0" t="s">
        <v>14</v>
      </c>
      <c r="I175" s="5">
        <v>29600.000000</v>
      </c>
      <c r="J175" s="5">
        <v>1.000000</v>
      </c>
    </row>
    <row r="176" spans="1:11">
      <c r="A176" s="22" t="str">
        <f>HYPERLINK("https://app.vivvix.com/360/KMI/IntelliDrive/ApplUI/Pages/CreativePages/CustomReportCreativeDetail.aspx?App=23&amp;ReportView=4&amp;Qid=1696098&amp;Row=168&amp;Col=1","Free Cancellation 48")</f>
        <v/>
      </c>
      <c r="B176" s="0" t="s">
        <v>161</v>
      </c>
      <c r="C176" s="0" t="s">
        <v>162</v>
      </c>
      <c r="D176" s="0" t="s">
        <v>162</v>
      </c>
      <c r="E176" s="0" t="s">
        <v>12</v>
      </c>
      <c r="F176" s="0" t="s">
        <v>12</v>
      </c>
      <c r="G176" s="0" t="s">
        <v>13</v>
      </c>
      <c r="I176" s="5">
        <v>7241.000000</v>
      </c>
      <c r="J176" s="5">
        <v>8.000000</v>
      </c>
    </row>
    <row r="177" spans="1:11">
      <c r="A177" s="22" t="str">
        <f>HYPERLINK("https://app.vivvix.com/360/KMI/IntelliDrive/ApplUI/Pages/CreativePages/CustomReportCreativeDetail.aspx?App=23&amp;ReportView=4&amp;Qid=1696098&amp;Row=169&amp;Col=1","Good Place")</f>
        <v/>
      </c>
      <c r="B177" s="0" t="s">
        <v>163</v>
      </c>
      <c r="E177" s="0" t="s">
        <v>12</v>
      </c>
      <c r="F177" s="0" t="s">
        <v>12</v>
      </c>
      <c r="G177" s="0" t="s">
        <v>17</v>
      </c>
      <c r="I177" s="5">
        <v>92.908000</v>
      </c>
      <c r="J177" s="5">
        <v>11.000000</v>
      </c>
    </row>
    <row r="178" spans="1:11">
      <c r="A178" s="22" t="str">
        <f>HYPERLINK("https://app.vivvix.com/360/KMI/IntelliDrive/ApplUI/Pages/CreativePages/CustomReportCreativeDetail.aspx?App=23&amp;ReportView=4&amp;Qid=1696098&amp;Row=170&amp;Col=1","Great Deal")</f>
        <v/>
      </c>
      <c r="B178" s="0" t="s">
        <v>164</v>
      </c>
      <c r="E178" s="0" t="s">
        <v>12</v>
      </c>
      <c r="F178" s="0" t="s">
        <v>12</v>
      </c>
      <c r="G178" s="0" t="s">
        <v>17</v>
      </c>
      <c r="I178" s="5">
        <v>10404.512000</v>
      </c>
      <c r="J178" s="5">
        <v>2.000000</v>
      </c>
    </row>
    <row r="179" spans="1:11">
      <c r="A179" s="22" t="str">
        <f>HYPERLINK("https://app.vivvix.com/360/KMI/IntelliDrive/ApplUI/Pages/CreativePages/CustomReportCreativeDetail.aspx?App=23&amp;ReportView=4&amp;Qid=1696098&amp;Row=171&amp;Col=1","Great Deal")</f>
        <v/>
      </c>
      <c r="B179" s="0" t="s">
        <v>165</v>
      </c>
      <c r="E179" s="0" t="s">
        <v>12</v>
      </c>
      <c r="F179" s="0" t="s">
        <v>12</v>
      </c>
      <c r="G179" s="0" t="s">
        <v>20</v>
      </c>
      <c r="I179" s="5">
        <v>220067.290000</v>
      </c>
      <c r="J179" s="5">
        <v>1998.000000</v>
      </c>
    </row>
    <row r="180" spans="1:11">
      <c r="A180" s="22" t="str">
        <f>HYPERLINK("https://app.vivvix.com/360/KMI/IntelliDrive/ApplUI/Pages/CreativePages/CustomReportCreativeDetail.aspx?App=23&amp;ReportView=4&amp;Qid=1696098&amp;Row=172&amp;Col=1","Great Deal")</f>
        <v/>
      </c>
      <c r="B180" s="0" t="s">
        <v>165</v>
      </c>
      <c r="E180" s="0" t="s">
        <v>12</v>
      </c>
      <c r="F180" s="0" t="s">
        <v>12</v>
      </c>
      <c r="G180" s="0" t="s">
        <v>17</v>
      </c>
      <c r="I180" s="5">
        <v>5520.480000</v>
      </c>
      <c r="J180" s="5">
        <v>690.000000</v>
      </c>
    </row>
    <row r="181" spans="1:11">
      <c r="A181" s="22" t="str">
        <f>HYPERLINK("https://app.vivvix.com/360/KMI/IntelliDrive/ApplUI/Pages/CreativePages/CustomReportCreativeDetail.aspx?App=23&amp;ReportView=4&amp;Qid=1696098&amp;Row=173&amp;Col=1","Great Deal (Text Change)")</f>
        <v/>
      </c>
      <c r="B181" s="0" t="s">
        <v>166</v>
      </c>
      <c r="C181" s="0" t="s">
        <v>167</v>
      </c>
      <c r="D181" s="0" t="s">
        <v>167</v>
      </c>
      <c r="E181" s="0" t="s">
        <v>12</v>
      </c>
      <c r="F181" s="0" t="s">
        <v>12</v>
      </c>
      <c r="G181" s="0" t="s">
        <v>17</v>
      </c>
      <c r="I181" s="5">
        <v>1276.059000</v>
      </c>
      <c r="J181" s="5">
        <v>183.000000</v>
      </c>
    </row>
    <row r="182" spans="1:11">
      <c r="A182" s="22" t="str">
        <f>HYPERLINK("https://app.vivvix.com/360/KMI/IntelliDrive/ApplUI/Pages/CreativePages/CustomReportCreativeDetail.aspx?App=23&amp;ReportView=4&amp;Qid=1696098&amp;Row=174&amp;Col=1","Great Deal (Text Change)")</f>
        <v/>
      </c>
      <c r="B182" s="0" t="s">
        <v>166</v>
      </c>
      <c r="E182" s="0" t="s">
        <v>12</v>
      </c>
      <c r="F182" s="0" t="s">
        <v>12</v>
      </c>
      <c r="G182" s="0" t="s">
        <v>20</v>
      </c>
      <c r="I182" s="5">
        <v>430.920000</v>
      </c>
      <c r="J182" s="5">
        <v>4.000000</v>
      </c>
    </row>
    <row r="183" spans="1:11">
      <c r="A183" s="22" t="str">
        <f>HYPERLINK("https://app.vivvix.com/360/KMI/IntelliDrive/ApplUI/Pages/CreativePages/CustomReportCreativeDetail.aspx?App=23&amp;ReportView=4&amp;Qid=1696098&amp;Row=175&amp;Col=1","Great Deals")</f>
        <v/>
      </c>
      <c r="B183" s="0" t="s">
        <v>168</v>
      </c>
      <c r="E183" s="0" t="s">
        <v>12</v>
      </c>
      <c r="F183" s="0" t="s">
        <v>12</v>
      </c>
      <c r="G183" s="0" t="s">
        <v>17</v>
      </c>
      <c r="I183" s="5">
        <v>9510.820000</v>
      </c>
      <c r="J183" s="5">
        <v>2543.000000</v>
      </c>
    </row>
    <row r="184" spans="1:11">
      <c r="A184" s="22" t="str">
        <f>HYPERLINK("https://app.vivvix.com/360/KMI/IntelliDrive/ApplUI/Pages/CreativePages/CustomReportCreativeDetail.aspx?App=23&amp;ReportView=4&amp;Qid=1696098&amp;Row=176&amp;Col=1","Great Deals")</f>
        <v/>
      </c>
      <c r="B184" s="0" t="s">
        <v>168</v>
      </c>
      <c r="E184" s="0" t="s">
        <v>12</v>
      </c>
      <c r="F184" s="0" t="s">
        <v>12</v>
      </c>
      <c r="G184" s="0" t="s">
        <v>20</v>
      </c>
      <c r="I184" s="5">
        <v>40023.712000</v>
      </c>
      <c r="J184" s="5">
        <v>464.000000</v>
      </c>
    </row>
    <row r="185" spans="1:11">
      <c r="A185" s="22" t="str">
        <f>HYPERLINK("https://app.vivvix.com/360/KMI/IntelliDrive/ApplUI/Pages/CreativePages/CustomReportCreativeDetail.aspx?App=23&amp;ReportView=4&amp;Qid=1696098&amp;Row=177&amp;Col=1","Great Houses")</f>
        <v/>
      </c>
      <c r="B185" s="0" t="s">
        <v>169</v>
      </c>
      <c r="E185" s="0" t="s">
        <v>12</v>
      </c>
      <c r="F185" s="0" t="s">
        <v>12</v>
      </c>
      <c r="G185" s="0" t="s">
        <v>17</v>
      </c>
      <c r="I185" s="5">
        <v>88.796000</v>
      </c>
      <c r="J185" s="5">
        <v>10.000000</v>
      </c>
    </row>
    <row r="186" spans="1:11">
      <c r="A186" s="22" t="str">
        <f>HYPERLINK("https://app.vivvix.com/360/KMI/IntelliDrive/ApplUI/Pages/CreativePages/CustomReportCreativeDetail.aspx?App=23&amp;ReportView=4&amp;Qid=1696098&amp;Row=178&amp;Col=1","Great Service")</f>
        <v/>
      </c>
      <c r="B186" s="0" t="s">
        <v>170</v>
      </c>
      <c r="E186" s="0" t="s">
        <v>12</v>
      </c>
      <c r="F186" s="0" t="s">
        <v>12</v>
      </c>
      <c r="G186" s="0" t="s">
        <v>17</v>
      </c>
      <c r="I186" s="5">
        <v>155903.100000</v>
      </c>
      <c r="J186" s="5">
        <v>39772.000000</v>
      </c>
    </row>
    <row r="187" spans="1:11">
      <c r="A187" s="22" t="str">
        <f>HYPERLINK("https://app.vivvix.com/360/KMI/IntelliDrive/ApplUI/Pages/CreativePages/CustomReportCreativeDetail.aspx?App=23&amp;ReportView=4&amp;Qid=1696098&amp;Row=179&amp;Col=1","Great Service")</f>
        <v/>
      </c>
      <c r="B187" s="0" t="s">
        <v>170</v>
      </c>
      <c r="E187" s="0" t="s">
        <v>12</v>
      </c>
      <c r="F187" s="0" t="s">
        <v>12</v>
      </c>
      <c r="G187" s="0" t="s">
        <v>20</v>
      </c>
      <c r="I187" s="5">
        <v>1723947.406000</v>
      </c>
      <c r="J187" s="5">
        <v>17925.000000</v>
      </c>
    </row>
    <row r="188" spans="1:11">
      <c r="A188" s="22" t="str">
        <f>HYPERLINK("https://app.vivvix.com/360/KMI/IntelliDrive/ApplUI/Pages/CreativePages/CustomReportCreativeDetail.aspx?App=23&amp;ReportView=4&amp;Qid=1696098&amp;Row=180&amp;Col=1","Have Fun")</f>
        <v/>
      </c>
      <c r="B188" s="0" t="s">
        <v>171</v>
      </c>
      <c r="E188" s="0" t="s">
        <v>12</v>
      </c>
      <c r="F188" s="0" t="s">
        <v>12</v>
      </c>
      <c r="G188" s="0" t="s">
        <v>20</v>
      </c>
      <c r="I188" s="5">
        <v>248389.228000</v>
      </c>
      <c r="J188" s="5">
        <v>1436.000000</v>
      </c>
    </row>
    <row r="189" spans="1:11">
      <c r="A189" s="22" t="str">
        <f>HYPERLINK("https://app.vivvix.com/360/KMI/IntelliDrive/ApplUI/Pages/CreativePages/CustomReportCreativeDetail.aspx?App=23&amp;ReportView=4&amp;Qid=1696098&amp;Row=181&amp;Col=1","Have Fun")</f>
        <v/>
      </c>
      <c r="B189" s="0" t="s">
        <v>171</v>
      </c>
      <c r="E189" s="0" t="s">
        <v>12</v>
      </c>
      <c r="F189" s="0" t="s">
        <v>12</v>
      </c>
      <c r="G189" s="0" t="s">
        <v>17</v>
      </c>
      <c r="I189" s="5">
        <v>8730.610000</v>
      </c>
      <c r="J189" s="5">
        <v>955.000000</v>
      </c>
    </row>
    <row r="190" spans="1:11">
      <c r="A190" s="22" t="str">
        <f>HYPERLINK("https://app.vivvix.com/360/KMI/IntelliDrive/ApplUI/Pages/CreativePages/CustomReportCreativeDetail.aspx?App=23&amp;ReportView=4&amp;Qid=1696098&amp;Row=182&amp;Col=1","Have Fun")</f>
        <v/>
      </c>
      <c r="B190" s="0" t="s">
        <v>172</v>
      </c>
      <c r="E190" s="0" t="s">
        <v>12</v>
      </c>
      <c r="F190" s="0" t="s">
        <v>12</v>
      </c>
      <c r="G190" s="0" t="s">
        <v>17</v>
      </c>
      <c r="I190" s="5">
        <v>1050.197000</v>
      </c>
      <c r="J190" s="5">
        <v>149.000000</v>
      </c>
    </row>
    <row r="191" spans="1:11">
      <c r="A191" s="22" t="str">
        <f>HYPERLINK("https://app.vivvix.com/360/KMI/IntelliDrive/ApplUI/Pages/CreativePages/CustomReportCreativeDetail.aspx?App=23&amp;ReportView=4&amp;Qid=1696098&amp;Row=183&amp;Col=1","Have Fun")</f>
        <v/>
      </c>
      <c r="B191" s="0" t="s">
        <v>173</v>
      </c>
      <c r="E191" s="0" t="s">
        <v>12</v>
      </c>
      <c r="F191" s="0" t="s">
        <v>12</v>
      </c>
      <c r="G191" s="0" t="s">
        <v>17</v>
      </c>
      <c r="I191" s="5">
        <v>71.811000</v>
      </c>
      <c r="J191" s="5">
        <v>9.000000</v>
      </c>
    </row>
    <row r="192" spans="1:11">
      <c r="A192" s="22" t="str">
        <f>HYPERLINK("https://app.vivvix.com/360/KMI/IntelliDrive/ApplUI/Pages/CreativePages/CustomReportCreativeDetail.aspx?App=23&amp;ReportView=4&amp;Qid=1696098&amp;Row=184&amp;Col=1","Have Fun")</f>
        <v/>
      </c>
      <c r="B192" s="0" t="s">
        <v>174</v>
      </c>
      <c r="E192" s="0" t="s">
        <v>12</v>
      </c>
      <c r="F192" s="0" t="s">
        <v>12</v>
      </c>
      <c r="G192" s="0" t="s">
        <v>17</v>
      </c>
      <c r="I192" s="5">
        <v>55.478000</v>
      </c>
      <c r="J192" s="5">
        <v>10.000000</v>
      </c>
    </row>
    <row r="193" spans="1:11">
      <c r="A193" s="22" t="str">
        <f>HYPERLINK("https://app.vivvix.com/360/KMI/IntelliDrive/ApplUI/Pages/CreativePages/CustomReportCreativeDetail.aspx?App=23&amp;ReportView=4&amp;Qid=1696098&amp;Row=185&amp;Col=1","Have Fun (20 Sec.)")</f>
        <v/>
      </c>
      <c r="B193" s="0" t="s">
        <v>175</v>
      </c>
      <c r="E193" s="0" t="s">
        <v>12</v>
      </c>
      <c r="F193" s="0" t="s">
        <v>12</v>
      </c>
      <c r="G193" s="0" t="s">
        <v>17</v>
      </c>
      <c r="I193" s="5">
        <v>109.704000</v>
      </c>
      <c r="J193" s="5">
        <v>12.000000</v>
      </c>
    </row>
    <row r="194" spans="1:11">
      <c r="A194" s="22" t="str">
        <f>HYPERLINK("https://app.vivvix.com/360/KMI/IntelliDrive/ApplUI/Pages/CreativePages/CustomReportCreativeDetail.aspx?App=23&amp;ReportView=4&amp;Qid=1696098&amp;Row=186&amp;Col=1","Hill Station")</f>
        <v/>
      </c>
      <c r="B194" s="0" t="s">
        <v>176</v>
      </c>
      <c r="E194" s="0" t="s">
        <v>12</v>
      </c>
      <c r="F194" s="0" t="s">
        <v>12</v>
      </c>
      <c r="G194" s="0" t="s">
        <v>17</v>
      </c>
      <c r="I194" s="5">
        <v>173.698000</v>
      </c>
      <c r="J194" s="5">
        <v>19.000000</v>
      </c>
    </row>
    <row r="195" spans="1:11">
      <c r="A195" s="22" t="str">
        <f>HYPERLINK("https://app.vivvix.com/360/KMI/IntelliDrive/ApplUI/Pages/CreativePages/CustomReportCreativeDetail.aspx?App=23&amp;ReportView=4&amp;Qid=1696098&amp;Row=187&amp;Col=1","It's Digital")</f>
        <v/>
      </c>
      <c r="B195" s="0" t="s">
        <v>177</v>
      </c>
      <c r="E195" s="0" t="s">
        <v>12</v>
      </c>
      <c r="F195" s="0" t="s">
        <v>12</v>
      </c>
      <c r="G195" s="0" t="s">
        <v>17</v>
      </c>
      <c r="I195" s="5">
        <v>21.228000</v>
      </c>
      <c r="J195" s="5">
        <v>4.000000</v>
      </c>
    </row>
    <row r="196" spans="1:11">
      <c r="A196" s="22" t="str">
        <f>HYPERLINK("https://app.vivvix.com/360/KMI/IntelliDrive/ApplUI/Pages/CreativePages/CustomReportCreativeDetail.aspx?App=23&amp;ReportView=4&amp;Qid=1696098&amp;Row=188&amp;Col=1","Just Travel")</f>
        <v/>
      </c>
      <c r="B196" s="0" t="s">
        <v>178</v>
      </c>
      <c r="C196" s="0" t="s">
        <v>179</v>
      </c>
      <c r="D196" s="0" t="s">
        <v>179</v>
      </c>
      <c r="E196" s="0" t="s">
        <v>12</v>
      </c>
      <c r="F196" s="0" t="s">
        <v>12</v>
      </c>
      <c r="G196" s="0" t="s">
        <v>17</v>
      </c>
      <c r="I196" s="5">
        <v>6.973000</v>
      </c>
      <c r="J196" s="5">
        <v>1.000000</v>
      </c>
    </row>
    <row r="197" spans="1:11">
      <c r="A197" s="22" t="str">
        <f>HYPERLINK("https://app.vivvix.com/360/KMI/IntelliDrive/ApplUI/Pages/CreativePages/CustomReportCreativeDetail.aspx?App=23&amp;ReportView=4&amp;Qid=1696098&amp;Row=189&amp;Col=1","Keep Busy")</f>
        <v/>
      </c>
      <c r="B197" s="0" t="s">
        <v>180</v>
      </c>
      <c r="E197" s="0" t="s">
        <v>12</v>
      </c>
      <c r="F197" s="0" t="s">
        <v>12</v>
      </c>
      <c r="G197" s="0" t="s">
        <v>17</v>
      </c>
      <c r="I197" s="5">
        <v>39.645000</v>
      </c>
      <c r="J197" s="5">
        <v>6.000000</v>
      </c>
    </row>
    <row r="198" spans="1:11">
      <c r="A198" s="22" t="str">
        <f>HYPERLINK("https://app.vivvix.com/360/KMI/IntelliDrive/ApplUI/Pages/CreativePages/CustomReportCreativeDetail.aspx?App=23&amp;ReportView=4&amp;Qid=1696098&amp;Row=190&amp;Col=1","Know More")</f>
        <v/>
      </c>
      <c r="B198" s="0" t="s">
        <v>181</v>
      </c>
      <c r="E198" s="0" t="s">
        <v>12</v>
      </c>
      <c r="F198" s="0" t="s">
        <v>12</v>
      </c>
      <c r="G198" s="0" t="s">
        <v>17</v>
      </c>
      <c r="I198" s="5">
        <v>125.362000</v>
      </c>
      <c r="J198" s="5">
        <v>1.000000</v>
      </c>
    </row>
    <row r="199" spans="1:11">
      <c r="A199" s="22" t="str">
        <f>HYPERLINK("https://app.vivvix.com/360/KMI/IntelliDrive/ApplUI/Pages/CreativePages/CustomReportCreativeDetail.aspx?App=23&amp;ReportView=4&amp;Qid=1696098&amp;Row=191&amp;Col=1","Learn It")</f>
        <v/>
      </c>
      <c r="B199" s="0" t="s">
        <v>182</v>
      </c>
      <c r="E199" s="0" t="s">
        <v>12</v>
      </c>
      <c r="F199" s="0" t="s">
        <v>12</v>
      </c>
      <c r="G199" s="0" t="s">
        <v>17</v>
      </c>
      <c r="I199" s="5">
        <v>5.596000</v>
      </c>
      <c r="J199" s="5">
        <v>1.000000</v>
      </c>
    </row>
    <row r="200" spans="1:11">
      <c r="A200" s="22" t="str">
        <f>HYPERLINK("https://app.vivvix.com/360/KMI/IntelliDrive/ApplUI/Pages/CreativePages/CustomReportCreativeDetail.aspx?App=23&amp;ReportView=4&amp;Qid=1696098&amp;Row=192&amp;Col=1","Learn More")</f>
        <v/>
      </c>
      <c r="B200" s="0" t="s">
        <v>183</v>
      </c>
      <c r="E200" s="0" t="s">
        <v>12</v>
      </c>
      <c r="F200" s="0" t="s">
        <v>12</v>
      </c>
      <c r="G200" s="0" t="s">
        <v>17</v>
      </c>
      <c r="I200" s="5">
        <v>181.705000</v>
      </c>
      <c r="J200" s="5">
        <v>23.000000</v>
      </c>
    </row>
    <row r="201" spans="1:11">
      <c r="A201" s="22" t="str">
        <f>HYPERLINK("https://app.vivvix.com/360/KMI/IntelliDrive/ApplUI/Pages/CreativePages/CustomReportCreativeDetail.aspx?App=23&amp;ReportView=4&amp;Qid=1696098&amp;Row=193&amp;Col=1","Learn More")</f>
        <v/>
      </c>
      <c r="B201" s="0" t="s">
        <v>184</v>
      </c>
      <c r="E201" s="0" t="s">
        <v>12</v>
      </c>
      <c r="F201" s="0" t="s">
        <v>12</v>
      </c>
      <c r="G201" s="0" t="s">
        <v>17</v>
      </c>
      <c r="I201" s="5">
        <v>7.908000</v>
      </c>
      <c r="J201" s="5">
        <v>1.000000</v>
      </c>
    </row>
    <row r="202" spans="1:11">
      <c r="A202" s="22" t="str">
        <f>HYPERLINK("https://app.vivvix.com/360/KMI/IntelliDrive/ApplUI/Pages/CreativePages/CustomReportCreativeDetail.aspx?App=23&amp;ReportView=4&amp;Qid=1696098&amp;Row=194&amp;Col=1","Learn More (L/v Change)")</f>
        <v/>
      </c>
      <c r="B202" s="0" t="s">
        <v>185</v>
      </c>
      <c r="E202" s="0" t="s">
        <v>12</v>
      </c>
      <c r="F202" s="0" t="s">
        <v>12</v>
      </c>
      <c r="G202" s="0" t="s">
        <v>17</v>
      </c>
      <c r="I202" s="5">
        <v>9671.696000</v>
      </c>
      <c r="J202" s="5">
        <v>38.000000</v>
      </c>
    </row>
    <row r="203" spans="1:11">
      <c r="A203" s="22" t="str">
        <f>HYPERLINK("https://app.vivvix.com/360/KMI/IntelliDrive/ApplUI/Pages/CreativePages/CustomReportCreativeDetail.aspx?App=23&amp;ReportView=4&amp;Qid=1696098&amp;Row=195&amp;Col=1","Learn More (L/v Change)")</f>
        <v/>
      </c>
      <c r="B203" s="0" t="s">
        <v>186</v>
      </c>
      <c r="C203" s="0" t="s">
        <v>187</v>
      </c>
      <c r="D203" s="0" t="s">
        <v>187</v>
      </c>
      <c r="E203" s="0" t="s">
        <v>12</v>
      </c>
      <c r="F203" s="0" t="s">
        <v>12</v>
      </c>
      <c r="G203" s="0" t="s">
        <v>17</v>
      </c>
      <c r="I203" s="5">
        <v>149.420000</v>
      </c>
      <c r="J203" s="5">
        <v>20.000000</v>
      </c>
    </row>
    <row r="204" spans="1:11">
      <c r="A204" s="22" t="str">
        <f>HYPERLINK("https://app.vivvix.com/360/KMI/IntelliDrive/ApplUI/Pages/CreativePages/CustomReportCreativeDetail.aspx?App=23&amp;ReportView=4&amp;Qid=1696098&amp;Row=196&amp;Col=1","Learn More (L/v Change)")</f>
        <v/>
      </c>
      <c r="B204" s="0" t="s">
        <v>188</v>
      </c>
      <c r="E204" s="0" t="s">
        <v>12</v>
      </c>
      <c r="F204" s="0" t="s">
        <v>12</v>
      </c>
      <c r="G204" s="0" t="s">
        <v>17</v>
      </c>
      <c r="I204" s="5">
        <v>1277.083000</v>
      </c>
      <c r="J204" s="5">
        <v>7.000000</v>
      </c>
    </row>
    <row r="205" spans="1:11">
      <c r="A205" s="22" t="str">
        <f>HYPERLINK("https://app.vivvix.com/360/KMI/IntelliDrive/ApplUI/Pages/CreativePages/CustomReportCreativeDetail.aspx?App=23&amp;ReportView=4&amp;Qid=1696098&amp;Row=197&amp;Col=1","Learn More (Visual/Audio Change)")</f>
        <v/>
      </c>
      <c r="B205" s="0" t="s">
        <v>189</v>
      </c>
      <c r="E205" s="0" t="s">
        <v>12</v>
      </c>
      <c r="F205" s="0" t="s">
        <v>12</v>
      </c>
      <c r="G205" s="0" t="s">
        <v>17</v>
      </c>
      <c r="I205" s="5">
        <v>47081.819000</v>
      </c>
      <c r="J205" s="5">
        <v>7225.000000</v>
      </c>
    </row>
    <row r="206" spans="1:11">
      <c r="A206" s="22" t="str">
        <f>HYPERLINK("https://app.vivvix.com/360/KMI/IntelliDrive/ApplUI/Pages/CreativePages/CustomReportCreativeDetail.aspx?App=23&amp;ReportView=4&amp;Qid=1696098&amp;Row=198&amp;Col=1","Learn More (Visual/Audio Change)")</f>
        <v/>
      </c>
      <c r="B206" s="0" t="s">
        <v>189</v>
      </c>
      <c r="E206" s="0" t="s">
        <v>12</v>
      </c>
      <c r="F206" s="0" t="s">
        <v>12</v>
      </c>
      <c r="G206" s="0" t="s">
        <v>20</v>
      </c>
      <c r="I206" s="5">
        <v>1217492.156000</v>
      </c>
      <c r="J206" s="5">
        <v>7544.000000</v>
      </c>
    </row>
    <row r="207" spans="1:11">
      <c r="A207" s="22" t="str">
        <f>HYPERLINK("https://app.vivvix.com/360/KMI/IntelliDrive/ApplUI/Pages/CreativePages/CustomReportCreativeDetail.aspx?App=23&amp;ReportView=4&amp;Qid=1696098&amp;Row=199&amp;Col=1","Let's Go")</f>
        <v/>
      </c>
      <c r="B207" s="0" t="s">
        <v>190</v>
      </c>
      <c r="E207" s="0" t="s">
        <v>12</v>
      </c>
      <c r="F207" s="0" t="s">
        <v>12</v>
      </c>
      <c r="G207" s="0" t="s">
        <v>17</v>
      </c>
      <c r="I207" s="5">
        <v>110.582000</v>
      </c>
      <c r="J207" s="5">
        <v>14.000000</v>
      </c>
    </row>
    <row r="208" spans="1:11">
      <c r="A208" s="22" t="str">
        <f>HYPERLINK("https://app.vivvix.com/360/KMI/IntelliDrive/ApplUI/Pages/CreativePages/CustomReportCreativeDetail.aspx?App=23&amp;ReportView=4&amp;Qid=1696098&amp;Row=200&amp;Col=1","Manage Now")</f>
        <v/>
      </c>
      <c r="B208" s="0" t="s">
        <v>191</v>
      </c>
      <c r="C208" s="0" t="s">
        <v>192</v>
      </c>
      <c r="D208" s="0" t="s">
        <v>192</v>
      </c>
      <c r="E208" s="0" t="s">
        <v>12</v>
      </c>
      <c r="F208" s="0" t="s">
        <v>12</v>
      </c>
      <c r="G208" s="0" t="s">
        <v>17</v>
      </c>
      <c r="I208" s="5">
        <v>17089.568000</v>
      </c>
      <c r="J208" s="5">
        <v>4382.000000</v>
      </c>
    </row>
    <row r="209" spans="1:11">
      <c r="A209" s="22" t="str">
        <f>HYPERLINK("https://app.vivvix.com/360/KMI/IntelliDrive/ApplUI/Pages/CreativePages/CustomReportCreativeDetail.aspx?App=23&amp;ReportView=4&amp;Qid=1696098&amp;Row=201&amp;Col=1","Manage Now")</f>
        <v/>
      </c>
      <c r="B209" s="0" t="s">
        <v>191</v>
      </c>
      <c r="E209" s="0" t="s">
        <v>12</v>
      </c>
      <c r="F209" s="0" t="s">
        <v>12</v>
      </c>
      <c r="G209" s="0" t="s">
        <v>20</v>
      </c>
      <c r="I209" s="5">
        <v>592481.566000</v>
      </c>
      <c r="J209" s="5">
        <v>6170.000000</v>
      </c>
    </row>
    <row r="210" spans="1:11">
      <c r="A210" s="22" t="str">
        <f>HYPERLINK("https://app.vivvix.com/360/KMI/IntelliDrive/ApplUI/Pages/CreativePages/CustomReportCreativeDetail.aspx?App=23&amp;ReportView=4&amp;Qid=1696098&amp;Row=202&amp;Col=1","Many Places")</f>
        <v/>
      </c>
      <c r="B210" s="0" t="s">
        <v>193</v>
      </c>
      <c r="E210" s="0" t="s">
        <v>12</v>
      </c>
      <c r="F210" s="0" t="s">
        <v>12</v>
      </c>
      <c r="G210" s="0" t="s">
        <v>17</v>
      </c>
      <c r="I210" s="5">
        <v>137.143000</v>
      </c>
      <c r="J210" s="5">
        <v>24.000000</v>
      </c>
    </row>
    <row r="211" spans="1:11">
      <c r="A211" s="22" t="str">
        <f>HYPERLINK("https://app.vivvix.com/360/KMI/IntelliDrive/ApplUI/Pages/CreativePages/CustomReportCreativeDetail.aspx?App=23&amp;ReportView=4&amp;Qid=1696098&amp;Row=203&amp;Col=1","More Fun")</f>
        <v/>
      </c>
      <c r="B211" s="0" t="s">
        <v>194</v>
      </c>
      <c r="E211" s="0" t="s">
        <v>12</v>
      </c>
      <c r="F211" s="0" t="s">
        <v>12</v>
      </c>
      <c r="G211" s="0" t="s">
        <v>17</v>
      </c>
      <c r="I211" s="5">
        <v>42.281000</v>
      </c>
      <c r="J211" s="5">
        <v>7.000000</v>
      </c>
    </row>
    <row r="212" spans="1:11">
      <c r="A212" s="22" t="str">
        <f>HYPERLINK("https://app.vivvix.com/360/KMI/IntelliDrive/ApplUI/Pages/CreativePages/CustomReportCreativeDetail.aspx?App=23&amp;ReportView=4&amp;Qid=1696098&amp;Row=204&amp;Col=1","More Humidity")</f>
        <v/>
      </c>
      <c r="B212" s="0" t="s">
        <v>195</v>
      </c>
      <c r="E212" s="0" t="s">
        <v>12</v>
      </c>
      <c r="F212" s="0" t="s">
        <v>12</v>
      </c>
      <c r="G212" s="0" t="s">
        <v>17</v>
      </c>
      <c r="I212" s="5">
        <v>56.340000</v>
      </c>
      <c r="J212" s="5">
        <v>7.000000</v>
      </c>
    </row>
    <row r="213" spans="1:11">
      <c r="A213" s="22" t="str">
        <f>HYPERLINK("https://app.vivvix.com/360/KMI/IntelliDrive/ApplUI/Pages/CreativePages/CustomReportCreativeDetail.aspx?App=23&amp;ReportView=4&amp;Qid=1696098&amp;Row=205&amp;Col=1","More Humidity")</f>
        <v/>
      </c>
      <c r="B213" s="0" t="s">
        <v>196</v>
      </c>
      <c r="E213" s="0" t="s">
        <v>12</v>
      </c>
      <c r="F213" s="0" t="s">
        <v>12</v>
      </c>
      <c r="G213" s="0" t="s">
        <v>17</v>
      </c>
      <c r="I213" s="5">
        <v>978.194000</v>
      </c>
      <c r="J213" s="5">
        <v>107.000000</v>
      </c>
    </row>
    <row r="214" spans="1:11">
      <c r="A214" s="22" t="str">
        <f>HYPERLINK("https://app.vivvix.com/360/KMI/IntelliDrive/ApplUI/Pages/CreativePages/CustomReportCreativeDetail.aspx?App=23&amp;ReportView=4&amp;Qid=1696098&amp;Row=206&amp;Col=1","More Humidity")</f>
        <v/>
      </c>
      <c r="B214" s="0" t="s">
        <v>196</v>
      </c>
      <c r="E214" s="0" t="s">
        <v>12</v>
      </c>
      <c r="F214" s="0" t="s">
        <v>12</v>
      </c>
      <c r="G214" s="0" t="s">
        <v>20</v>
      </c>
      <c r="I214" s="5">
        <v>31481.086000</v>
      </c>
      <c r="J214" s="5">
        <v>182.000000</v>
      </c>
    </row>
    <row r="215" spans="1:11">
      <c r="A215" s="22" t="str">
        <f>HYPERLINK("https://app.vivvix.com/360/KMI/IntelliDrive/ApplUI/Pages/CreativePages/CustomReportCreativeDetail.aspx?App=23&amp;ReportView=4&amp;Qid=1696098&amp;Row=207&amp;Col=1","NO LEAD TEXT")</f>
        <v/>
      </c>
      <c r="B215" s="0" t="s">
        <v>197</v>
      </c>
      <c r="E215" s="0" t="s">
        <v>12</v>
      </c>
      <c r="F215" s="0" t="s">
        <v>12</v>
      </c>
      <c r="G215" s="0" t="s">
        <v>20</v>
      </c>
      <c r="I215" s="5">
        <v>13973.796000</v>
      </c>
      <c r="J215" s="5">
        <v>162.000000</v>
      </c>
    </row>
    <row r="216" spans="1:11">
      <c r="A216" s="22" t="str">
        <f>HYPERLINK("https://app.vivvix.com/360/KMI/IntelliDrive/ApplUI/Pages/CreativePages/CustomReportCreativeDetail.aspx?App=23&amp;ReportView=4&amp;Qid=1696098&amp;Row=208&amp;Col=1","NO LEAD TEXT")</f>
        <v/>
      </c>
      <c r="B216" s="0" t="s">
        <v>197</v>
      </c>
      <c r="E216" s="0" t="s">
        <v>12</v>
      </c>
      <c r="F216" s="0" t="s">
        <v>12</v>
      </c>
      <c r="G216" s="0" t="s">
        <v>17</v>
      </c>
      <c r="I216" s="5">
        <v>1275.340000</v>
      </c>
      <c r="J216" s="5">
        <v>341.000000</v>
      </c>
    </row>
    <row r="217" spans="1:11">
      <c r="A217" s="22" t="str">
        <f>HYPERLINK("https://app.vivvix.com/360/KMI/IntelliDrive/ApplUI/Pages/CreativePages/CustomReportCreativeDetail.aspx?App=23&amp;ReportView=4&amp;Qid=1696098&amp;Row=209&amp;Col=1","No Title Assigned - #15224440161")</f>
        <v/>
      </c>
      <c r="B217" s="0" t="s">
        <v>198</v>
      </c>
      <c r="E217" s="0" t="s">
        <v>12</v>
      </c>
      <c r="F217" s="0" t="s">
        <v>12</v>
      </c>
      <c r="G217" s="0" t="s">
        <v>17</v>
      </c>
      <c r="I217" s="5">
        <v>19.253000</v>
      </c>
      <c r="J217" s="5">
        <v>3.000000</v>
      </c>
    </row>
    <row r="218" spans="1:11">
      <c r="A218" s="22" t="str">
        <f>HYPERLINK("https://app.vivvix.com/360/KMI/IntelliDrive/ApplUI/Pages/CreativePages/CustomReportCreativeDetail.aspx?App=23&amp;ReportView=4&amp;Qid=1696098&amp;Row=210&amp;Col=1","No Title Assigned - #15247649025")</f>
        <v/>
      </c>
      <c r="B218" s="0" t="s">
        <v>199</v>
      </c>
      <c r="E218" s="0" t="s">
        <v>12</v>
      </c>
      <c r="F218" s="0" t="s">
        <v>12</v>
      </c>
      <c r="G218" s="0" t="s">
        <v>17</v>
      </c>
      <c r="I218" s="5">
        <v>66.970000</v>
      </c>
      <c r="J218" s="5">
        <v>9.000000</v>
      </c>
    </row>
    <row r="219" spans="1:11">
      <c r="A219" s="22" t="str">
        <f>HYPERLINK("https://app.vivvix.com/360/KMI/IntelliDrive/ApplUI/Pages/CreativePages/CustomReportCreativeDetail.aspx?App=23&amp;ReportView=4&amp;Qid=1696098&amp;Row=211&amp;Col=1","No Title Assigned - #15250186851")</f>
        <v/>
      </c>
      <c r="B219" s="0" t="s">
        <v>200</v>
      </c>
      <c r="E219" s="0" t="s">
        <v>12</v>
      </c>
      <c r="F219" s="0" t="s">
        <v>12</v>
      </c>
      <c r="G219" s="0" t="s">
        <v>17</v>
      </c>
      <c r="I219" s="5">
        <v>21.260000</v>
      </c>
      <c r="J219" s="5">
        <v>4.000000</v>
      </c>
    </row>
    <row r="220" spans="1:11">
      <c r="A220" s="22" t="str">
        <f>HYPERLINK("https://app.vivvix.com/360/KMI/IntelliDrive/ApplUI/Pages/CreativePages/CustomReportCreativeDetail.aspx?App=23&amp;ReportView=4&amp;Qid=1696098&amp;Row=212&amp;Col=1","No Title Assigned - #15250740127")</f>
        <v/>
      </c>
      <c r="B220" s="0" t="s">
        <v>201</v>
      </c>
      <c r="E220" s="0" t="s">
        <v>12</v>
      </c>
      <c r="F220" s="0" t="s">
        <v>12</v>
      </c>
      <c r="G220" s="0" t="s">
        <v>17</v>
      </c>
      <c r="I220" s="5">
        <v>127.988000</v>
      </c>
      <c r="J220" s="5">
        <v>14.000000</v>
      </c>
    </row>
    <row r="221" spans="1:11">
      <c r="A221" s="22" t="str">
        <f>HYPERLINK("https://app.vivvix.com/360/KMI/IntelliDrive/ApplUI/Pages/CreativePages/CustomReportCreativeDetail.aspx?App=23&amp;ReportView=4&amp;Qid=1696098&amp;Row=213&amp;Col=1","No Title Assigned - #15252237626")</f>
        <v/>
      </c>
      <c r="B221" s="0" t="s">
        <v>202</v>
      </c>
      <c r="E221" s="0" t="s">
        <v>12</v>
      </c>
      <c r="F221" s="0" t="s">
        <v>12</v>
      </c>
      <c r="G221" s="0" t="s">
        <v>17</v>
      </c>
      <c r="I221" s="5">
        <v>2294.642000</v>
      </c>
      <c r="J221" s="5">
        <v>251.000000</v>
      </c>
    </row>
    <row r="222" spans="1:11">
      <c r="A222" s="22" t="str">
        <f>HYPERLINK("https://app.vivvix.com/360/KMI/IntelliDrive/ApplUI/Pages/CreativePages/CustomReportCreativeDetail.aspx?App=23&amp;ReportView=4&amp;Qid=1696098&amp;Row=214&amp;Col=1","No Title Assigned - #15252237626")</f>
        <v/>
      </c>
      <c r="B222" s="0" t="s">
        <v>202</v>
      </c>
      <c r="E222" s="0" t="s">
        <v>12</v>
      </c>
      <c r="F222" s="0" t="s">
        <v>12</v>
      </c>
      <c r="G222" s="0" t="s">
        <v>20</v>
      </c>
      <c r="I222" s="5">
        <v>31135.140000</v>
      </c>
      <c r="J222" s="5">
        <v>180.000000</v>
      </c>
    </row>
    <row r="223" spans="1:11">
      <c r="A223" s="22" t="str">
        <f>HYPERLINK("https://app.vivvix.com/360/KMI/IntelliDrive/ApplUI/Pages/CreativePages/CustomReportCreativeDetail.aspx?App=23&amp;ReportView=4&amp;Qid=1696098&amp;Row=215&amp;Col=1","No Title Assigned - #15252247720")</f>
        <v/>
      </c>
      <c r="B223" s="0" t="s">
        <v>203</v>
      </c>
      <c r="E223" s="0" t="s">
        <v>12</v>
      </c>
      <c r="F223" s="0" t="s">
        <v>12</v>
      </c>
      <c r="G223" s="0" t="s">
        <v>204</v>
      </c>
      <c r="I223" s="5">
        <v>5001.374500</v>
      </c>
      <c r="J223" s="5">
        <v>1.000000</v>
      </c>
    </row>
    <row r="224" spans="1:11">
      <c r="A224" s="22" t="str">
        <f>HYPERLINK("https://app.vivvix.com/360/KMI/IntelliDrive/ApplUI/Pages/CreativePages/CustomReportCreativeDetail.aspx?App=23&amp;ReportView=4&amp;Qid=1696098&amp;Row=216&amp;Col=1","No Title Assigned - #15252293991")</f>
        <v/>
      </c>
      <c r="B224" s="0" t="s">
        <v>205</v>
      </c>
      <c r="E224" s="0" t="s">
        <v>12</v>
      </c>
      <c r="F224" s="0" t="s">
        <v>12</v>
      </c>
      <c r="G224" s="0" t="s">
        <v>204</v>
      </c>
      <c r="I224" s="5">
        <v>30008.247000</v>
      </c>
      <c r="J224" s="5">
        <v>6.000000</v>
      </c>
    </row>
    <row r="225" spans="1:11">
      <c r="A225" s="22" t="str">
        <f>HYPERLINK("https://app.vivvix.com/360/KMI/IntelliDrive/ApplUI/Pages/CreativePages/CustomReportCreativeDetail.aspx?App=23&amp;ReportView=4&amp;Qid=1696098&amp;Row=217&amp;Col=1","No Title Assigned - #15253563555")</f>
        <v/>
      </c>
      <c r="B225" s="0" t="s">
        <v>206</v>
      </c>
      <c r="E225" s="0" t="s">
        <v>12</v>
      </c>
      <c r="F225" s="0" t="s">
        <v>12</v>
      </c>
      <c r="G225" s="0" t="s">
        <v>17</v>
      </c>
      <c r="I225" s="5">
        <v>42.520000</v>
      </c>
      <c r="J225" s="5">
        <v>8.000000</v>
      </c>
    </row>
    <row r="226" spans="1:11">
      <c r="A226" s="22" t="str">
        <f>HYPERLINK("https://app.vivvix.com/360/KMI/IntelliDrive/ApplUI/Pages/CreativePages/CustomReportCreativeDetail.aspx?App=23&amp;ReportView=4&amp;Qid=1696098&amp;Row=218&amp;Col=1","No Title Assigned - #15258186773")</f>
        <v/>
      </c>
      <c r="B226" s="0" t="s">
        <v>207</v>
      </c>
      <c r="E226" s="0" t="s">
        <v>12</v>
      </c>
      <c r="F226" s="0" t="s">
        <v>12</v>
      </c>
      <c r="G226" s="0" t="s">
        <v>204</v>
      </c>
      <c r="I226" s="5">
        <v>10002.749000</v>
      </c>
      <c r="J226" s="5">
        <v>2.000000</v>
      </c>
    </row>
    <row r="227" spans="1:11">
      <c r="A227" s="22" t="str">
        <f>HYPERLINK("https://app.vivvix.com/360/KMI/IntelliDrive/ApplUI/Pages/CreativePages/CustomReportCreativeDetail.aspx?App=23&amp;ReportView=4&amp;Qid=1696098&amp;Row=219&amp;Col=1","No Title Assigned - #15258495793")</f>
        <v/>
      </c>
      <c r="B227" s="0" t="s">
        <v>208</v>
      </c>
      <c r="E227" s="0" t="s">
        <v>12</v>
      </c>
      <c r="F227" s="0" t="s">
        <v>12</v>
      </c>
      <c r="G227" s="0" t="s">
        <v>17</v>
      </c>
      <c r="I227" s="5">
        <v>108.380000</v>
      </c>
      <c r="J227" s="5">
        <v>13.000000</v>
      </c>
    </row>
    <row r="228" spans="1:11">
      <c r="A228" s="22" t="str">
        <f>HYPERLINK("https://app.vivvix.com/360/KMI/IntelliDrive/ApplUI/Pages/CreativePages/CustomReportCreativeDetail.aspx?App=23&amp;ReportView=4&amp;Qid=1696098&amp;Row=220&amp;Col=1","No Title Assigned - #15258528529")</f>
        <v/>
      </c>
      <c r="B228" s="0" t="s">
        <v>209</v>
      </c>
      <c r="E228" s="0" t="s">
        <v>12</v>
      </c>
      <c r="F228" s="0" t="s">
        <v>12</v>
      </c>
      <c r="G228" s="0" t="s">
        <v>17</v>
      </c>
      <c r="I228" s="5">
        <v>118.695000</v>
      </c>
      <c r="J228" s="5">
        <v>18.000000</v>
      </c>
    </row>
    <row r="229" spans="1:11">
      <c r="A229" s="22" t="str">
        <f>HYPERLINK("https://app.vivvix.com/360/KMI/IntelliDrive/ApplUI/Pages/CreativePages/CustomReportCreativeDetail.aspx?App=23&amp;ReportView=4&amp;Qid=1696098&amp;Row=221&amp;Col=1","No Title Assigned - #15258544882")</f>
        <v/>
      </c>
      <c r="B229" s="0" t="s">
        <v>210</v>
      </c>
      <c r="E229" s="0" t="s">
        <v>12</v>
      </c>
      <c r="F229" s="0" t="s">
        <v>12</v>
      </c>
      <c r="G229" s="0" t="s">
        <v>17</v>
      </c>
      <c r="I229" s="5">
        <v>1305.658000</v>
      </c>
      <c r="J229" s="5">
        <v>202.000000</v>
      </c>
    </row>
    <row r="230" spans="1:11">
      <c r="A230" s="22" t="str">
        <f>HYPERLINK("https://app.vivvix.com/360/KMI/IntelliDrive/ApplUI/Pages/CreativePages/CustomReportCreativeDetail.aspx?App=23&amp;ReportView=4&amp;Qid=1696098&amp;Row=222&amp;Col=1","No Title Assigned - #15258583046")</f>
        <v/>
      </c>
      <c r="B230" s="0" t="s">
        <v>211</v>
      </c>
      <c r="E230" s="0" t="s">
        <v>12</v>
      </c>
      <c r="F230" s="0" t="s">
        <v>12</v>
      </c>
      <c r="G230" s="0" t="s">
        <v>17</v>
      </c>
      <c r="I230" s="5">
        <v>18.284000</v>
      </c>
      <c r="J230" s="5">
        <v>2.000000</v>
      </c>
    </row>
    <row r="231" spans="1:11">
      <c r="A231" s="22" t="str">
        <f>HYPERLINK("https://app.vivvix.com/360/KMI/IntelliDrive/ApplUI/Pages/CreativePages/CustomReportCreativeDetail.aspx?App=23&amp;ReportView=4&amp;Qid=1696098&amp;Row=223&amp;Col=1","No Title Assigned - #15258625070")</f>
        <v/>
      </c>
      <c r="B231" s="0" t="s">
        <v>212</v>
      </c>
      <c r="E231" s="0" t="s">
        <v>12</v>
      </c>
      <c r="F231" s="0" t="s">
        <v>12</v>
      </c>
      <c r="G231" s="0" t="s">
        <v>17</v>
      </c>
      <c r="I231" s="5">
        <v>130.964000</v>
      </c>
      <c r="J231" s="5">
        <v>16.000000</v>
      </c>
    </row>
    <row r="232" spans="1:11">
      <c r="A232" s="22" t="str">
        <f>HYPERLINK("https://app.vivvix.com/360/KMI/IntelliDrive/ApplUI/Pages/CreativePages/CustomReportCreativeDetail.aspx?App=23&amp;ReportView=4&amp;Qid=1696098&amp;Row=224&amp;Col=1","No Title Assigned - #15258646484")</f>
        <v/>
      </c>
      <c r="B232" s="0" t="s">
        <v>213</v>
      </c>
      <c r="E232" s="0" t="s">
        <v>12</v>
      </c>
      <c r="F232" s="0" t="s">
        <v>12</v>
      </c>
      <c r="G232" s="0" t="s">
        <v>17</v>
      </c>
      <c r="I232" s="5">
        <v>100.805000</v>
      </c>
      <c r="J232" s="5">
        <v>15.000000</v>
      </c>
    </row>
    <row r="233" spans="1:11">
      <c r="A233" s="22" t="str">
        <f>HYPERLINK("https://app.vivvix.com/360/KMI/IntelliDrive/ApplUI/Pages/CreativePages/CustomReportCreativeDetail.aspx?App=23&amp;ReportView=4&amp;Qid=1696098&amp;Row=225&amp;Col=1","No Title Assigned - #15258697580")</f>
        <v/>
      </c>
      <c r="B233" s="0" t="s">
        <v>214</v>
      </c>
      <c r="E233" s="0" t="s">
        <v>12</v>
      </c>
      <c r="F233" s="0" t="s">
        <v>12</v>
      </c>
      <c r="G233" s="0" t="s">
        <v>17</v>
      </c>
      <c r="I233" s="5">
        <v>112.034000</v>
      </c>
      <c r="J233" s="5">
        <v>15.000000</v>
      </c>
    </row>
    <row r="234" spans="1:11">
      <c r="A234" s="22" t="str">
        <f>HYPERLINK("https://app.vivvix.com/360/KMI/IntelliDrive/ApplUI/Pages/CreativePages/CustomReportCreativeDetail.aspx?App=23&amp;ReportView=4&amp;Qid=1696098&amp;Row=226&amp;Col=1","No Title Assigned - #15258703792")</f>
        <v/>
      </c>
      <c r="B234" s="0" t="s">
        <v>215</v>
      </c>
      <c r="E234" s="0" t="s">
        <v>12</v>
      </c>
      <c r="F234" s="0" t="s">
        <v>12</v>
      </c>
      <c r="G234" s="0" t="s">
        <v>17</v>
      </c>
      <c r="I234" s="5">
        <v>18.284000</v>
      </c>
      <c r="J234" s="5">
        <v>2.000000</v>
      </c>
    </row>
    <row r="235" spans="1:11">
      <c r="A235" s="22" t="str">
        <f>HYPERLINK("https://app.vivvix.com/360/KMI/IntelliDrive/ApplUI/Pages/CreativePages/CustomReportCreativeDetail.aspx?App=23&amp;ReportView=4&amp;Qid=1696098&amp;Row=227&amp;Col=1","No Title Assigned - #15258732983")</f>
        <v/>
      </c>
      <c r="B235" s="0" t="s">
        <v>216</v>
      </c>
      <c r="E235" s="0" t="s">
        <v>12</v>
      </c>
      <c r="F235" s="0" t="s">
        <v>12</v>
      </c>
      <c r="G235" s="0" t="s">
        <v>17</v>
      </c>
      <c r="I235" s="5">
        <v>221.291000</v>
      </c>
      <c r="J235" s="5">
        <v>34.000000</v>
      </c>
    </row>
    <row r="236" spans="1:11">
      <c r="A236" s="22" t="str">
        <f>HYPERLINK("https://app.vivvix.com/360/KMI/IntelliDrive/ApplUI/Pages/CreativePages/CustomReportCreativeDetail.aspx?App=23&amp;ReportView=4&amp;Qid=1696098&amp;Row=228&amp;Col=1","No Title Assigned - #15258822682")</f>
        <v/>
      </c>
      <c r="B236" s="0" t="s">
        <v>217</v>
      </c>
      <c r="E236" s="0" t="s">
        <v>12</v>
      </c>
      <c r="F236" s="0" t="s">
        <v>12</v>
      </c>
      <c r="G236" s="0" t="s">
        <v>17</v>
      </c>
      <c r="I236" s="5">
        <v>144.460000</v>
      </c>
      <c r="J236" s="5">
        <v>20.000000</v>
      </c>
    </row>
    <row r="237" spans="1:11">
      <c r="A237" s="22" t="str">
        <f>HYPERLINK("https://app.vivvix.com/360/KMI/IntelliDrive/ApplUI/Pages/CreativePages/CustomReportCreativeDetail.aspx?App=23&amp;ReportView=4&amp;Qid=1696098&amp;Row=229&amp;Col=1","No Title Assigned - #15259009283")</f>
        <v/>
      </c>
      <c r="B237" s="0" t="s">
        <v>218</v>
      </c>
      <c r="E237" s="0" t="s">
        <v>12</v>
      </c>
      <c r="F237" s="0" t="s">
        <v>12</v>
      </c>
      <c r="G237" s="0" t="s">
        <v>204</v>
      </c>
      <c r="I237" s="5">
        <v>50013.745000</v>
      </c>
      <c r="J237" s="5">
        <v>10.000000</v>
      </c>
    </row>
    <row r="238" spans="1:11">
      <c r="A238" s="22" t="str">
        <f>HYPERLINK("https://app.vivvix.com/360/KMI/IntelliDrive/ApplUI/Pages/CreativePages/CustomReportCreativeDetail.aspx?App=23&amp;ReportView=4&amp;Qid=1696098&amp;Row=230&amp;Col=1","No Title Assigned - #15259016286")</f>
        <v/>
      </c>
      <c r="B238" s="0" t="s">
        <v>219</v>
      </c>
      <c r="E238" s="0" t="s">
        <v>12</v>
      </c>
      <c r="F238" s="0" t="s">
        <v>12</v>
      </c>
      <c r="G238" s="0" t="s">
        <v>17</v>
      </c>
      <c r="I238" s="5">
        <v>92.298000</v>
      </c>
      <c r="J238" s="5">
        <v>13.000000</v>
      </c>
    </row>
    <row r="239" spans="1:11">
      <c r="A239" s="22" t="str">
        <f>HYPERLINK("https://app.vivvix.com/360/KMI/IntelliDrive/ApplUI/Pages/CreativePages/CustomReportCreativeDetail.aspx?App=23&amp;ReportView=4&amp;Qid=1696098&amp;Row=231&amp;Col=1","No Title Assigned - #15259030799")</f>
        <v/>
      </c>
      <c r="B239" s="0" t="s">
        <v>220</v>
      </c>
      <c r="E239" s="0" t="s">
        <v>12</v>
      </c>
      <c r="F239" s="0" t="s">
        <v>12</v>
      </c>
      <c r="G239" s="0" t="s">
        <v>17</v>
      </c>
      <c r="I239" s="5">
        <v>42.164000</v>
      </c>
      <c r="J239" s="5">
        <v>5.000000</v>
      </c>
    </row>
    <row r="240" spans="1:11">
      <c r="A240" s="22" t="str">
        <f>HYPERLINK("https://app.vivvix.com/360/KMI/IntelliDrive/ApplUI/Pages/CreativePages/CustomReportCreativeDetail.aspx?App=23&amp;ReportView=4&amp;Qid=1696098&amp;Row=232&amp;Col=1","No Title Assigned - #15259128062")</f>
        <v/>
      </c>
      <c r="B240" s="0" t="s">
        <v>221</v>
      </c>
      <c r="E240" s="0" t="s">
        <v>12</v>
      </c>
      <c r="F240" s="0" t="s">
        <v>12</v>
      </c>
      <c r="G240" s="0" t="s">
        <v>17</v>
      </c>
      <c r="I240" s="5">
        <v>9.142000</v>
      </c>
      <c r="J240" s="5">
        <v>1.000000</v>
      </c>
    </row>
    <row r="241" spans="1:11">
      <c r="A241" s="22" t="str">
        <f>HYPERLINK("https://app.vivvix.com/360/KMI/IntelliDrive/ApplUI/Pages/CreativePages/CustomReportCreativeDetail.aspx?App=23&amp;ReportView=4&amp;Qid=1696098&amp;Row=233&amp;Col=1","No Title Assigned - #15260348031")</f>
        <v/>
      </c>
      <c r="B241" s="0" t="s">
        <v>222</v>
      </c>
      <c r="E241" s="0" t="s">
        <v>12</v>
      </c>
      <c r="F241" s="0" t="s">
        <v>12</v>
      </c>
      <c r="G241" s="0" t="s">
        <v>17</v>
      </c>
      <c r="I241" s="5">
        <v>9.142000</v>
      </c>
      <c r="J241" s="5">
        <v>1.000000</v>
      </c>
    </row>
    <row r="242" spans="1:11">
      <c r="A242" s="22" t="str">
        <f>HYPERLINK("https://app.vivvix.com/360/KMI/IntelliDrive/ApplUI/Pages/CreativePages/CustomReportCreativeDetail.aspx?App=23&amp;ReportView=4&amp;Qid=1696098&amp;Row=234&amp;Col=1","No Title Assigned - #15260667587")</f>
        <v/>
      </c>
      <c r="B242" s="0" t="s">
        <v>223</v>
      </c>
      <c r="E242" s="0" t="s">
        <v>12</v>
      </c>
      <c r="F242" s="0" t="s">
        <v>12</v>
      </c>
      <c r="G242" s="0" t="s">
        <v>17</v>
      </c>
      <c r="I242" s="5">
        <v>9.142000</v>
      </c>
      <c r="J242" s="5">
        <v>1.000000</v>
      </c>
    </row>
    <row r="243" spans="1:11">
      <c r="A243" s="22" t="str">
        <f>HYPERLINK("https://app.vivvix.com/360/KMI/IntelliDrive/ApplUI/Pages/CreativePages/CustomReportCreativeDetail.aspx?App=23&amp;ReportView=4&amp;Qid=1696098&amp;Row=235&amp;Col=1","No Title Assigned - #15261031417")</f>
        <v/>
      </c>
      <c r="B243" s="0" t="s">
        <v>224</v>
      </c>
      <c r="E243" s="0" t="s">
        <v>12</v>
      </c>
      <c r="F243" s="0" t="s">
        <v>12</v>
      </c>
      <c r="G243" s="0" t="s">
        <v>17</v>
      </c>
      <c r="I243" s="5">
        <v>9.142000</v>
      </c>
      <c r="J243" s="5">
        <v>1.000000</v>
      </c>
    </row>
    <row r="244" spans="1:11">
      <c r="A244" s="22" t="str">
        <f>HYPERLINK("https://app.vivvix.com/360/KMI/IntelliDrive/ApplUI/Pages/CreativePages/CustomReportCreativeDetail.aspx?App=23&amp;ReportView=4&amp;Qid=1696098&amp;Row=236&amp;Col=1","No Title Assigned - #15261326735")</f>
        <v/>
      </c>
      <c r="B244" s="0" t="s">
        <v>225</v>
      </c>
      <c r="E244" s="0" t="s">
        <v>12</v>
      </c>
      <c r="F244" s="0" t="s">
        <v>12</v>
      </c>
      <c r="G244" s="0" t="s">
        <v>17</v>
      </c>
      <c r="I244" s="5">
        <v>147.627000</v>
      </c>
      <c r="J244" s="5">
        <v>23.000000</v>
      </c>
    </row>
    <row r="245" spans="1:11">
      <c r="A245" s="22" t="str">
        <f>HYPERLINK("https://app.vivvix.com/360/KMI/IntelliDrive/ApplUI/Pages/CreativePages/CustomReportCreativeDetail.aspx?App=23&amp;ReportView=4&amp;Qid=1696098&amp;Row=237&amp;Col=1","No Title Assigned - #15261759413")</f>
        <v/>
      </c>
      <c r="B245" s="0" t="s">
        <v>226</v>
      </c>
      <c r="E245" s="0" t="s">
        <v>12</v>
      </c>
      <c r="F245" s="0" t="s">
        <v>12</v>
      </c>
      <c r="G245" s="0" t="s">
        <v>17</v>
      </c>
      <c r="I245" s="5">
        <v>9.142000</v>
      </c>
      <c r="J245" s="5">
        <v>1.000000</v>
      </c>
    </row>
    <row r="246" spans="1:11">
      <c r="A246" s="22" t="str">
        <f>HYPERLINK("https://app.vivvix.com/360/KMI/IntelliDrive/ApplUI/Pages/CreativePages/CustomReportCreativeDetail.aspx?App=23&amp;ReportView=4&amp;Qid=1696098&amp;Row=238&amp;Col=1","No Title Assigned - #15262408530")</f>
        <v/>
      </c>
      <c r="B246" s="0" t="s">
        <v>227</v>
      </c>
      <c r="E246" s="0" t="s">
        <v>12</v>
      </c>
      <c r="F246" s="0" t="s">
        <v>12</v>
      </c>
      <c r="G246" s="0" t="s">
        <v>17</v>
      </c>
      <c r="I246" s="5">
        <v>23.599000</v>
      </c>
      <c r="J246" s="5">
        <v>3.000000</v>
      </c>
    </row>
    <row r="247" spans="1:11">
      <c r="A247" s="22" t="str">
        <f>HYPERLINK("https://app.vivvix.com/360/KMI/IntelliDrive/ApplUI/Pages/CreativePages/CustomReportCreativeDetail.aspx?App=23&amp;ReportView=4&amp;Qid=1696098&amp;Row=239&amp;Col=1","No Title Assigned - #15262489391")</f>
        <v/>
      </c>
      <c r="B247" s="0" t="s">
        <v>228</v>
      </c>
      <c r="E247" s="0" t="s">
        <v>12</v>
      </c>
      <c r="F247" s="0" t="s">
        <v>12</v>
      </c>
      <c r="G247" s="0" t="s">
        <v>17</v>
      </c>
      <c r="I247" s="5">
        <v>14.457000</v>
      </c>
      <c r="J247" s="5">
        <v>2.000000</v>
      </c>
    </row>
    <row r="248" spans="1:11">
      <c r="A248" s="22" t="str">
        <f>HYPERLINK("https://app.vivvix.com/360/KMI/IntelliDrive/ApplUI/Pages/CreativePages/CustomReportCreativeDetail.aspx?App=23&amp;ReportView=4&amp;Qid=1696098&amp;Row=240&amp;Col=1","No Title Assigned - #15262811508")</f>
        <v/>
      </c>
      <c r="B248" s="0" t="s">
        <v>229</v>
      </c>
      <c r="E248" s="0" t="s">
        <v>12</v>
      </c>
      <c r="F248" s="0" t="s">
        <v>12</v>
      </c>
      <c r="G248" s="0" t="s">
        <v>204</v>
      </c>
      <c r="I248" s="5">
        <v>636.346400</v>
      </c>
      <c r="J248" s="5">
        <v>1.000000</v>
      </c>
    </row>
    <row r="249" spans="1:11">
      <c r="A249" s="22" t="str">
        <f>HYPERLINK("https://app.vivvix.com/360/KMI/IntelliDrive/ApplUI/Pages/CreativePages/CustomReportCreativeDetail.aspx?App=23&amp;ReportView=4&amp;Qid=1696098&amp;Row=241&amp;Col=1","No Title Assigned - #15262878962")</f>
        <v/>
      </c>
      <c r="B249" s="0" t="s">
        <v>230</v>
      </c>
      <c r="E249" s="0" t="s">
        <v>12</v>
      </c>
      <c r="F249" s="0" t="s">
        <v>12</v>
      </c>
      <c r="G249" s="0" t="s">
        <v>204</v>
      </c>
      <c r="I249" s="5">
        <v>63.251100</v>
      </c>
      <c r="J249" s="5">
        <v>3.000000</v>
      </c>
    </row>
    <row r="250" spans="1:11">
      <c r="A250" s="22" t="str">
        <f>HYPERLINK("https://app.vivvix.com/360/KMI/IntelliDrive/ApplUI/Pages/CreativePages/CustomReportCreativeDetail.aspx?App=23&amp;ReportView=4&amp;Qid=1696098&amp;Row=242&amp;Col=1","No Title Assigned - #15262878964")</f>
        <v/>
      </c>
      <c r="B250" s="0" t="s">
        <v>231</v>
      </c>
      <c r="E250" s="0" t="s">
        <v>12</v>
      </c>
      <c r="F250" s="0" t="s">
        <v>12</v>
      </c>
      <c r="G250" s="0" t="s">
        <v>204</v>
      </c>
      <c r="I250" s="5">
        <v>63.251100</v>
      </c>
      <c r="J250" s="5">
        <v>3.000000</v>
      </c>
    </row>
    <row r="251" spans="1:11">
      <c r="A251" s="22" t="str">
        <f>HYPERLINK("https://app.vivvix.com/360/KMI/IntelliDrive/ApplUI/Pages/CreativePages/CustomReportCreativeDetail.aspx?App=23&amp;ReportView=4&amp;Qid=1696098&amp;Row=243&amp;Col=1","No Title Assigned - #15262882808")</f>
        <v/>
      </c>
      <c r="B251" s="0" t="s">
        <v>232</v>
      </c>
      <c r="E251" s="0" t="s">
        <v>12</v>
      </c>
      <c r="F251" s="0" t="s">
        <v>12</v>
      </c>
      <c r="G251" s="0" t="s">
        <v>17</v>
      </c>
      <c r="I251" s="5">
        <v>9.142000</v>
      </c>
      <c r="J251" s="5">
        <v>1.000000</v>
      </c>
    </row>
    <row r="252" spans="1:11">
      <c r="A252" s="22" t="str">
        <f>HYPERLINK("https://app.vivvix.com/360/KMI/IntelliDrive/ApplUI/Pages/CreativePages/CustomReportCreativeDetail.aspx?App=23&amp;ReportView=4&amp;Qid=1696098&amp;Row=244&amp;Col=1","No Title Assigned - #15262921776")</f>
        <v/>
      </c>
      <c r="B252" s="0" t="s">
        <v>233</v>
      </c>
      <c r="E252" s="0" t="s">
        <v>12</v>
      </c>
      <c r="F252" s="0" t="s">
        <v>12</v>
      </c>
      <c r="G252" s="0" t="s">
        <v>204</v>
      </c>
      <c r="I252" s="5">
        <v>21.083700</v>
      </c>
      <c r="J252" s="5">
        <v>1.000000</v>
      </c>
    </row>
    <row r="253" spans="1:11">
      <c r="A253" s="22" t="str">
        <f>HYPERLINK("https://app.vivvix.com/360/KMI/IntelliDrive/ApplUI/Pages/CreativePages/CustomReportCreativeDetail.aspx?App=23&amp;ReportView=4&amp;Qid=1696098&amp;Row=245&amp;Col=1","No Title Assigned - #15262941255")</f>
        <v/>
      </c>
      <c r="B253" s="0" t="s">
        <v>234</v>
      </c>
      <c r="E253" s="0" t="s">
        <v>12</v>
      </c>
      <c r="F253" s="0" t="s">
        <v>12</v>
      </c>
      <c r="G253" s="0" t="s">
        <v>204</v>
      </c>
      <c r="I253" s="5">
        <v>21.083700</v>
      </c>
      <c r="J253" s="5">
        <v>1.000000</v>
      </c>
    </row>
    <row r="254" spans="1:11">
      <c r="A254" s="22" t="str">
        <f>HYPERLINK("https://app.vivvix.com/360/KMI/IntelliDrive/ApplUI/Pages/CreativePages/CustomReportCreativeDetail.aspx?App=23&amp;ReportView=4&amp;Qid=1696098&amp;Row=246&amp;Col=1","No Title Assigned - #15262946331")</f>
        <v/>
      </c>
      <c r="B254" s="0" t="s">
        <v>235</v>
      </c>
      <c r="E254" s="0" t="s">
        <v>12</v>
      </c>
      <c r="F254" s="0" t="s">
        <v>12</v>
      </c>
      <c r="G254" s="0" t="s">
        <v>204</v>
      </c>
      <c r="I254" s="5">
        <v>21.083700</v>
      </c>
      <c r="J254" s="5">
        <v>1.000000</v>
      </c>
    </row>
    <row r="255" spans="1:11">
      <c r="A255" s="22" t="str">
        <f>HYPERLINK("https://app.vivvix.com/360/KMI/IntelliDrive/ApplUI/Pages/CreativePages/CustomReportCreativeDetail.aspx?App=23&amp;ReportView=4&amp;Qid=1696098&amp;Row=247&amp;Col=1","No Title Assigned - #15262946414")</f>
        <v/>
      </c>
      <c r="B255" s="0" t="s">
        <v>236</v>
      </c>
      <c r="E255" s="0" t="s">
        <v>12</v>
      </c>
      <c r="F255" s="0" t="s">
        <v>12</v>
      </c>
      <c r="G255" s="0" t="s">
        <v>204</v>
      </c>
      <c r="I255" s="5">
        <v>450.535600</v>
      </c>
      <c r="J255" s="5">
        <v>1.000000</v>
      </c>
    </row>
    <row r="256" spans="1:11">
      <c r="A256" s="22" t="str">
        <f>HYPERLINK("https://app.vivvix.com/360/KMI/IntelliDrive/ApplUI/Pages/CreativePages/CustomReportCreativeDetail.aspx?App=23&amp;ReportView=4&amp;Qid=1696098&amp;Row=248&amp;Col=1","No Title Assigned - #15262973948")</f>
        <v/>
      </c>
      <c r="B256" s="0" t="s">
        <v>237</v>
      </c>
      <c r="E256" s="0" t="s">
        <v>12</v>
      </c>
      <c r="F256" s="0" t="s">
        <v>12</v>
      </c>
      <c r="G256" s="0" t="s">
        <v>204</v>
      </c>
      <c r="I256" s="5">
        <v>21.083700</v>
      </c>
      <c r="J256" s="5">
        <v>1.000000</v>
      </c>
    </row>
    <row r="257" spans="1:11">
      <c r="A257" s="22" t="str">
        <f>HYPERLINK("https://app.vivvix.com/360/KMI/IntelliDrive/ApplUI/Pages/CreativePages/CustomReportCreativeDetail.aspx?App=23&amp;ReportView=4&amp;Qid=1696098&amp;Row=249&amp;Col=1","No Title Assigned - #15262975774")</f>
        <v/>
      </c>
      <c r="B257" s="0" t="s">
        <v>238</v>
      </c>
      <c r="E257" s="0" t="s">
        <v>12</v>
      </c>
      <c r="F257" s="0" t="s">
        <v>12</v>
      </c>
      <c r="G257" s="0" t="s">
        <v>204</v>
      </c>
      <c r="I257" s="5">
        <v>684.001200</v>
      </c>
      <c r="J257" s="5">
        <v>1.000000</v>
      </c>
    </row>
    <row r="258" spans="1:11">
      <c r="A258" s="22" t="str">
        <f>HYPERLINK("https://app.vivvix.com/360/KMI/IntelliDrive/ApplUI/Pages/CreativePages/CustomReportCreativeDetail.aspx?App=23&amp;ReportView=4&amp;Qid=1696098&amp;Row=250&amp;Col=1","No Title Assigned - #15262978652")</f>
        <v/>
      </c>
      <c r="B258" s="0" t="s">
        <v>239</v>
      </c>
      <c r="E258" s="0" t="s">
        <v>12</v>
      </c>
      <c r="F258" s="0" t="s">
        <v>12</v>
      </c>
      <c r="G258" s="0" t="s">
        <v>204</v>
      </c>
      <c r="I258" s="5">
        <v>636.346400</v>
      </c>
      <c r="J258" s="5">
        <v>1.000000</v>
      </c>
    </row>
    <row r="259" spans="1:11">
      <c r="A259" s="22" t="str">
        <f>HYPERLINK("https://app.vivvix.com/360/KMI/IntelliDrive/ApplUI/Pages/CreativePages/CustomReportCreativeDetail.aspx?App=23&amp;ReportView=4&amp;Qid=1696098&amp;Row=251&amp;Col=1","No Title Assigned - #15263009957")</f>
        <v/>
      </c>
      <c r="B259" s="0" t="s">
        <v>240</v>
      </c>
      <c r="E259" s="0" t="s">
        <v>12</v>
      </c>
      <c r="F259" s="0" t="s">
        <v>12</v>
      </c>
      <c r="G259" s="0" t="s">
        <v>204</v>
      </c>
      <c r="I259" s="5">
        <v>1745.386400</v>
      </c>
      <c r="J259" s="5">
        <v>1.000000</v>
      </c>
    </row>
    <row r="260" spans="1:11">
      <c r="A260" s="22" t="str">
        <f>HYPERLINK("https://app.vivvix.com/360/KMI/IntelliDrive/ApplUI/Pages/CreativePages/CustomReportCreativeDetail.aspx?App=23&amp;ReportView=4&amp;Qid=1696098&amp;Row=252&amp;Col=1","No Title Assigned - #15263009958")</f>
        <v/>
      </c>
      <c r="B260" s="0" t="s">
        <v>241</v>
      </c>
      <c r="E260" s="0" t="s">
        <v>12</v>
      </c>
      <c r="F260" s="0" t="s">
        <v>12</v>
      </c>
      <c r="G260" s="0" t="s">
        <v>204</v>
      </c>
      <c r="I260" s="5">
        <v>1745.386400</v>
      </c>
      <c r="J260" s="5">
        <v>1.000000</v>
      </c>
    </row>
    <row r="261" spans="1:11">
      <c r="A261" s="22" t="str">
        <f>HYPERLINK("https://app.vivvix.com/360/KMI/IntelliDrive/ApplUI/Pages/CreativePages/CustomReportCreativeDetail.aspx?App=23&amp;ReportView=4&amp;Qid=1696098&amp;Row=253&amp;Col=1","No Title Assigned - #15263023999")</f>
        <v/>
      </c>
      <c r="B261" s="0" t="s">
        <v>242</v>
      </c>
      <c r="E261" s="0" t="s">
        <v>12</v>
      </c>
      <c r="F261" s="0" t="s">
        <v>12</v>
      </c>
      <c r="G261" s="0" t="s">
        <v>204</v>
      </c>
      <c r="I261" s="5">
        <v>460.749000</v>
      </c>
      <c r="J261" s="5">
        <v>1.000000</v>
      </c>
    </row>
    <row r="262" spans="1:11">
      <c r="A262" s="22" t="str">
        <f>HYPERLINK("https://app.vivvix.com/360/KMI/IntelliDrive/ApplUI/Pages/CreativePages/CustomReportCreativeDetail.aspx?App=23&amp;ReportView=4&amp;Qid=1696098&amp;Row=254&amp;Col=1","No Title Assigned - #15263083870")</f>
        <v/>
      </c>
      <c r="B262" s="0" t="s">
        <v>243</v>
      </c>
      <c r="E262" s="0" t="s">
        <v>12</v>
      </c>
      <c r="F262" s="0" t="s">
        <v>12</v>
      </c>
      <c r="G262" s="0" t="s">
        <v>17</v>
      </c>
      <c r="I262" s="5">
        <v>9.142000</v>
      </c>
      <c r="J262" s="5">
        <v>1.000000</v>
      </c>
    </row>
    <row r="263" spans="1:11">
      <c r="A263" s="22" t="str">
        <f>HYPERLINK("https://app.vivvix.com/360/KMI/IntelliDrive/ApplUI/Pages/CreativePages/CustomReportCreativeDetail.aspx?App=23&amp;ReportView=4&amp;Qid=1696098&amp;Row=255&amp;Col=1","No Title Assigned - #15263157020")</f>
        <v/>
      </c>
      <c r="B263" s="0" t="s">
        <v>244</v>
      </c>
      <c r="E263" s="0" t="s">
        <v>12</v>
      </c>
      <c r="F263" s="0" t="s">
        <v>12</v>
      </c>
      <c r="G263" s="0" t="s">
        <v>245</v>
      </c>
      <c r="I263" s="5">
        <v>916.299100</v>
      </c>
      <c r="J263" s="5">
        <v>1.000000</v>
      </c>
    </row>
    <row r="264" spans="1:11">
      <c r="A264" s="22" t="str">
        <f>HYPERLINK("https://app.vivvix.com/360/KMI/IntelliDrive/ApplUI/Pages/CreativePages/CustomReportCreativeDetail.aspx?App=23&amp;ReportView=4&amp;Qid=1696098&amp;Row=256&amp;Col=1","No Title Assigned - #15263164567")</f>
        <v/>
      </c>
      <c r="B264" s="0" t="s">
        <v>246</v>
      </c>
      <c r="E264" s="0" t="s">
        <v>12</v>
      </c>
      <c r="F264" s="0" t="s">
        <v>12</v>
      </c>
      <c r="G264" s="0" t="s">
        <v>204</v>
      </c>
      <c r="I264" s="5">
        <v>434.081400</v>
      </c>
      <c r="J264" s="5">
        <v>1.000000</v>
      </c>
    </row>
    <row r="265" spans="1:11">
      <c r="A265" s="22" t="str">
        <f>HYPERLINK("https://app.vivvix.com/360/KMI/IntelliDrive/ApplUI/Pages/CreativePages/CustomReportCreativeDetail.aspx?App=23&amp;ReportView=4&amp;Qid=1696098&amp;Row=257&amp;Col=1","No Title Assigned - #15263183331")</f>
        <v/>
      </c>
      <c r="B265" s="0" t="s">
        <v>247</v>
      </c>
      <c r="E265" s="0" t="s">
        <v>12</v>
      </c>
      <c r="F265" s="0" t="s">
        <v>12</v>
      </c>
      <c r="G265" s="0" t="s">
        <v>245</v>
      </c>
      <c r="I265" s="5">
        <v>531.971100</v>
      </c>
      <c r="J265" s="5">
        <v>1.000000</v>
      </c>
    </row>
    <row r="266" spans="1:11">
      <c r="A266" s="22" t="str">
        <f>HYPERLINK("https://app.vivvix.com/360/KMI/IntelliDrive/ApplUI/Pages/CreativePages/CustomReportCreativeDetail.aspx?App=23&amp;ReportView=4&amp;Qid=1696098&amp;Row=258&amp;Col=1","No Title Assigned - #15263267911")</f>
        <v/>
      </c>
      <c r="B266" s="0" t="s">
        <v>248</v>
      </c>
      <c r="E266" s="0" t="s">
        <v>12</v>
      </c>
      <c r="F266" s="0" t="s">
        <v>12</v>
      </c>
      <c r="G266" s="0" t="s">
        <v>204</v>
      </c>
      <c r="I266" s="5">
        <v>533.140100</v>
      </c>
      <c r="J266" s="5">
        <v>1.000000</v>
      </c>
    </row>
    <row r="267" spans="1:11">
      <c r="A267" s="22" t="str">
        <f>HYPERLINK("https://app.vivvix.com/360/KMI/IntelliDrive/ApplUI/Pages/CreativePages/CustomReportCreativeDetail.aspx?App=23&amp;ReportView=4&amp;Qid=1696098&amp;Row=259&amp;Col=1","No Title Assigned - #15263267913")</f>
        <v/>
      </c>
      <c r="B267" s="0" t="s">
        <v>249</v>
      </c>
      <c r="E267" s="0" t="s">
        <v>12</v>
      </c>
      <c r="F267" s="0" t="s">
        <v>12</v>
      </c>
      <c r="G267" s="0" t="s">
        <v>204</v>
      </c>
      <c r="I267" s="5">
        <v>533.140100</v>
      </c>
      <c r="J267" s="5">
        <v>1.000000</v>
      </c>
    </row>
    <row r="268" spans="1:11">
      <c r="A268" s="22" t="str">
        <f>HYPERLINK("https://app.vivvix.com/360/KMI/IntelliDrive/ApplUI/Pages/CreativePages/CustomReportCreativeDetail.aspx?App=23&amp;ReportView=4&amp;Qid=1696098&amp;Row=260&amp;Col=1","No Title Assigned - #15263286855")</f>
        <v/>
      </c>
      <c r="B268" s="0" t="s">
        <v>250</v>
      </c>
      <c r="E268" s="0" t="s">
        <v>12</v>
      </c>
      <c r="F268" s="0" t="s">
        <v>12</v>
      </c>
      <c r="G268" s="0" t="s">
        <v>204</v>
      </c>
      <c r="I268" s="5">
        <v>482.889400</v>
      </c>
      <c r="J268" s="5">
        <v>1.000000</v>
      </c>
    </row>
    <row r="269" spans="1:11">
      <c r="A269" s="22" t="str">
        <f>HYPERLINK("https://app.vivvix.com/360/KMI/IntelliDrive/ApplUI/Pages/CreativePages/CustomReportCreativeDetail.aspx?App=23&amp;ReportView=4&amp;Qid=1696098&amp;Row=261&amp;Col=1","No Title Assigned - #15263333506")</f>
        <v/>
      </c>
      <c r="B269" s="0" t="s">
        <v>251</v>
      </c>
      <c r="E269" s="0" t="s">
        <v>12</v>
      </c>
      <c r="F269" s="0" t="s">
        <v>12</v>
      </c>
      <c r="G269" s="0" t="s">
        <v>204</v>
      </c>
      <c r="I269" s="5">
        <v>266.142700</v>
      </c>
      <c r="J269" s="5">
        <v>1.000000</v>
      </c>
    </row>
    <row r="270" spans="1:11">
      <c r="A270" s="22" t="str">
        <f>HYPERLINK("https://app.vivvix.com/360/KMI/IntelliDrive/ApplUI/Pages/CreativePages/CustomReportCreativeDetail.aspx?App=23&amp;ReportView=4&amp;Qid=1696098&amp;Row=262&amp;Col=1","No Title Assigned - #15263333507")</f>
        <v/>
      </c>
      <c r="B270" s="0" t="s">
        <v>252</v>
      </c>
      <c r="E270" s="0" t="s">
        <v>12</v>
      </c>
      <c r="F270" s="0" t="s">
        <v>12</v>
      </c>
      <c r="G270" s="0" t="s">
        <v>204</v>
      </c>
      <c r="I270" s="5">
        <v>266.142700</v>
      </c>
      <c r="J270" s="5">
        <v>1.000000</v>
      </c>
    </row>
    <row r="271" spans="1:11">
      <c r="A271" s="22" t="str">
        <f>HYPERLINK("https://app.vivvix.com/360/KMI/IntelliDrive/ApplUI/Pages/CreativePages/CustomReportCreativeDetail.aspx?App=23&amp;ReportView=4&amp;Qid=1696098&amp;Row=263&amp;Col=1","No Title Assigned - #15263336407")</f>
        <v/>
      </c>
      <c r="B271" s="0" t="s">
        <v>253</v>
      </c>
      <c r="E271" s="0" t="s">
        <v>12</v>
      </c>
      <c r="F271" s="0" t="s">
        <v>12</v>
      </c>
      <c r="G271" s="0" t="s">
        <v>204</v>
      </c>
      <c r="I271" s="5">
        <v>770.886300</v>
      </c>
      <c r="J271" s="5">
        <v>1.000000</v>
      </c>
    </row>
    <row r="272" spans="1:11">
      <c r="A272" s="22" t="str">
        <f>HYPERLINK("https://app.vivvix.com/360/KMI/IntelliDrive/ApplUI/Pages/CreativePages/CustomReportCreativeDetail.aspx?App=23&amp;ReportView=4&amp;Qid=1696098&amp;Row=264&amp;Col=1","No Title Assigned - #15263344801")</f>
        <v/>
      </c>
      <c r="B272" s="0" t="s">
        <v>254</v>
      </c>
      <c r="E272" s="0" t="s">
        <v>12</v>
      </c>
      <c r="F272" s="0" t="s">
        <v>12</v>
      </c>
      <c r="G272" s="0" t="s">
        <v>204</v>
      </c>
      <c r="I272" s="5">
        <v>589.675000</v>
      </c>
      <c r="J272" s="5">
        <v>1.000000</v>
      </c>
    </row>
    <row r="273" spans="1:11">
      <c r="A273" s="22" t="str">
        <f>HYPERLINK("https://app.vivvix.com/360/KMI/IntelliDrive/ApplUI/Pages/CreativePages/CustomReportCreativeDetail.aspx?App=23&amp;ReportView=4&amp;Qid=1696098&amp;Row=265&amp;Col=1","No Title Assigned - #15263352632")</f>
        <v/>
      </c>
      <c r="B273" s="0" t="s">
        <v>255</v>
      </c>
      <c r="E273" s="0" t="s">
        <v>12</v>
      </c>
      <c r="F273" s="0" t="s">
        <v>12</v>
      </c>
      <c r="G273" s="0" t="s">
        <v>204</v>
      </c>
      <c r="I273" s="5">
        <v>455.946200</v>
      </c>
      <c r="J273" s="5">
        <v>1.000000</v>
      </c>
    </row>
    <row r="274" spans="1:11">
      <c r="A274" s="22" t="str">
        <f>HYPERLINK("https://app.vivvix.com/360/KMI/IntelliDrive/ApplUI/Pages/CreativePages/CustomReportCreativeDetail.aspx?App=23&amp;ReportView=4&amp;Qid=1696098&amp;Row=266&amp;Col=1","No Title Assigned - #15263398834")</f>
        <v/>
      </c>
      <c r="B274" s="0" t="s">
        <v>256</v>
      </c>
      <c r="E274" s="0" t="s">
        <v>12</v>
      </c>
      <c r="F274" s="0" t="s">
        <v>12</v>
      </c>
      <c r="G274" s="0" t="s">
        <v>204</v>
      </c>
      <c r="I274" s="5">
        <v>21.083700</v>
      </c>
      <c r="J274" s="5">
        <v>1.000000</v>
      </c>
    </row>
    <row r="275" spans="1:11">
      <c r="A275" s="22" t="str">
        <f>HYPERLINK("https://app.vivvix.com/360/KMI/IntelliDrive/ApplUI/Pages/CreativePages/CustomReportCreativeDetail.aspx?App=23&amp;ReportView=4&amp;Qid=1696098&amp;Row=267&amp;Col=1","No Title Assigned - #15263410772")</f>
        <v/>
      </c>
      <c r="B275" s="0" t="s">
        <v>257</v>
      </c>
      <c r="E275" s="0" t="s">
        <v>12</v>
      </c>
      <c r="F275" s="0" t="s">
        <v>12</v>
      </c>
      <c r="G275" s="0" t="s">
        <v>245</v>
      </c>
      <c r="I275" s="5">
        <v>531.971100</v>
      </c>
      <c r="J275" s="5">
        <v>1.000000</v>
      </c>
    </row>
    <row r="276" spans="1:11">
      <c r="A276" s="22" t="str">
        <f>HYPERLINK("https://app.vivvix.com/360/KMI/IntelliDrive/ApplUI/Pages/CreativePages/CustomReportCreativeDetail.aspx?App=23&amp;ReportView=4&amp;Qid=1696098&amp;Row=268&amp;Col=1","No Title Assigned - #15263439343")</f>
        <v/>
      </c>
      <c r="B276" s="0" t="s">
        <v>258</v>
      </c>
      <c r="E276" s="0" t="s">
        <v>12</v>
      </c>
      <c r="F276" s="0" t="s">
        <v>12</v>
      </c>
      <c r="G276" s="0" t="s">
        <v>17</v>
      </c>
      <c r="I276" s="5">
        <v>19.772000</v>
      </c>
      <c r="J276" s="5">
        <v>3.000000</v>
      </c>
    </row>
    <row r="277" spans="1:11">
      <c r="A277" s="22" t="str">
        <f>HYPERLINK("https://app.vivvix.com/360/KMI/IntelliDrive/ApplUI/Pages/CreativePages/CustomReportCreativeDetail.aspx?App=23&amp;ReportView=4&amp;Qid=1696098&amp;Row=269&amp;Col=1","No Title Assigned - #15263441426")</f>
        <v/>
      </c>
      <c r="B277" s="0" t="s">
        <v>259</v>
      </c>
      <c r="E277" s="0" t="s">
        <v>12</v>
      </c>
      <c r="F277" s="0" t="s">
        <v>12</v>
      </c>
      <c r="G277" s="0" t="s">
        <v>204</v>
      </c>
      <c r="I277" s="5">
        <v>420.220300</v>
      </c>
      <c r="J277" s="5">
        <v>1.000000</v>
      </c>
    </row>
    <row r="278" spans="1:11">
      <c r="A278" s="22" t="str">
        <f>HYPERLINK("https://app.vivvix.com/360/KMI/IntelliDrive/ApplUI/Pages/CreativePages/CustomReportCreativeDetail.aspx?App=23&amp;ReportView=4&amp;Qid=1696098&amp;Row=270&amp;Col=1","No Title Assigned - #15263490135")</f>
        <v/>
      </c>
      <c r="B278" s="0" t="s">
        <v>260</v>
      </c>
      <c r="E278" s="0" t="s">
        <v>12</v>
      </c>
      <c r="F278" s="0" t="s">
        <v>12</v>
      </c>
      <c r="G278" s="0" t="s">
        <v>204</v>
      </c>
      <c r="I278" s="5">
        <v>28619.351600</v>
      </c>
      <c r="J278" s="5">
        <v>1.000000</v>
      </c>
    </row>
    <row r="279" spans="1:11">
      <c r="A279" s="22" t="str">
        <f>HYPERLINK("https://app.vivvix.com/360/KMI/IntelliDrive/ApplUI/Pages/CreativePages/CustomReportCreativeDetail.aspx?App=23&amp;ReportView=4&amp;Qid=1696098&amp;Row=271&amp;Col=1","No Title Assigned - #15263556863")</f>
        <v/>
      </c>
      <c r="B279" s="0" t="s">
        <v>261</v>
      </c>
      <c r="E279" s="0" t="s">
        <v>12</v>
      </c>
      <c r="F279" s="0" t="s">
        <v>12</v>
      </c>
      <c r="G279" s="0" t="s">
        <v>204</v>
      </c>
      <c r="I279" s="5">
        <v>21.083700</v>
      </c>
      <c r="J279" s="5">
        <v>1.000000</v>
      </c>
    </row>
    <row r="280" spans="1:11">
      <c r="A280" s="22" t="str">
        <f>HYPERLINK("https://app.vivvix.com/360/KMI/IntelliDrive/ApplUI/Pages/CreativePages/CustomReportCreativeDetail.aspx?App=23&amp;ReportView=4&amp;Qid=1696098&amp;Row=272&amp;Col=1","No Title Assigned - #15263560844")</f>
        <v/>
      </c>
      <c r="B280" s="0" t="s">
        <v>262</v>
      </c>
      <c r="E280" s="0" t="s">
        <v>12</v>
      </c>
      <c r="F280" s="0" t="s">
        <v>12</v>
      </c>
      <c r="G280" s="0" t="s">
        <v>245</v>
      </c>
      <c r="I280" s="5">
        <v>1272.160600</v>
      </c>
      <c r="J280" s="5">
        <v>1.000000</v>
      </c>
    </row>
    <row r="281" spans="1:11">
      <c r="A281" s="22" t="str">
        <f>HYPERLINK("https://app.vivvix.com/360/KMI/IntelliDrive/ApplUI/Pages/CreativePages/CustomReportCreativeDetail.aspx?App=23&amp;ReportView=4&amp;Qid=1696098&amp;Row=273&amp;Col=1","No Title Assigned - #15263564923")</f>
        <v/>
      </c>
      <c r="B281" s="0" t="s">
        <v>263</v>
      </c>
      <c r="E281" s="0" t="s">
        <v>12</v>
      </c>
      <c r="F281" s="0" t="s">
        <v>12</v>
      </c>
      <c r="G281" s="0" t="s">
        <v>204</v>
      </c>
      <c r="I281" s="5">
        <v>542.125400</v>
      </c>
      <c r="J281" s="5">
        <v>1.000000</v>
      </c>
    </row>
    <row r="282" spans="1:11">
      <c r="A282" s="22" t="str">
        <f>HYPERLINK("https://app.vivvix.com/360/KMI/IntelliDrive/ApplUI/Pages/CreativePages/CustomReportCreativeDetail.aspx?App=23&amp;ReportView=4&amp;Qid=1696098&amp;Row=274&amp;Col=1","No Title Assigned - #15263566102")</f>
        <v/>
      </c>
      <c r="B282" s="0" t="s">
        <v>264</v>
      </c>
      <c r="E282" s="0" t="s">
        <v>12</v>
      </c>
      <c r="F282" s="0" t="s">
        <v>12</v>
      </c>
      <c r="G282" s="0" t="s">
        <v>204</v>
      </c>
      <c r="I282" s="5">
        <v>21.083700</v>
      </c>
      <c r="J282" s="5">
        <v>1.000000</v>
      </c>
    </row>
    <row r="283" spans="1:11">
      <c r="A283" s="22" t="str">
        <f>HYPERLINK("https://app.vivvix.com/360/KMI/IntelliDrive/ApplUI/Pages/CreativePages/CustomReportCreativeDetail.aspx?App=23&amp;ReportView=4&amp;Qid=1696098&amp;Row=275&amp;Col=1","No Title Assigned - #15263701235")</f>
        <v/>
      </c>
      <c r="B283" s="0" t="s">
        <v>265</v>
      </c>
      <c r="E283" s="0" t="s">
        <v>12</v>
      </c>
      <c r="F283" s="0" t="s">
        <v>12</v>
      </c>
      <c r="G283" s="0" t="s">
        <v>204</v>
      </c>
      <c r="I283" s="5">
        <v>684.001200</v>
      </c>
      <c r="J283" s="5">
        <v>1.000000</v>
      </c>
    </row>
    <row r="284" spans="1:11">
      <c r="A284" s="22" t="str">
        <f>HYPERLINK("https://app.vivvix.com/360/KMI/IntelliDrive/ApplUI/Pages/CreativePages/CustomReportCreativeDetail.aspx?App=23&amp;ReportView=4&amp;Qid=1696098&amp;Row=276&amp;Col=1","No Title Assigned - #15263705864")</f>
        <v/>
      </c>
      <c r="B284" s="0" t="s">
        <v>266</v>
      </c>
      <c r="E284" s="0" t="s">
        <v>12</v>
      </c>
      <c r="F284" s="0" t="s">
        <v>12</v>
      </c>
      <c r="G284" s="0" t="s">
        <v>204</v>
      </c>
      <c r="I284" s="5">
        <v>21.083700</v>
      </c>
      <c r="J284" s="5">
        <v>1.000000</v>
      </c>
    </row>
    <row r="285" spans="1:11">
      <c r="A285" s="22" t="str">
        <f>HYPERLINK("https://app.vivvix.com/360/KMI/IntelliDrive/ApplUI/Pages/CreativePages/CustomReportCreativeDetail.aspx?App=23&amp;ReportView=4&amp;Qid=1696098&amp;Row=277&amp;Col=1","No Title Assigned - #15263752247")</f>
        <v/>
      </c>
      <c r="B285" s="0" t="s">
        <v>267</v>
      </c>
      <c r="E285" s="0" t="s">
        <v>12</v>
      </c>
      <c r="F285" s="0" t="s">
        <v>12</v>
      </c>
      <c r="G285" s="0" t="s">
        <v>204</v>
      </c>
      <c r="I285" s="5">
        <v>390.428600</v>
      </c>
      <c r="J285" s="5">
        <v>1.000000</v>
      </c>
    </row>
    <row r="286" spans="1:11">
      <c r="A286" s="22" t="str">
        <f>HYPERLINK("https://app.vivvix.com/360/KMI/IntelliDrive/ApplUI/Pages/CreativePages/CustomReportCreativeDetail.aspx?App=23&amp;ReportView=4&amp;Qid=1696098&amp;Row=278&amp;Col=1","No Title Assigned - #15263752383")</f>
        <v/>
      </c>
      <c r="B286" s="0" t="s">
        <v>268</v>
      </c>
      <c r="E286" s="0" t="s">
        <v>12</v>
      </c>
      <c r="F286" s="0" t="s">
        <v>12</v>
      </c>
      <c r="G286" s="0" t="s">
        <v>245</v>
      </c>
      <c r="I286" s="5">
        <v>123.816900</v>
      </c>
      <c r="J286" s="5">
        <v>1.000000</v>
      </c>
    </row>
    <row r="287" spans="1:11">
      <c r="A287" s="22" t="str">
        <f>HYPERLINK("https://app.vivvix.com/360/KMI/IntelliDrive/ApplUI/Pages/CreativePages/CustomReportCreativeDetail.aspx?App=23&amp;ReportView=4&amp;Qid=1696098&amp;Row=279&amp;Col=1","No Title Assigned - #15263768794")</f>
        <v/>
      </c>
      <c r="B287" s="0" t="s">
        <v>269</v>
      </c>
      <c r="E287" s="0" t="s">
        <v>12</v>
      </c>
      <c r="F287" s="0" t="s">
        <v>12</v>
      </c>
      <c r="G287" s="0" t="s">
        <v>204</v>
      </c>
      <c r="I287" s="5">
        <v>82.839500</v>
      </c>
      <c r="J287" s="5">
        <v>4.000000</v>
      </c>
    </row>
    <row r="288" spans="1:11">
      <c r="A288" s="22" t="str">
        <f>HYPERLINK("https://app.vivvix.com/360/KMI/IntelliDrive/ApplUI/Pages/CreativePages/CustomReportCreativeDetail.aspx?App=23&amp;ReportView=4&amp;Qid=1696098&amp;Row=280&amp;Col=1","No Title Assigned - #15263872143")</f>
        <v/>
      </c>
      <c r="B288" s="0" t="s">
        <v>270</v>
      </c>
      <c r="E288" s="0" t="s">
        <v>12</v>
      </c>
      <c r="F288" s="0" t="s">
        <v>12</v>
      </c>
      <c r="G288" s="0" t="s">
        <v>245</v>
      </c>
      <c r="I288" s="5">
        <v>143.826900</v>
      </c>
      <c r="J288" s="5">
        <v>1.000000</v>
      </c>
    </row>
    <row r="289" spans="1:11">
      <c r="A289" s="22" t="str">
        <f>HYPERLINK("https://app.vivvix.com/360/KMI/IntelliDrive/ApplUI/Pages/CreativePages/CustomReportCreativeDetail.aspx?App=23&amp;ReportView=4&amp;Qid=1696098&amp;Row=281&amp;Col=1","No Title Assigned - #15263935184")</f>
        <v/>
      </c>
      <c r="B289" s="0" t="s">
        <v>271</v>
      </c>
      <c r="E289" s="0" t="s">
        <v>12</v>
      </c>
      <c r="F289" s="0" t="s">
        <v>12</v>
      </c>
      <c r="G289" s="0" t="s">
        <v>204</v>
      </c>
      <c r="I289" s="5">
        <v>120.521000</v>
      </c>
      <c r="J289" s="5">
        <v>6.000000</v>
      </c>
    </row>
    <row r="290" spans="1:11">
      <c r="A290" s="22" t="str">
        <f>HYPERLINK("https://app.vivvix.com/360/KMI/IntelliDrive/ApplUI/Pages/CreativePages/CustomReportCreativeDetail.aspx?App=23&amp;ReportView=4&amp;Qid=1696098&amp;Row=282&amp;Col=1","No Title Assigned - #15263941952")</f>
        <v/>
      </c>
      <c r="B290" s="0" t="s">
        <v>272</v>
      </c>
      <c r="E290" s="0" t="s">
        <v>12</v>
      </c>
      <c r="F290" s="0" t="s">
        <v>12</v>
      </c>
      <c r="G290" s="0" t="s">
        <v>204</v>
      </c>
      <c r="I290" s="5">
        <v>1597.782600</v>
      </c>
      <c r="J290" s="5">
        <v>2.000000</v>
      </c>
    </row>
    <row r="291" spans="1:11">
      <c r="A291" s="22" t="str">
        <f>HYPERLINK("https://app.vivvix.com/360/KMI/IntelliDrive/ApplUI/Pages/CreativePages/CustomReportCreativeDetail.aspx?App=23&amp;ReportView=4&amp;Qid=1696098&amp;Row=283&amp;Col=1","No Title Assigned - #15263941962")</f>
        <v/>
      </c>
      <c r="B291" s="0" t="s">
        <v>273</v>
      </c>
      <c r="E291" s="0" t="s">
        <v>12</v>
      </c>
      <c r="F291" s="0" t="s">
        <v>12</v>
      </c>
      <c r="G291" s="0" t="s">
        <v>204</v>
      </c>
      <c r="I291" s="5">
        <v>798.891300</v>
      </c>
      <c r="J291" s="5">
        <v>1.000000</v>
      </c>
    </row>
    <row r="292" spans="1:11">
      <c r="A292" s="22" t="str">
        <f>HYPERLINK("https://app.vivvix.com/360/KMI/IntelliDrive/ApplUI/Pages/CreativePages/CustomReportCreativeDetail.aspx?App=23&amp;ReportView=4&amp;Qid=1696098&amp;Row=284&amp;Col=1","No Title Assigned - #15263942583")</f>
        <v/>
      </c>
      <c r="B292" s="0" t="s">
        <v>274</v>
      </c>
      <c r="E292" s="0" t="s">
        <v>12</v>
      </c>
      <c r="F292" s="0" t="s">
        <v>12</v>
      </c>
      <c r="G292" s="0" t="s">
        <v>204</v>
      </c>
      <c r="I292" s="5">
        <v>21.083700</v>
      </c>
      <c r="J292" s="5">
        <v>1.000000</v>
      </c>
    </row>
    <row r="293" spans="1:11">
      <c r="A293" s="22" t="str">
        <f>HYPERLINK("https://app.vivvix.com/360/KMI/IntelliDrive/ApplUI/Pages/CreativePages/CustomReportCreativeDetail.aspx?App=23&amp;ReportView=4&amp;Qid=1696098&amp;Row=285&amp;Col=1","No Title Assigned - #15263979047")</f>
        <v/>
      </c>
      <c r="B293" s="0" t="s">
        <v>275</v>
      </c>
      <c r="E293" s="0" t="s">
        <v>12</v>
      </c>
      <c r="F293" s="0" t="s">
        <v>12</v>
      </c>
      <c r="G293" s="0" t="s">
        <v>204</v>
      </c>
      <c r="I293" s="5">
        <v>487.001700</v>
      </c>
      <c r="J293" s="5">
        <v>1.000000</v>
      </c>
    </row>
    <row r="294" spans="1:11">
      <c r="A294" s="22" t="str">
        <f>HYPERLINK("https://app.vivvix.com/360/KMI/IntelliDrive/ApplUI/Pages/CreativePages/CustomReportCreativeDetail.aspx?App=23&amp;ReportView=4&amp;Qid=1696098&amp;Row=286&amp;Col=1","No Title Assigned - #15264002833")</f>
        <v/>
      </c>
      <c r="B294" s="0" t="s">
        <v>276</v>
      </c>
      <c r="E294" s="0" t="s">
        <v>12</v>
      </c>
      <c r="F294" s="0" t="s">
        <v>12</v>
      </c>
      <c r="G294" s="0" t="s">
        <v>204</v>
      </c>
      <c r="I294" s="5">
        <v>756.487100</v>
      </c>
      <c r="J294" s="5">
        <v>1.000000</v>
      </c>
    </row>
    <row r="295" spans="1:11">
      <c r="A295" s="22" t="str">
        <f>HYPERLINK("https://app.vivvix.com/360/KMI/IntelliDrive/ApplUI/Pages/CreativePages/CustomReportCreativeDetail.aspx?App=23&amp;ReportView=4&amp;Qid=1696098&amp;Row=287&amp;Col=1","No Title Assigned - #15264022636")</f>
        <v/>
      </c>
      <c r="B295" s="0" t="s">
        <v>277</v>
      </c>
      <c r="E295" s="0" t="s">
        <v>12</v>
      </c>
      <c r="F295" s="0" t="s">
        <v>12</v>
      </c>
      <c r="G295" s="0" t="s">
        <v>204</v>
      </c>
      <c r="I295" s="5">
        <v>390.428600</v>
      </c>
      <c r="J295" s="5">
        <v>1.000000</v>
      </c>
    </row>
    <row r="296" spans="1:11">
      <c r="A296" s="22" t="str">
        <f>HYPERLINK("https://app.vivvix.com/360/KMI/IntelliDrive/ApplUI/Pages/CreativePages/CustomReportCreativeDetail.aspx?App=23&amp;ReportView=4&amp;Qid=1696098&amp;Row=288&amp;Col=1","No Title Assigned - #15264085103")</f>
        <v/>
      </c>
      <c r="B296" s="0" t="s">
        <v>278</v>
      </c>
      <c r="E296" s="0" t="s">
        <v>12</v>
      </c>
      <c r="F296" s="0" t="s">
        <v>12</v>
      </c>
      <c r="G296" s="0" t="s">
        <v>204</v>
      </c>
      <c r="I296" s="5">
        <v>454.574700</v>
      </c>
      <c r="J296" s="5">
        <v>1.000000</v>
      </c>
    </row>
    <row r="297" spans="1:11">
      <c r="A297" s="22" t="str">
        <f>HYPERLINK("https://app.vivvix.com/360/KMI/IntelliDrive/ApplUI/Pages/CreativePages/CustomReportCreativeDetail.aspx?App=23&amp;ReportView=4&amp;Qid=1696098&amp;Row=289&amp;Col=1","No Title Assigned - #15264090669")</f>
        <v/>
      </c>
      <c r="B297" s="0" t="s">
        <v>279</v>
      </c>
      <c r="E297" s="0" t="s">
        <v>12</v>
      </c>
      <c r="F297" s="0" t="s">
        <v>12</v>
      </c>
      <c r="G297" s="0" t="s">
        <v>204</v>
      </c>
      <c r="I297" s="5">
        <v>883.211000</v>
      </c>
      <c r="J297" s="5">
        <v>2.000000</v>
      </c>
    </row>
    <row r="298" spans="1:11">
      <c r="A298" s="22" t="str">
        <f>HYPERLINK("https://app.vivvix.com/360/KMI/IntelliDrive/ApplUI/Pages/CreativePages/CustomReportCreativeDetail.aspx?App=23&amp;ReportView=4&amp;Qid=1696098&amp;Row=290&amp;Col=1","No Title Assigned - #15264189606")</f>
        <v/>
      </c>
      <c r="B298" s="0" t="s">
        <v>280</v>
      </c>
      <c r="E298" s="0" t="s">
        <v>12</v>
      </c>
      <c r="F298" s="0" t="s">
        <v>12</v>
      </c>
      <c r="G298" s="0" t="s">
        <v>204</v>
      </c>
      <c r="I298" s="5">
        <v>1104.698400</v>
      </c>
      <c r="J298" s="5">
        <v>1.000000</v>
      </c>
    </row>
    <row r="299" spans="1:11">
      <c r="A299" s="22" t="str">
        <f>HYPERLINK("https://app.vivvix.com/360/KMI/IntelliDrive/ApplUI/Pages/CreativePages/CustomReportCreativeDetail.aspx?App=23&amp;ReportView=4&amp;Qid=1696098&amp;Row=291&amp;Col=1","No Title Assigned - #15264227017")</f>
        <v/>
      </c>
      <c r="B299" s="0" t="s">
        <v>281</v>
      </c>
      <c r="E299" s="0" t="s">
        <v>12</v>
      </c>
      <c r="F299" s="0" t="s">
        <v>12</v>
      </c>
      <c r="G299" s="0" t="s">
        <v>204</v>
      </c>
      <c r="I299" s="5">
        <v>736.624500</v>
      </c>
      <c r="J299" s="5">
        <v>1.000000</v>
      </c>
    </row>
    <row r="300" spans="1:11">
      <c r="A300" s="22" t="str">
        <f>HYPERLINK("https://app.vivvix.com/360/KMI/IntelliDrive/ApplUI/Pages/CreativePages/CustomReportCreativeDetail.aspx?App=23&amp;ReportView=4&amp;Qid=1696098&amp;Row=292&amp;Col=1","No Title Assigned - #15264281429")</f>
        <v/>
      </c>
      <c r="B300" s="0" t="s">
        <v>282</v>
      </c>
      <c r="E300" s="0" t="s">
        <v>12</v>
      </c>
      <c r="F300" s="0" t="s">
        <v>12</v>
      </c>
      <c r="G300" s="0" t="s">
        <v>204</v>
      </c>
      <c r="I300" s="5">
        <v>543.669300</v>
      </c>
      <c r="J300" s="5">
        <v>1.000000</v>
      </c>
    </row>
    <row r="301" spans="1:11">
      <c r="A301" s="22" t="str">
        <f>HYPERLINK("https://app.vivvix.com/360/KMI/IntelliDrive/ApplUI/Pages/CreativePages/CustomReportCreativeDetail.aspx?App=23&amp;ReportView=4&amp;Qid=1696098&amp;Row=293&amp;Col=1","No Title Assigned - #15264285171")</f>
        <v/>
      </c>
      <c r="B301" s="0" t="s">
        <v>283</v>
      </c>
      <c r="E301" s="0" t="s">
        <v>12</v>
      </c>
      <c r="F301" s="0" t="s">
        <v>12</v>
      </c>
      <c r="G301" s="0" t="s">
        <v>204</v>
      </c>
      <c r="I301" s="5">
        <v>390.428600</v>
      </c>
      <c r="J301" s="5">
        <v>1.000000</v>
      </c>
    </row>
    <row r="302" spans="1:11">
      <c r="A302" s="22" t="str">
        <f>HYPERLINK("https://app.vivvix.com/360/KMI/IntelliDrive/ApplUI/Pages/CreativePages/CustomReportCreativeDetail.aspx?App=23&amp;ReportView=4&amp;Qid=1696098&amp;Row=294&amp;Col=1","No Title Assigned - #15264290170")</f>
        <v/>
      </c>
      <c r="B302" s="0" t="s">
        <v>284</v>
      </c>
      <c r="E302" s="0" t="s">
        <v>12</v>
      </c>
      <c r="F302" s="0" t="s">
        <v>12</v>
      </c>
      <c r="G302" s="0" t="s">
        <v>245</v>
      </c>
      <c r="I302" s="5">
        <v>20.406700</v>
      </c>
      <c r="J302" s="5">
        <v>1.000000</v>
      </c>
    </row>
    <row r="303" spans="1:11">
      <c r="A303" s="22" t="str">
        <f>HYPERLINK("https://app.vivvix.com/360/KMI/IntelliDrive/ApplUI/Pages/CreativePages/CustomReportCreativeDetail.aspx?App=23&amp;ReportView=4&amp;Qid=1696098&amp;Row=295&amp;Col=1","No Title Assigned - #15264292329")</f>
        <v/>
      </c>
      <c r="B303" s="0" t="s">
        <v>285</v>
      </c>
      <c r="E303" s="0" t="s">
        <v>12</v>
      </c>
      <c r="F303" s="0" t="s">
        <v>12</v>
      </c>
      <c r="G303" s="0" t="s">
        <v>245</v>
      </c>
      <c r="I303" s="5">
        <v>570.577300</v>
      </c>
      <c r="J303" s="5">
        <v>1.000000</v>
      </c>
    </row>
    <row r="304" spans="1:11">
      <c r="A304" s="22" t="str">
        <f>HYPERLINK("https://app.vivvix.com/360/KMI/IntelliDrive/ApplUI/Pages/CreativePages/CustomReportCreativeDetail.aspx?App=23&amp;ReportView=4&amp;Qid=1696098&amp;Row=296&amp;Col=1","No Title Assigned - #15264298712")</f>
        <v/>
      </c>
      <c r="B304" s="0" t="s">
        <v>286</v>
      </c>
      <c r="E304" s="0" t="s">
        <v>12</v>
      </c>
      <c r="F304" s="0" t="s">
        <v>12</v>
      </c>
      <c r="G304" s="0" t="s">
        <v>245</v>
      </c>
      <c r="I304" s="5">
        <v>570.577300</v>
      </c>
      <c r="J304" s="5">
        <v>1.000000</v>
      </c>
    </row>
    <row r="305" spans="1:11">
      <c r="A305" s="22" t="str">
        <f>HYPERLINK("https://app.vivvix.com/360/KMI/IntelliDrive/ApplUI/Pages/CreativePages/CustomReportCreativeDetail.aspx?App=23&amp;ReportView=4&amp;Qid=1696098&amp;Row=297&amp;Col=1","No Title Assigned - #15264305009")</f>
        <v/>
      </c>
      <c r="B305" s="0" t="s">
        <v>287</v>
      </c>
      <c r="E305" s="0" t="s">
        <v>12</v>
      </c>
      <c r="F305" s="0" t="s">
        <v>12</v>
      </c>
      <c r="G305" s="0" t="s">
        <v>245</v>
      </c>
      <c r="I305" s="5">
        <v>27.520100</v>
      </c>
      <c r="J305" s="5">
        <v>1.000000</v>
      </c>
    </row>
    <row r="306" spans="1:11">
      <c r="A306" s="22" t="str">
        <f>HYPERLINK("https://app.vivvix.com/360/KMI/IntelliDrive/ApplUI/Pages/CreativePages/CustomReportCreativeDetail.aspx?App=23&amp;ReportView=4&amp;Qid=1696098&amp;Row=298&amp;Col=1","No Title Assigned - #15264367241")</f>
        <v/>
      </c>
      <c r="B306" s="0" t="s">
        <v>288</v>
      </c>
      <c r="E306" s="0" t="s">
        <v>12</v>
      </c>
      <c r="F306" s="0" t="s">
        <v>12</v>
      </c>
      <c r="G306" s="0" t="s">
        <v>204</v>
      </c>
      <c r="I306" s="5">
        <v>42.167400</v>
      </c>
      <c r="J306" s="5">
        <v>2.000000</v>
      </c>
    </row>
    <row r="307" spans="1:11">
      <c r="A307" s="22" t="str">
        <f>HYPERLINK("https://app.vivvix.com/360/KMI/IntelliDrive/ApplUI/Pages/CreativePages/CustomReportCreativeDetail.aspx?App=23&amp;ReportView=4&amp;Qid=1696098&amp;Row=299&amp;Col=1","No Title Assigned - #15264367242")</f>
        <v/>
      </c>
      <c r="B307" s="0" t="s">
        <v>289</v>
      </c>
      <c r="E307" s="0" t="s">
        <v>12</v>
      </c>
      <c r="F307" s="0" t="s">
        <v>12</v>
      </c>
      <c r="G307" s="0" t="s">
        <v>204</v>
      </c>
      <c r="I307" s="5">
        <v>21.083700</v>
      </c>
      <c r="J307" s="5">
        <v>1.000000</v>
      </c>
    </row>
    <row r="308" spans="1:11">
      <c r="A308" s="22" t="str">
        <f>HYPERLINK("https://app.vivvix.com/360/KMI/IntelliDrive/ApplUI/Pages/CreativePages/CustomReportCreativeDetail.aspx?App=23&amp;ReportView=4&amp;Qid=1696098&amp;Row=300&amp;Col=1","No Title Assigned - #15264368017")</f>
        <v/>
      </c>
      <c r="B308" s="0" t="s">
        <v>290</v>
      </c>
      <c r="E308" s="0" t="s">
        <v>12</v>
      </c>
      <c r="F308" s="0" t="s">
        <v>12</v>
      </c>
      <c r="G308" s="0" t="s">
        <v>204</v>
      </c>
      <c r="I308" s="5">
        <v>428.850000</v>
      </c>
      <c r="J308" s="5">
        <v>1.000000</v>
      </c>
    </row>
    <row r="309" spans="1:11">
      <c r="A309" s="22" t="str">
        <f>HYPERLINK("https://app.vivvix.com/360/KMI/IntelliDrive/ApplUI/Pages/CreativePages/CustomReportCreativeDetail.aspx?App=23&amp;ReportView=4&amp;Qid=1696098&amp;Row=301&amp;Col=1","No Title Assigned - #15264382850")</f>
        <v/>
      </c>
      <c r="B309" s="0" t="s">
        <v>291</v>
      </c>
      <c r="E309" s="0" t="s">
        <v>12</v>
      </c>
      <c r="F309" s="0" t="s">
        <v>12</v>
      </c>
      <c r="G309" s="0" t="s">
        <v>204</v>
      </c>
      <c r="I309" s="5">
        <v>798.891300</v>
      </c>
      <c r="J309" s="5">
        <v>1.000000</v>
      </c>
    </row>
    <row r="310" spans="1:11">
      <c r="A310" s="22" t="str">
        <f>HYPERLINK("https://app.vivvix.com/360/KMI/IntelliDrive/ApplUI/Pages/CreativePages/CustomReportCreativeDetail.aspx?App=23&amp;ReportView=4&amp;Qid=1696098&amp;Row=302&amp;Col=1","No Title Assigned - #15264390999")</f>
        <v/>
      </c>
      <c r="B310" s="0" t="s">
        <v>292</v>
      </c>
      <c r="E310" s="0" t="s">
        <v>12</v>
      </c>
      <c r="F310" s="0" t="s">
        <v>12</v>
      </c>
      <c r="G310" s="0" t="s">
        <v>245</v>
      </c>
      <c r="I310" s="5">
        <v>92.317200</v>
      </c>
      <c r="J310" s="5">
        <v>1.000000</v>
      </c>
    </row>
    <row r="311" spans="1:11">
      <c r="A311" s="22" t="str">
        <f>HYPERLINK("https://app.vivvix.com/360/KMI/IntelliDrive/ApplUI/Pages/CreativePages/CustomReportCreativeDetail.aspx?App=23&amp;ReportView=4&amp;Qid=1696098&amp;Row=303&amp;Col=1","No Title Assigned - #15264503460")</f>
        <v/>
      </c>
      <c r="B311" s="0" t="s">
        <v>293</v>
      </c>
      <c r="E311" s="0" t="s">
        <v>12</v>
      </c>
      <c r="F311" s="0" t="s">
        <v>12</v>
      </c>
      <c r="G311" s="0" t="s">
        <v>204</v>
      </c>
      <c r="I311" s="5">
        <v>146.512700</v>
      </c>
      <c r="J311" s="5">
        <v>1.000000</v>
      </c>
    </row>
    <row r="312" spans="1:11">
      <c r="A312" s="22" t="str">
        <f>HYPERLINK("https://app.vivvix.com/360/KMI/IntelliDrive/ApplUI/Pages/CreativePages/CustomReportCreativeDetail.aspx?App=23&amp;ReportView=4&amp;Qid=1696098&amp;Row=304&amp;Col=1","No Title Assigned - #15264594830")</f>
        <v/>
      </c>
      <c r="B312" s="0" t="s">
        <v>294</v>
      </c>
      <c r="E312" s="0" t="s">
        <v>12</v>
      </c>
      <c r="F312" s="0" t="s">
        <v>12</v>
      </c>
      <c r="G312" s="0" t="s">
        <v>204</v>
      </c>
      <c r="I312" s="5">
        <v>293.025400</v>
      </c>
      <c r="J312" s="5">
        <v>2.000000</v>
      </c>
    </row>
    <row r="313" spans="1:11">
      <c r="A313" s="22" t="str">
        <f>HYPERLINK("https://app.vivvix.com/360/KMI/IntelliDrive/ApplUI/Pages/CreativePages/CustomReportCreativeDetail.aspx?App=23&amp;ReportView=4&amp;Qid=1696098&amp;Row=305&amp;Col=1","No Title Assigned - #15264594832")</f>
        <v/>
      </c>
      <c r="B313" s="0" t="s">
        <v>295</v>
      </c>
      <c r="E313" s="0" t="s">
        <v>12</v>
      </c>
      <c r="F313" s="0" t="s">
        <v>12</v>
      </c>
      <c r="G313" s="0" t="s">
        <v>204</v>
      </c>
      <c r="I313" s="5">
        <v>146.512700</v>
      </c>
      <c r="J313" s="5">
        <v>1.000000</v>
      </c>
    </row>
    <row r="314" spans="1:11">
      <c r="A314" s="22" t="str">
        <f>HYPERLINK("https://app.vivvix.com/360/KMI/IntelliDrive/ApplUI/Pages/CreativePages/CustomReportCreativeDetail.aspx?App=23&amp;ReportView=4&amp;Qid=1696098&amp;Row=306&amp;Col=1","No Title Assigned - #15264692136")</f>
        <v/>
      </c>
      <c r="B314" s="0" t="s">
        <v>296</v>
      </c>
      <c r="E314" s="0" t="s">
        <v>12</v>
      </c>
      <c r="F314" s="0" t="s">
        <v>12</v>
      </c>
      <c r="G314" s="0" t="s">
        <v>204</v>
      </c>
      <c r="I314" s="5">
        <v>214.490000</v>
      </c>
      <c r="J314" s="5">
        <v>1.000000</v>
      </c>
    </row>
    <row r="315" spans="1:11">
      <c r="A315" s="22" t="str">
        <f>HYPERLINK("https://app.vivvix.com/360/KMI/IntelliDrive/ApplUI/Pages/CreativePages/CustomReportCreativeDetail.aspx?App=23&amp;ReportView=4&amp;Qid=1696098&amp;Row=307&amp;Col=1","No Title Assigned - #15264706508")</f>
        <v/>
      </c>
      <c r="B315" s="0" t="s">
        <v>297</v>
      </c>
      <c r="E315" s="0" t="s">
        <v>12</v>
      </c>
      <c r="F315" s="0" t="s">
        <v>12</v>
      </c>
      <c r="G315" s="0" t="s">
        <v>204</v>
      </c>
      <c r="I315" s="5">
        <v>353.231600</v>
      </c>
      <c r="J315" s="5">
        <v>1.000000</v>
      </c>
    </row>
    <row r="316" spans="1:11">
      <c r="A316" s="22" t="str">
        <f>HYPERLINK("https://app.vivvix.com/360/KMI/IntelliDrive/ApplUI/Pages/CreativePages/CustomReportCreativeDetail.aspx?App=23&amp;ReportView=4&amp;Qid=1696098&amp;Row=308&amp;Col=1","No Title Assigned - #15264708494")</f>
        <v/>
      </c>
      <c r="B316" s="0" t="s">
        <v>298</v>
      </c>
      <c r="E316" s="0" t="s">
        <v>12</v>
      </c>
      <c r="F316" s="0" t="s">
        <v>12</v>
      </c>
      <c r="G316" s="0" t="s">
        <v>204</v>
      </c>
      <c r="I316" s="5">
        <v>590.276400</v>
      </c>
      <c r="J316" s="5">
        <v>1.000000</v>
      </c>
    </row>
    <row r="317" spans="1:11">
      <c r="A317" s="22" t="str">
        <f>HYPERLINK("https://app.vivvix.com/360/KMI/IntelliDrive/ApplUI/Pages/CreativePages/CustomReportCreativeDetail.aspx?App=23&amp;ReportView=4&amp;Qid=1696098&amp;Row=309&amp;Col=1","No Title Assigned - #15264869506")</f>
        <v/>
      </c>
      <c r="B317" s="0" t="s">
        <v>299</v>
      </c>
      <c r="E317" s="0" t="s">
        <v>12</v>
      </c>
      <c r="F317" s="0" t="s">
        <v>12</v>
      </c>
      <c r="G317" s="0" t="s">
        <v>204</v>
      </c>
      <c r="I317" s="5">
        <v>3132.854500</v>
      </c>
      <c r="J317" s="5">
        <v>1.000000</v>
      </c>
    </row>
    <row r="318" spans="1:11">
      <c r="A318" s="22" t="str">
        <f>HYPERLINK("https://app.vivvix.com/360/KMI/IntelliDrive/ApplUI/Pages/CreativePages/CustomReportCreativeDetail.aspx?App=23&amp;ReportView=4&amp;Qid=1696098&amp;Row=310&amp;Col=1","No Title Assigned - #15264877180")</f>
        <v/>
      </c>
      <c r="B318" s="0" t="s">
        <v>300</v>
      </c>
      <c r="C318" s="0" t="s">
        <v>301</v>
      </c>
      <c r="D318" s="0" t="s">
        <v>301</v>
      </c>
      <c r="E318" s="0" t="s">
        <v>12</v>
      </c>
      <c r="F318" s="0" t="s">
        <v>12</v>
      </c>
      <c r="G318" s="0" t="s">
        <v>204</v>
      </c>
      <c r="I318" s="5">
        <v>622.583000</v>
      </c>
      <c r="J318" s="5">
        <v>1.000000</v>
      </c>
    </row>
    <row r="319" spans="1:11">
      <c r="A319" s="22" t="str">
        <f>HYPERLINK("https://app.vivvix.com/360/KMI/IntelliDrive/ApplUI/Pages/CreativePages/CustomReportCreativeDetail.aspx?App=23&amp;ReportView=4&amp;Qid=1696098&amp;Row=311&amp;Col=1","No Title Assigned - #15264877226")</f>
        <v/>
      </c>
      <c r="B319" s="0" t="s">
        <v>302</v>
      </c>
      <c r="C319" s="0" t="s">
        <v>303</v>
      </c>
      <c r="D319" s="0" t="s">
        <v>303</v>
      </c>
      <c r="E319" s="0" t="s">
        <v>12</v>
      </c>
      <c r="F319" s="0" t="s">
        <v>12</v>
      </c>
      <c r="G319" s="0" t="s">
        <v>204</v>
      </c>
      <c r="I319" s="5">
        <v>622.583000</v>
      </c>
      <c r="J319" s="5">
        <v>1.000000</v>
      </c>
    </row>
    <row r="320" spans="1:11">
      <c r="A320" s="22" t="str">
        <f>HYPERLINK("https://app.vivvix.com/360/KMI/IntelliDrive/ApplUI/Pages/CreativePages/CustomReportCreativeDetail.aspx?App=23&amp;ReportView=4&amp;Qid=1696098&amp;Row=312&amp;Col=1","No Title Assigned - #15264880352")</f>
        <v/>
      </c>
      <c r="B320" s="0" t="s">
        <v>304</v>
      </c>
      <c r="E320" s="0" t="s">
        <v>12</v>
      </c>
      <c r="F320" s="0" t="s">
        <v>12</v>
      </c>
      <c r="G320" s="0" t="s">
        <v>204</v>
      </c>
      <c r="I320" s="5">
        <v>214.490000</v>
      </c>
      <c r="J320" s="5">
        <v>1.000000</v>
      </c>
    </row>
    <row r="321" spans="1:11">
      <c r="A321" s="22" t="str">
        <f>HYPERLINK("https://app.vivvix.com/360/KMI/IntelliDrive/ApplUI/Pages/CreativePages/CustomReportCreativeDetail.aspx?App=23&amp;ReportView=4&amp;Qid=1696098&amp;Row=313&amp;Col=1","No Title Assigned - #15264880366")</f>
        <v/>
      </c>
      <c r="B321" s="0" t="s">
        <v>305</v>
      </c>
      <c r="E321" s="0" t="s">
        <v>12</v>
      </c>
      <c r="F321" s="0" t="s">
        <v>12</v>
      </c>
      <c r="G321" s="0" t="s">
        <v>204</v>
      </c>
      <c r="I321" s="5">
        <v>214.490000</v>
      </c>
      <c r="J321" s="5">
        <v>1.000000</v>
      </c>
    </row>
    <row r="322" spans="1:11">
      <c r="A322" s="22" t="str">
        <f>HYPERLINK("https://app.vivvix.com/360/KMI/IntelliDrive/ApplUI/Pages/CreativePages/CustomReportCreativeDetail.aspx?App=23&amp;ReportView=4&amp;Qid=1696098&amp;Row=314&amp;Col=1","No Title Assigned - #15264893958")</f>
        <v/>
      </c>
      <c r="B322" s="0" t="s">
        <v>306</v>
      </c>
      <c r="E322" s="0" t="s">
        <v>12</v>
      </c>
      <c r="F322" s="0" t="s">
        <v>12</v>
      </c>
      <c r="G322" s="0" t="s">
        <v>204</v>
      </c>
      <c r="I322" s="5">
        <v>879.229700</v>
      </c>
      <c r="J322" s="5">
        <v>1.000000</v>
      </c>
    </row>
    <row r="323" spans="1:11">
      <c r="A323" s="22" t="str">
        <f>HYPERLINK("https://app.vivvix.com/360/KMI/IntelliDrive/ApplUI/Pages/CreativePages/CustomReportCreativeDetail.aspx?App=23&amp;ReportView=4&amp;Qid=1696098&amp;Row=315&amp;Col=1","No Title Assigned - #15264929121")</f>
        <v/>
      </c>
      <c r="B323" s="0" t="s">
        <v>307</v>
      </c>
      <c r="E323" s="0" t="s">
        <v>12</v>
      </c>
      <c r="F323" s="0" t="s">
        <v>12</v>
      </c>
      <c r="G323" s="0" t="s">
        <v>204</v>
      </c>
      <c r="I323" s="5">
        <v>19.588400</v>
      </c>
      <c r="J323" s="5">
        <v>1.000000</v>
      </c>
    </row>
    <row r="324" spans="1:11">
      <c r="A324" s="22" t="str">
        <f>HYPERLINK("https://app.vivvix.com/360/KMI/IntelliDrive/ApplUI/Pages/CreativePages/CustomReportCreativeDetail.aspx?App=23&amp;ReportView=4&amp;Qid=1696098&amp;Row=316&amp;Col=1","No Title Assigned - #15264941372")</f>
        <v/>
      </c>
      <c r="B324" s="0" t="s">
        <v>308</v>
      </c>
      <c r="E324" s="0" t="s">
        <v>12</v>
      </c>
      <c r="F324" s="0" t="s">
        <v>12</v>
      </c>
      <c r="G324" s="0" t="s">
        <v>204</v>
      </c>
      <c r="I324" s="5">
        <v>119384.519100</v>
      </c>
      <c r="J324" s="5">
        <v>91.000000</v>
      </c>
    </row>
    <row r="325" spans="1:11">
      <c r="A325" s="22" t="str">
        <f>HYPERLINK("https://app.vivvix.com/360/KMI/IntelliDrive/ApplUI/Pages/CreativePages/CustomReportCreativeDetail.aspx?App=23&amp;ReportView=4&amp;Qid=1696098&amp;Row=317&amp;Col=1","No Title Assigned - #15264947770")</f>
        <v/>
      </c>
      <c r="B325" s="0" t="s">
        <v>309</v>
      </c>
      <c r="E325" s="0" t="s">
        <v>12</v>
      </c>
      <c r="F325" s="0" t="s">
        <v>12</v>
      </c>
      <c r="G325" s="0" t="s">
        <v>204</v>
      </c>
      <c r="I325" s="5">
        <v>470.265600</v>
      </c>
      <c r="J325" s="5">
        <v>1.000000</v>
      </c>
    </row>
    <row r="326" spans="1:11">
      <c r="A326" s="22" t="str">
        <f>HYPERLINK("https://app.vivvix.com/360/KMI/IntelliDrive/ApplUI/Pages/CreativePages/CustomReportCreativeDetail.aspx?App=23&amp;ReportView=4&amp;Qid=1696098&amp;Row=318&amp;Col=1","No Title Assigned - #15264952112")</f>
        <v/>
      </c>
      <c r="B326" s="0" t="s">
        <v>310</v>
      </c>
      <c r="E326" s="0" t="s">
        <v>12</v>
      </c>
      <c r="F326" s="0" t="s">
        <v>12</v>
      </c>
      <c r="G326" s="0" t="s">
        <v>204</v>
      </c>
      <c r="I326" s="5">
        <v>431.671400</v>
      </c>
      <c r="J326" s="5">
        <v>1.000000</v>
      </c>
    </row>
    <row r="327" spans="1:11">
      <c r="A327" s="22" t="str">
        <f>HYPERLINK("https://app.vivvix.com/360/KMI/IntelliDrive/ApplUI/Pages/CreativePages/CustomReportCreativeDetail.aspx?App=23&amp;ReportView=4&amp;Qid=1696098&amp;Row=319&amp;Col=1","No Title Assigned - #15265008199")</f>
        <v/>
      </c>
      <c r="B327" s="0" t="s">
        <v>311</v>
      </c>
      <c r="E327" s="0" t="s">
        <v>12</v>
      </c>
      <c r="F327" s="0" t="s">
        <v>12</v>
      </c>
      <c r="G327" s="0" t="s">
        <v>204</v>
      </c>
      <c r="I327" s="5">
        <v>873.600200</v>
      </c>
      <c r="J327" s="5">
        <v>2.000000</v>
      </c>
    </row>
    <row r="328" spans="1:11">
      <c r="A328" s="22" t="str">
        <f>HYPERLINK("https://app.vivvix.com/360/KMI/IntelliDrive/ApplUI/Pages/CreativePages/CustomReportCreativeDetail.aspx?App=23&amp;ReportView=4&amp;Qid=1696098&amp;Row=320&amp;Col=1","No Title Assigned - #15265009094")</f>
        <v/>
      </c>
      <c r="B328" s="0" t="s">
        <v>312</v>
      </c>
      <c r="E328" s="0" t="s">
        <v>12</v>
      </c>
      <c r="F328" s="0" t="s">
        <v>12</v>
      </c>
      <c r="G328" s="0" t="s">
        <v>204</v>
      </c>
      <c r="I328" s="5">
        <v>444.339400</v>
      </c>
      <c r="J328" s="5">
        <v>1.000000</v>
      </c>
    </row>
    <row r="329" spans="1:11">
      <c r="A329" s="22" t="str">
        <f>HYPERLINK("https://app.vivvix.com/360/KMI/IntelliDrive/ApplUI/Pages/CreativePages/CustomReportCreativeDetail.aspx?App=23&amp;ReportView=4&amp;Qid=1696098&amp;Row=321&amp;Col=1","No Title Assigned - #15265056037")</f>
        <v/>
      </c>
      <c r="B329" s="0" t="s">
        <v>313</v>
      </c>
      <c r="E329" s="0" t="s">
        <v>12</v>
      </c>
      <c r="F329" s="0" t="s">
        <v>12</v>
      </c>
      <c r="G329" s="0" t="s">
        <v>204</v>
      </c>
      <c r="I329" s="5">
        <v>411.477600</v>
      </c>
      <c r="J329" s="5">
        <v>1.000000</v>
      </c>
    </row>
    <row r="330" spans="1:11">
      <c r="A330" s="22" t="str">
        <f>HYPERLINK("https://app.vivvix.com/360/KMI/IntelliDrive/ApplUI/Pages/CreativePages/CustomReportCreativeDetail.aspx?App=23&amp;ReportView=4&amp;Qid=1696098&amp;Row=322&amp;Col=1","No Title Assigned - #15265076453")</f>
        <v/>
      </c>
      <c r="B330" s="0" t="s">
        <v>314</v>
      </c>
      <c r="E330" s="0" t="s">
        <v>12</v>
      </c>
      <c r="F330" s="0" t="s">
        <v>12</v>
      </c>
      <c r="G330" s="0" t="s">
        <v>204</v>
      </c>
      <c r="I330" s="5">
        <v>210.111800</v>
      </c>
      <c r="J330" s="5">
        <v>2.000000</v>
      </c>
    </row>
    <row r="331" spans="1:11">
      <c r="A331" s="22" t="str">
        <f>HYPERLINK("https://app.vivvix.com/360/KMI/IntelliDrive/ApplUI/Pages/CreativePages/CustomReportCreativeDetail.aspx?App=23&amp;ReportView=4&amp;Qid=1696098&amp;Row=323&amp;Col=1","No Title Assigned - #15265076454")</f>
        <v/>
      </c>
      <c r="B331" s="0" t="s">
        <v>315</v>
      </c>
      <c r="E331" s="0" t="s">
        <v>12</v>
      </c>
      <c r="F331" s="0" t="s">
        <v>12</v>
      </c>
      <c r="G331" s="0" t="s">
        <v>204</v>
      </c>
      <c r="I331" s="5">
        <v>105.055900</v>
      </c>
      <c r="J331" s="5">
        <v>1.000000</v>
      </c>
    </row>
    <row r="332" spans="1:11">
      <c r="A332" s="22" t="str">
        <f>HYPERLINK("https://app.vivvix.com/360/KMI/IntelliDrive/ApplUI/Pages/CreativePages/CustomReportCreativeDetail.aspx?App=23&amp;ReportView=4&amp;Qid=1696098&amp;Row=324&amp;Col=1","No Title Assigned - #15265076455")</f>
        <v/>
      </c>
      <c r="B332" s="0" t="s">
        <v>316</v>
      </c>
      <c r="E332" s="0" t="s">
        <v>12</v>
      </c>
      <c r="F332" s="0" t="s">
        <v>12</v>
      </c>
      <c r="G332" s="0" t="s">
        <v>204</v>
      </c>
      <c r="I332" s="5">
        <v>105.055900</v>
      </c>
      <c r="J332" s="5">
        <v>1.000000</v>
      </c>
    </row>
    <row r="333" spans="1:11">
      <c r="A333" s="22" t="str">
        <f>HYPERLINK("https://app.vivvix.com/360/KMI/IntelliDrive/ApplUI/Pages/CreativePages/CustomReportCreativeDetail.aspx?App=23&amp;ReportView=4&amp;Qid=1696098&amp;Row=325&amp;Col=1","No Title Assigned - #15265076464")</f>
        <v/>
      </c>
      <c r="B333" s="0" t="s">
        <v>317</v>
      </c>
      <c r="E333" s="0" t="s">
        <v>12</v>
      </c>
      <c r="F333" s="0" t="s">
        <v>12</v>
      </c>
      <c r="G333" s="0" t="s">
        <v>204</v>
      </c>
      <c r="I333" s="5">
        <v>223.606700</v>
      </c>
      <c r="J333" s="5">
        <v>1.000000</v>
      </c>
    </row>
    <row r="334" spans="1:11">
      <c r="A334" s="22" t="str">
        <f>HYPERLINK("https://app.vivvix.com/360/KMI/IntelliDrive/ApplUI/Pages/CreativePages/CustomReportCreativeDetail.aspx?App=23&amp;ReportView=4&amp;Qid=1696098&amp;Row=326&amp;Col=1","No Title Assigned - #15265076465")</f>
        <v/>
      </c>
      <c r="B334" s="0" t="s">
        <v>318</v>
      </c>
      <c r="E334" s="0" t="s">
        <v>12</v>
      </c>
      <c r="F334" s="0" t="s">
        <v>12</v>
      </c>
      <c r="G334" s="0" t="s">
        <v>204</v>
      </c>
      <c r="I334" s="5">
        <v>223.606700</v>
      </c>
      <c r="J334" s="5">
        <v>1.000000</v>
      </c>
    </row>
    <row r="335" spans="1:11">
      <c r="A335" s="22" t="str">
        <f>HYPERLINK("https://app.vivvix.com/360/KMI/IntelliDrive/ApplUI/Pages/CreativePages/CustomReportCreativeDetail.aspx?App=23&amp;ReportView=4&amp;Qid=1696098&amp;Row=327&amp;Col=1","No Title Assigned - #15265109411")</f>
        <v/>
      </c>
      <c r="B335" s="0" t="s">
        <v>319</v>
      </c>
      <c r="E335" s="0" t="s">
        <v>12</v>
      </c>
      <c r="F335" s="0" t="s">
        <v>12</v>
      </c>
      <c r="G335" s="0" t="s">
        <v>204</v>
      </c>
      <c r="I335" s="5">
        <v>541.347300</v>
      </c>
      <c r="J335" s="5">
        <v>3.000000</v>
      </c>
    </row>
    <row r="336" spans="1:11">
      <c r="A336" s="22" t="str">
        <f>HYPERLINK("https://app.vivvix.com/360/KMI/IntelliDrive/ApplUI/Pages/CreativePages/CustomReportCreativeDetail.aspx?App=23&amp;ReportView=4&amp;Qid=1696098&amp;Row=328&amp;Col=1","No Title Assigned - #15265109448")</f>
        <v/>
      </c>
      <c r="B336" s="0" t="s">
        <v>320</v>
      </c>
      <c r="E336" s="0" t="s">
        <v>12</v>
      </c>
      <c r="F336" s="0" t="s">
        <v>12</v>
      </c>
      <c r="G336" s="0" t="s">
        <v>204</v>
      </c>
      <c r="I336" s="5">
        <v>180.449100</v>
      </c>
      <c r="J336" s="5">
        <v>1.000000</v>
      </c>
    </row>
    <row r="337" spans="1:11">
      <c r="A337" s="22" t="str">
        <f>HYPERLINK("https://app.vivvix.com/360/KMI/IntelliDrive/ApplUI/Pages/CreativePages/CustomReportCreativeDetail.aspx?App=23&amp;ReportView=4&amp;Qid=1696098&amp;Row=329&amp;Col=1","No Title Assigned - #15265137284")</f>
        <v/>
      </c>
      <c r="B337" s="0" t="s">
        <v>321</v>
      </c>
      <c r="E337" s="0" t="s">
        <v>12</v>
      </c>
      <c r="F337" s="0" t="s">
        <v>12</v>
      </c>
      <c r="G337" s="0" t="s">
        <v>204</v>
      </c>
      <c r="I337" s="5">
        <v>19.588400</v>
      </c>
      <c r="J337" s="5">
        <v>1.000000</v>
      </c>
    </row>
    <row r="338" spans="1:11">
      <c r="A338" s="22" t="str">
        <f>HYPERLINK("https://app.vivvix.com/360/KMI/IntelliDrive/ApplUI/Pages/CreativePages/CustomReportCreativeDetail.aspx?App=23&amp;ReportView=4&amp;Qid=1696098&amp;Row=330&amp;Col=1","No Title Assigned - #15265179786")</f>
        <v/>
      </c>
      <c r="B338" s="0" t="s">
        <v>322</v>
      </c>
      <c r="E338" s="0" t="s">
        <v>12</v>
      </c>
      <c r="F338" s="0" t="s">
        <v>12</v>
      </c>
      <c r="G338" s="0" t="s">
        <v>204</v>
      </c>
      <c r="I338" s="5">
        <v>2039.076700</v>
      </c>
      <c r="J338" s="5">
        <v>1.000000</v>
      </c>
    </row>
    <row r="339" spans="1:11">
      <c r="A339" s="22" t="str">
        <f>HYPERLINK("https://app.vivvix.com/360/KMI/IntelliDrive/ApplUI/Pages/CreativePages/CustomReportCreativeDetail.aspx?App=23&amp;ReportView=4&amp;Qid=1696098&amp;Row=331&amp;Col=1","No Title Assigned - #15265251673")</f>
        <v/>
      </c>
      <c r="B339" s="0" t="s">
        <v>323</v>
      </c>
      <c r="E339" s="0" t="s">
        <v>12</v>
      </c>
      <c r="F339" s="0" t="s">
        <v>12</v>
      </c>
      <c r="G339" s="0" t="s">
        <v>204</v>
      </c>
      <c r="I339" s="5">
        <v>19.588400</v>
      </c>
      <c r="J339" s="5">
        <v>1.000000</v>
      </c>
    </row>
    <row r="340" spans="1:11">
      <c r="A340" s="22" t="str">
        <f>HYPERLINK("https://app.vivvix.com/360/KMI/IntelliDrive/ApplUI/Pages/CreativePages/CustomReportCreativeDetail.aspx?App=23&amp;ReportView=4&amp;Qid=1696098&amp;Row=332&amp;Col=1","No Title Assigned - #15265313232")</f>
        <v/>
      </c>
      <c r="B340" s="0" t="s">
        <v>324</v>
      </c>
      <c r="E340" s="0" t="s">
        <v>12</v>
      </c>
      <c r="F340" s="0" t="s">
        <v>12</v>
      </c>
      <c r="G340" s="0" t="s">
        <v>204</v>
      </c>
      <c r="I340" s="5">
        <v>6265.709000</v>
      </c>
      <c r="J340" s="5">
        <v>2.000000</v>
      </c>
    </row>
    <row r="341" spans="1:11">
      <c r="A341" s="22" t="str">
        <f>HYPERLINK("https://app.vivvix.com/360/KMI/IntelliDrive/ApplUI/Pages/CreativePages/CustomReportCreativeDetail.aspx?App=23&amp;ReportView=4&amp;Qid=1696098&amp;Row=333&amp;Col=1","No Title Assigned - #15265317755")</f>
        <v/>
      </c>
      <c r="B341" s="0" t="s">
        <v>325</v>
      </c>
      <c r="E341" s="0" t="s">
        <v>12</v>
      </c>
      <c r="F341" s="0" t="s">
        <v>12</v>
      </c>
      <c r="G341" s="0" t="s">
        <v>204</v>
      </c>
      <c r="I341" s="5">
        <v>517.104800</v>
      </c>
      <c r="J341" s="5">
        <v>1.000000</v>
      </c>
    </row>
    <row r="342" spans="1:11">
      <c r="A342" s="22" t="str">
        <f>HYPERLINK("https://app.vivvix.com/360/KMI/IntelliDrive/ApplUI/Pages/CreativePages/CustomReportCreativeDetail.aspx?App=23&amp;ReportView=4&amp;Qid=1696098&amp;Row=334&amp;Col=1","No Title Assigned - #15265361591")</f>
        <v/>
      </c>
      <c r="B342" s="0" t="s">
        <v>326</v>
      </c>
      <c r="E342" s="0" t="s">
        <v>12</v>
      </c>
      <c r="F342" s="0" t="s">
        <v>12</v>
      </c>
      <c r="G342" s="0" t="s">
        <v>204</v>
      </c>
      <c r="I342" s="5">
        <v>31622.875200</v>
      </c>
      <c r="J342" s="5">
        <v>28.000000</v>
      </c>
    </row>
    <row r="343" spans="1:11">
      <c r="A343" s="22" t="str">
        <f>HYPERLINK("https://app.vivvix.com/360/KMI/IntelliDrive/ApplUI/Pages/CreativePages/CustomReportCreativeDetail.aspx?App=23&amp;ReportView=4&amp;Qid=1696098&amp;Row=335&amp;Col=1","No Title Assigned - #15265361592")</f>
        <v/>
      </c>
      <c r="B343" s="0" t="s">
        <v>327</v>
      </c>
      <c r="E343" s="0" t="s">
        <v>12</v>
      </c>
      <c r="F343" s="0" t="s">
        <v>12</v>
      </c>
      <c r="G343" s="0" t="s">
        <v>204</v>
      </c>
      <c r="I343" s="5">
        <v>97017.185300</v>
      </c>
      <c r="J343" s="5">
        <v>81.000000</v>
      </c>
    </row>
    <row r="344" spans="1:11">
      <c r="A344" s="22" t="str">
        <f>HYPERLINK("https://app.vivvix.com/360/KMI/IntelliDrive/ApplUI/Pages/CreativePages/CustomReportCreativeDetail.aspx?App=23&amp;ReportView=4&amp;Qid=1696098&amp;Row=336&amp;Col=1","No Title Assigned - #15265375375")</f>
        <v/>
      </c>
      <c r="B344" s="0" t="s">
        <v>328</v>
      </c>
      <c r="E344" s="0" t="s">
        <v>12</v>
      </c>
      <c r="F344" s="0" t="s">
        <v>12</v>
      </c>
      <c r="G344" s="0" t="s">
        <v>204</v>
      </c>
      <c r="I344" s="5">
        <v>293.826000</v>
      </c>
      <c r="J344" s="5">
        <v>15.000000</v>
      </c>
    </row>
    <row r="345" spans="1:11">
      <c r="A345" s="22" t="str">
        <f>HYPERLINK("https://app.vivvix.com/360/KMI/IntelliDrive/ApplUI/Pages/CreativePages/CustomReportCreativeDetail.aspx?App=23&amp;ReportView=4&amp;Qid=1696098&amp;Row=337&amp;Col=1","No Title Assigned - #15265375376")</f>
        <v/>
      </c>
      <c r="B345" s="0" t="s">
        <v>329</v>
      </c>
      <c r="E345" s="0" t="s">
        <v>12</v>
      </c>
      <c r="F345" s="0" t="s">
        <v>12</v>
      </c>
      <c r="G345" s="0" t="s">
        <v>204</v>
      </c>
      <c r="I345" s="5">
        <v>215.472400</v>
      </c>
      <c r="J345" s="5">
        <v>11.000000</v>
      </c>
    </row>
    <row r="346" spans="1:11">
      <c r="A346" s="22" t="str">
        <f>HYPERLINK("https://app.vivvix.com/360/KMI/IntelliDrive/ApplUI/Pages/CreativePages/CustomReportCreativeDetail.aspx?App=23&amp;ReportView=4&amp;Qid=1696098&amp;Row=338&amp;Col=1","No Title Assigned - #15265375379")</f>
        <v/>
      </c>
      <c r="B346" s="0" t="s">
        <v>330</v>
      </c>
      <c r="E346" s="0" t="s">
        <v>12</v>
      </c>
      <c r="F346" s="0" t="s">
        <v>12</v>
      </c>
      <c r="G346" s="0" t="s">
        <v>204</v>
      </c>
      <c r="I346" s="5">
        <v>97.942000</v>
      </c>
      <c r="J346" s="5">
        <v>5.000000</v>
      </c>
    </row>
    <row r="347" spans="1:11">
      <c r="A347" s="22" t="str">
        <f>HYPERLINK("https://app.vivvix.com/360/KMI/IntelliDrive/ApplUI/Pages/CreativePages/CustomReportCreativeDetail.aspx?App=23&amp;ReportView=4&amp;Qid=1696098&amp;Row=339&amp;Col=1","No Title Assigned - #15265375385")</f>
        <v/>
      </c>
      <c r="B347" s="0" t="s">
        <v>331</v>
      </c>
      <c r="E347" s="0" t="s">
        <v>12</v>
      </c>
      <c r="F347" s="0" t="s">
        <v>12</v>
      </c>
      <c r="G347" s="0" t="s">
        <v>204</v>
      </c>
      <c r="I347" s="5">
        <v>19.588400</v>
      </c>
      <c r="J347" s="5">
        <v>1.000000</v>
      </c>
    </row>
    <row r="348" spans="1:11">
      <c r="A348" s="22" t="str">
        <f>HYPERLINK("https://app.vivvix.com/360/KMI/IntelliDrive/ApplUI/Pages/CreativePages/CustomReportCreativeDetail.aspx?App=23&amp;ReportView=4&amp;Qid=1696098&amp;Row=340&amp;Col=1","No Title Assigned - #15265380296")</f>
        <v/>
      </c>
      <c r="B348" s="0" t="s">
        <v>332</v>
      </c>
      <c r="E348" s="0" t="s">
        <v>12</v>
      </c>
      <c r="F348" s="0" t="s">
        <v>12</v>
      </c>
      <c r="G348" s="0" t="s">
        <v>204</v>
      </c>
      <c r="I348" s="5">
        <v>730.570600</v>
      </c>
      <c r="J348" s="5">
        <v>1.000000</v>
      </c>
    </row>
    <row r="349" spans="1:11">
      <c r="A349" s="22" t="str">
        <f>HYPERLINK("https://app.vivvix.com/360/KMI/IntelliDrive/ApplUI/Pages/CreativePages/CustomReportCreativeDetail.aspx?App=23&amp;ReportView=4&amp;Qid=1696098&amp;Row=341&amp;Col=1","No Title Assigned - #15265386350")</f>
        <v/>
      </c>
      <c r="B349" s="0" t="s">
        <v>333</v>
      </c>
      <c r="E349" s="0" t="s">
        <v>12</v>
      </c>
      <c r="F349" s="0" t="s">
        <v>12</v>
      </c>
      <c r="G349" s="0" t="s">
        <v>204</v>
      </c>
      <c r="I349" s="5">
        <v>353.231600</v>
      </c>
      <c r="J349" s="5">
        <v>1.000000</v>
      </c>
    </row>
    <row r="350" spans="1:11">
      <c r="A350" s="22" t="str">
        <f>HYPERLINK("https://app.vivvix.com/360/KMI/IntelliDrive/ApplUI/Pages/CreativePages/CustomReportCreativeDetail.aspx?App=23&amp;ReportView=4&amp;Qid=1696098&amp;Row=342&amp;Col=1","No Title Assigned - #15265419234")</f>
        <v/>
      </c>
      <c r="B350" s="0" t="s">
        <v>334</v>
      </c>
      <c r="E350" s="0" t="s">
        <v>12</v>
      </c>
      <c r="F350" s="0" t="s">
        <v>12</v>
      </c>
      <c r="G350" s="0" t="s">
        <v>204</v>
      </c>
      <c r="I350" s="5">
        <v>19.588400</v>
      </c>
      <c r="J350" s="5">
        <v>1.000000</v>
      </c>
    </row>
    <row r="351" spans="1:11">
      <c r="A351" s="22" t="str">
        <f>HYPERLINK("https://app.vivvix.com/360/KMI/IntelliDrive/ApplUI/Pages/CreativePages/CustomReportCreativeDetail.aspx?App=23&amp;ReportView=4&amp;Qid=1696098&amp;Row=343&amp;Col=1","No Title Assigned - #15265498306")</f>
        <v/>
      </c>
      <c r="B351" s="0" t="s">
        <v>335</v>
      </c>
      <c r="E351" s="0" t="s">
        <v>12</v>
      </c>
      <c r="F351" s="0" t="s">
        <v>12</v>
      </c>
      <c r="G351" s="0" t="s">
        <v>204</v>
      </c>
      <c r="I351" s="5">
        <v>19.588400</v>
      </c>
      <c r="J351" s="5">
        <v>1.000000</v>
      </c>
    </row>
    <row r="352" spans="1:11">
      <c r="A352" s="22" t="str">
        <f>HYPERLINK("https://app.vivvix.com/360/KMI/IntelliDrive/ApplUI/Pages/CreativePages/CustomReportCreativeDetail.aspx?App=23&amp;ReportView=4&amp;Qid=1696098&amp;Row=344&amp;Col=1","No Title Assigned - #15265498494")</f>
        <v/>
      </c>
      <c r="B352" s="0" t="s">
        <v>336</v>
      </c>
      <c r="E352" s="0" t="s">
        <v>12</v>
      </c>
      <c r="F352" s="0" t="s">
        <v>12</v>
      </c>
      <c r="G352" s="0" t="s">
        <v>204</v>
      </c>
      <c r="I352" s="5">
        <v>39.176800</v>
      </c>
      <c r="J352" s="5">
        <v>2.000000</v>
      </c>
    </row>
    <row r="353" spans="1:11">
      <c r="A353" s="22" t="str">
        <f>HYPERLINK("https://app.vivvix.com/360/KMI/IntelliDrive/ApplUI/Pages/CreativePages/CustomReportCreativeDetail.aspx?App=23&amp;ReportView=4&amp;Qid=1696098&amp;Row=345&amp;Col=1","No Title Assigned - #15265570164")</f>
        <v/>
      </c>
      <c r="B353" s="0" t="s">
        <v>337</v>
      </c>
      <c r="E353" s="0" t="s">
        <v>12</v>
      </c>
      <c r="F353" s="0" t="s">
        <v>12</v>
      </c>
      <c r="G353" s="0" t="s">
        <v>204</v>
      </c>
      <c r="I353" s="5">
        <v>19.588400</v>
      </c>
      <c r="J353" s="5">
        <v>1.000000</v>
      </c>
    </row>
    <row r="354" spans="1:11">
      <c r="A354" s="22" t="str">
        <f>HYPERLINK("https://app.vivvix.com/360/KMI/IntelliDrive/ApplUI/Pages/CreativePages/CustomReportCreativeDetail.aspx?App=23&amp;ReportView=4&amp;Qid=1696098&amp;Row=346&amp;Col=1","No Title Assigned - #15265570184")</f>
        <v/>
      </c>
      <c r="B354" s="0" t="s">
        <v>338</v>
      </c>
      <c r="E354" s="0" t="s">
        <v>12</v>
      </c>
      <c r="F354" s="0" t="s">
        <v>12</v>
      </c>
      <c r="G354" s="0" t="s">
        <v>204</v>
      </c>
      <c r="I354" s="5">
        <v>39.176800</v>
      </c>
      <c r="J354" s="5">
        <v>2.000000</v>
      </c>
    </row>
    <row r="355" spans="1:11">
      <c r="A355" s="22" t="str">
        <f>HYPERLINK("https://app.vivvix.com/360/KMI/IntelliDrive/ApplUI/Pages/CreativePages/CustomReportCreativeDetail.aspx?App=23&amp;ReportView=4&amp;Qid=1696098&amp;Row=347&amp;Col=1","No Title Assigned - #15265586444")</f>
        <v/>
      </c>
      <c r="B355" s="0" t="s">
        <v>339</v>
      </c>
      <c r="E355" s="0" t="s">
        <v>12</v>
      </c>
      <c r="F355" s="0" t="s">
        <v>12</v>
      </c>
      <c r="G355" s="0" t="s">
        <v>204</v>
      </c>
      <c r="I355" s="5">
        <v>235.060800</v>
      </c>
      <c r="J355" s="5">
        <v>12.000000</v>
      </c>
    </row>
    <row r="356" spans="1:11">
      <c r="A356" s="22" t="str">
        <f>HYPERLINK("https://app.vivvix.com/360/KMI/IntelliDrive/ApplUI/Pages/CreativePages/CustomReportCreativeDetail.aspx?App=23&amp;ReportView=4&amp;Qid=1696098&amp;Row=348&amp;Col=1","No Title Assigned - #15265586544")</f>
        <v/>
      </c>
      <c r="B356" s="0" t="s">
        <v>340</v>
      </c>
      <c r="E356" s="0" t="s">
        <v>12</v>
      </c>
      <c r="F356" s="0" t="s">
        <v>12</v>
      </c>
      <c r="G356" s="0" t="s">
        <v>204</v>
      </c>
      <c r="I356" s="5">
        <v>19.588400</v>
      </c>
      <c r="J356" s="5">
        <v>1.000000</v>
      </c>
    </row>
    <row r="357" spans="1:11">
      <c r="A357" s="22" t="str">
        <f>HYPERLINK("https://app.vivvix.com/360/KMI/IntelliDrive/ApplUI/Pages/CreativePages/CustomReportCreativeDetail.aspx?App=23&amp;ReportView=4&amp;Qid=1696098&amp;Row=349&amp;Col=1","No Title Assigned - #15265586641")</f>
        <v/>
      </c>
      <c r="B357" s="0" t="s">
        <v>341</v>
      </c>
      <c r="E357" s="0" t="s">
        <v>12</v>
      </c>
      <c r="F357" s="0" t="s">
        <v>12</v>
      </c>
      <c r="G357" s="0" t="s">
        <v>204</v>
      </c>
      <c r="I357" s="5">
        <v>78.353600</v>
      </c>
      <c r="J357" s="5">
        <v>4.000000</v>
      </c>
    </row>
    <row r="358" spans="1:11">
      <c r="A358" s="22" t="str">
        <f>HYPERLINK("https://app.vivvix.com/360/KMI/IntelliDrive/ApplUI/Pages/CreativePages/CustomReportCreativeDetail.aspx?App=23&amp;ReportView=4&amp;Qid=1696098&amp;Row=350&amp;Col=1","No Title Assigned - #15265586650")</f>
        <v/>
      </c>
      <c r="B358" s="0" t="s">
        <v>342</v>
      </c>
      <c r="E358" s="0" t="s">
        <v>12</v>
      </c>
      <c r="F358" s="0" t="s">
        <v>12</v>
      </c>
      <c r="G358" s="0" t="s">
        <v>204</v>
      </c>
      <c r="I358" s="5">
        <v>19.588400</v>
      </c>
      <c r="J358" s="5">
        <v>1.000000</v>
      </c>
    </row>
    <row r="359" spans="1:11">
      <c r="A359" s="22" t="str">
        <f>HYPERLINK("https://app.vivvix.com/360/KMI/IntelliDrive/ApplUI/Pages/CreativePages/CustomReportCreativeDetail.aspx?App=23&amp;ReportView=4&amp;Qid=1696098&amp;Row=351&amp;Col=1","No Title Assigned - #15265588106")</f>
        <v/>
      </c>
      <c r="B359" s="0" t="s">
        <v>343</v>
      </c>
      <c r="E359" s="0" t="s">
        <v>12</v>
      </c>
      <c r="F359" s="0" t="s">
        <v>12</v>
      </c>
      <c r="G359" s="0" t="s">
        <v>204</v>
      </c>
      <c r="I359" s="5">
        <v>951.310900</v>
      </c>
      <c r="J359" s="5">
        <v>1.000000</v>
      </c>
    </row>
    <row r="360" spans="1:11">
      <c r="A360" s="22" t="str">
        <f>HYPERLINK("https://app.vivvix.com/360/KMI/IntelliDrive/ApplUI/Pages/CreativePages/CustomReportCreativeDetail.aspx?App=23&amp;ReportView=4&amp;Qid=1696098&amp;Row=352&amp;Col=1","No Title Assigned - #15265588107")</f>
        <v/>
      </c>
      <c r="B360" s="0" t="s">
        <v>344</v>
      </c>
      <c r="E360" s="0" t="s">
        <v>12</v>
      </c>
      <c r="F360" s="0" t="s">
        <v>12</v>
      </c>
      <c r="G360" s="0" t="s">
        <v>204</v>
      </c>
      <c r="I360" s="5">
        <v>951.310900</v>
      </c>
      <c r="J360" s="5">
        <v>1.000000</v>
      </c>
    </row>
    <row r="361" spans="1:11">
      <c r="A361" s="22" t="str">
        <f>HYPERLINK("https://app.vivvix.com/360/KMI/IntelliDrive/ApplUI/Pages/CreativePages/CustomReportCreativeDetail.aspx?App=23&amp;ReportView=4&amp;Qid=1696098&amp;Row=353&amp;Col=1","No Title Assigned - #15265588283")</f>
        <v/>
      </c>
      <c r="B361" s="0" t="s">
        <v>345</v>
      </c>
      <c r="E361" s="0" t="s">
        <v>12</v>
      </c>
      <c r="F361" s="0" t="s">
        <v>12</v>
      </c>
      <c r="G361" s="0" t="s">
        <v>204</v>
      </c>
      <c r="I361" s="5">
        <v>3132.854500</v>
      </c>
      <c r="J361" s="5">
        <v>1.000000</v>
      </c>
    </row>
    <row r="362" spans="1:11">
      <c r="A362" s="22" t="str">
        <f>HYPERLINK("https://app.vivvix.com/360/KMI/IntelliDrive/ApplUI/Pages/CreativePages/CustomReportCreativeDetail.aspx?App=23&amp;ReportView=4&amp;Qid=1696098&amp;Row=354&amp;Col=1","No Title Assigned - #15265699369")</f>
        <v/>
      </c>
      <c r="B362" s="0" t="s">
        <v>346</v>
      </c>
      <c r="E362" s="0" t="s">
        <v>12</v>
      </c>
      <c r="F362" s="0" t="s">
        <v>12</v>
      </c>
      <c r="G362" s="0" t="s">
        <v>204</v>
      </c>
      <c r="I362" s="5">
        <v>622.583000</v>
      </c>
      <c r="J362" s="5">
        <v>1.000000</v>
      </c>
    </row>
    <row r="363" spans="1:11">
      <c r="A363" s="22" t="str">
        <f>HYPERLINK("https://app.vivvix.com/360/KMI/IntelliDrive/ApplUI/Pages/CreativePages/CustomReportCreativeDetail.aspx?App=23&amp;ReportView=4&amp;Qid=1696098&amp;Row=355&amp;Col=1","No Title Assigned - #15265713052")</f>
        <v/>
      </c>
      <c r="B363" s="0" t="s">
        <v>347</v>
      </c>
      <c r="E363" s="0" t="s">
        <v>12</v>
      </c>
      <c r="F363" s="0" t="s">
        <v>12</v>
      </c>
      <c r="G363" s="0" t="s">
        <v>204</v>
      </c>
      <c r="I363" s="5">
        <v>419.435500</v>
      </c>
      <c r="J363" s="5">
        <v>1.000000</v>
      </c>
    </row>
    <row r="364" spans="1:11">
      <c r="A364" s="22" t="str">
        <f>HYPERLINK("https://app.vivvix.com/360/KMI/IntelliDrive/ApplUI/Pages/CreativePages/CustomReportCreativeDetail.aspx?App=23&amp;ReportView=4&amp;Qid=1696098&amp;Row=356&amp;Col=1","No Title Assigned - #15265718466")</f>
        <v/>
      </c>
      <c r="B364" s="0" t="s">
        <v>348</v>
      </c>
      <c r="E364" s="0" t="s">
        <v>12</v>
      </c>
      <c r="F364" s="0" t="s">
        <v>12</v>
      </c>
      <c r="G364" s="0" t="s">
        <v>204</v>
      </c>
      <c r="I364" s="5">
        <v>19.588400</v>
      </c>
      <c r="J364" s="5">
        <v>1.000000</v>
      </c>
    </row>
    <row r="365" spans="1:11">
      <c r="A365" s="22" t="str">
        <f>HYPERLINK("https://app.vivvix.com/360/KMI/IntelliDrive/ApplUI/Pages/CreativePages/CustomReportCreativeDetail.aspx?App=23&amp;ReportView=4&amp;Qid=1696098&amp;Row=357&amp;Col=1","No Title Assigned - #15265721786")</f>
        <v/>
      </c>
      <c r="B365" s="0" t="s">
        <v>349</v>
      </c>
      <c r="E365" s="0" t="s">
        <v>12</v>
      </c>
      <c r="F365" s="0" t="s">
        <v>12</v>
      </c>
      <c r="G365" s="0" t="s">
        <v>204</v>
      </c>
      <c r="I365" s="5">
        <v>39.176800</v>
      </c>
      <c r="J365" s="5">
        <v>2.000000</v>
      </c>
    </row>
    <row r="366" spans="1:11">
      <c r="A366" s="22" t="str">
        <f>HYPERLINK("https://app.vivvix.com/360/KMI/IntelliDrive/ApplUI/Pages/CreativePages/CustomReportCreativeDetail.aspx?App=23&amp;ReportView=4&amp;Qid=1696098&amp;Row=358&amp;Col=1","No Title Assigned - #15265721814")</f>
        <v/>
      </c>
      <c r="B366" s="0" t="s">
        <v>350</v>
      </c>
      <c r="E366" s="0" t="s">
        <v>12</v>
      </c>
      <c r="F366" s="0" t="s">
        <v>12</v>
      </c>
      <c r="G366" s="0" t="s">
        <v>204</v>
      </c>
      <c r="I366" s="5">
        <v>19.588400</v>
      </c>
      <c r="J366" s="5">
        <v>1.000000</v>
      </c>
    </row>
    <row r="367" spans="1:11">
      <c r="A367" s="22" t="str">
        <f>HYPERLINK("https://app.vivvix.com/360/KMI/IntelliDrive/ApplUI/Pages/CreativePages/CustomReportCreativeDetail.aspx?App=23&amp;ReportView=4&amp;Qid=1696098&amp;Row=359&amp;Col=1","No Title Assigned - #15265773281")</f>
        <v/>
      </c>
      <c r="B367" s="0" t="s">
        <v>351</v>
      </c>
      <c r="E367" s="0" t="s">
        <v>12</v>
      </c>
      <c r="F367" s="0" t="s">
        <v>12</v>
      </c>
      <c r="G367" s="0" t="s">
        <v>204</v>
      </c>
      <c r="I367" s="5">
        <v>58.570400</v>
      </c>
      <c r="J367" s="5">
        <v>3.000000</v>
      </c>
    </row>
    <row r="368" spans="1:11">
      <c r="A368" s="22" t="str">
        <f>HYPERLINK("https://app.vivvix.com/360/KMI/IntelliDrive/ApplUI/Pages/CreativePages/CustomReportCreativeDetail.aspx?App=23&amp;ReportView=4&amp;Qid=1696098&amp;Row=360&amp;Col=1","No Title Assigned - #15265773505")</f>
        <v/>
      </c>
      <c r="B368" s="0" t="s">
        <v>352</v>
      </c>
      <c r="E368" s="0" t="s">
        <v>12</v>
      </c>
      <c r="F368" s="0" t="s">
        <v>12</v>
      </c>
      <c r="G368" s="0" t="s">
        <v>204</v>
      </c>
      <c r="I368" s="5">
        <v>622.583000</v>
      </c>
      <c r="J368" s="5">
        <v>1.000000</v>
      </c>
    </row>
    <row r="369" spans="1:11">
      <c r="A369" s="22" t="str">
        <f>HYPERLINK("https://app.vivvix.com/360/KMI/IntelliDrive/ApplUI/Pages/CreativePages/CustomReportCreativeDetail.aspx?App=23&amp;ReportView=4&amp;Qid=1696098&amp;Row=361&amp;Col=1","No Title Assigned - #15265829648")</f>
        <v/>
      </c>
      <c r="B369" s="0" t="s">
        <v>353</v>
      </c>
      <c r="E369" s="0" t="s">
        <v>12</v>
      </c>
      <c r="F369" s="0" t="s">
        <v>12</v>
      </c>
      <c r="G369" s="0" t="s">
        <v>204</v>
      </c>
      <c r="I369" s="5">
        <v>19.588400</v>
      </c>
      <c r="J369" s="5">
        <v>1.000000</v>
      </c>
    </row>
    <row r="370" spans="1:11">
      <c r="A370" s="22" t="str">
        <f>HYPERLINK("https://app.vivvix.com/360/KMI/IntelliDrive/ApplUI/Pages/CreativePages/CustomReportCreativeDetail.aspx?App=23&amp;ReportView=4&amp;Qid=1696098&amp;Row=362&amp;Col=1","No Title Assigned - #15265862935")</f>
        <v/>
      </c>
      <c r="B370" s="0" t="s">
        <v>354</v>
      </c>
      <c r="E370" s="0" t="s">
        <v>12</v>
      </c>
      <c r="F370" s="0" t="s">
        <v>12</v>
      </c>
      <c r="G370" s="0" t="s">
        <v>204</v>
      </c>
      <c r="I370" s="5">
        <v>19.588400</v>
      </c>
      <c r="J370" s="5">
        <v>1.000000</v>
      </c>
    </row>
    <row r="371" spans="1:11">
      <c r="A371" s="22" t="str">
        <f>HYPERLINK("https://app.vivvix.com/360/KMI/IntelliDrive/ApplUI/Pages/CreativePages/CustomReportCreativeDetail.aspx?App=23&amp;ReportView=4&amp;Qid=1696098&amp;Row=363&amp;Col=1","No Title Assigned - #15265862936")</f>
        <v/>
      </c>
      <c r="B371" s="0" t="s">
        <v>355</v>
      </c>
      <c r="E371" s="0" t="s">
        <v>12</v>
      </c>
      <c r="F371" s="0" t="s">
        <v>12</v>
      </c>
      <c r="G371" s="0" t="s">
        <v>204</v>
      </c>
      <c r="I371" s="5">
        <v>19.588400</v>
      </c>
      <c r="J371" s="5">
        <v>1.000000</v>
      </c>
    </row>
    <row r="372" spans="1:11">
      <c r="A372" s="22" t="str">
        <f>HYPERLINK("https://app.vivvix.com/360/KMI/IntelliDrive/ApplUI/Pages/CreativePages/CustomReportCreativeDetail.aspx?App=23&amp;ReportView=4&amp;Qid=1696098&amp;Row=364&amp;Col=1","No Title Assigned - #15265903881")</f>
        <v/>
      </c>
      <c r="B372" s="0" t="s">
        <v>356</v>
      </c>
      <c r="E372" s="0" t="s">
        <v>12</v>
      </c>
      <c r="F372" s="0" t="s">
        <v>12</v>
      </c>
      <c r="G372" s="0" t="s">
        <v>204</v>
      </c>
      <c r="I372" s="5">
        <v>2039.076700</v>
      </c>
      <c r="J372" s="5">
        <v>1.000000</v>
      </c>
    </row>
    <row r="373" spans="1:11">
      <c r="A373" s="22" t="str">
        <f>HYPERLINK("https://app.vivvix.com/360/KMI/IntelliDrive/ApplUI/Pages/CreativePages/CustomReportCreativeDetail.aspx?App=23&amp;ReportView=4&amp;Qid=1696098&amp;Row=365&amp;Col=1","No Title Assigned - #15265961104")</f>
        <v/>
      </c>
      <c r="B373" s="0" t="s">
        <v>357</v>
      </c>
      <c r="E373" s="0" t="s">
        <v>12</v>
      </c>
      <c r="F373" s="0" t="s">
        <v>12</v>
      </c>
      <c r="G373" s="0" t="s">
        <v>204</v>
      </c>
      <c r="I373" s="5">
        <v>19.588400</v>
      </c>
      <c r="J373" s="5">
        <v>1.000000</v>
      </c>
    </row>
    <row r="374" spans="1:11">
      <c r="A374" s="22" t="str">
        <f>HYPERLINK("https://app.vivvix.com/360/KMI/IntelliDrive/ApplUI/Pages/CreativePages/CustomReportCreativeDetail.aspx?App=23&amp;ReportView=4&amp;Qid=1696098&amp;Row=366&amp;Col=1","No Title Assigned - #15266025417")</f>
        <v/>
      </c>
      <c r="B374" s="0" t="s">
        <v>358</v>
      </c>
      <c r="E374" s="0" t="s">
        <v>12</v>
      </c>
      <c r="F374" s="0" t="s">
        <v>12</v>
      </c>
      <c r="G374" s="0" t="s">
        <v>204</v>
      </c>
      <c r="I374" s="5">
        <v>301.951600</v>
      </c>
      <c r="J374" s="5">
        <v>1.000000</v>
      </c>
    </row>
    <row r="375" spans="1:11">
      <c r="A375" s="22" t="str">
        <f>HYPERLINK("https://app.vivvix.com/360/KMI/IntelliDrive/ApplUI/Pages/CreativePages/CustomReportCreativeDetail.aspx?App=23&amp;ReportView=4&amp;Qid=1696098&amp;Row=367&amp;Col=1","No Title Assigned - #15266027178")</f>
        <v/>
      </c>
      <c r="B375" s="0" t="s">
        <v>359</v>
      </c>
      <c r="E375" s="0" t="s">
        <v>12</v>
      </c>
      <c r="F375" s="0" t="s">
        <v>12</v>
      </c>
      <c r="G375" s="0" t="s">
        <v>204</v>
      </c>
      <c r="I375" s="5">
        <v>301.951600</v>
      </c>
      <c r="J375" s="5">
        <v>1.000000</v>
      </c>
    </row>
    <row r="376" spans="1:11">
      <c r="A376" s="22" t="str">
        <f>HYPERLINK("https://app.vivvix.com/360/KMI/IntelliDrive/ApplUI/Pages/CreativePages/CustomReportCreativeDetail.aspx?App=23&amp;ReportView=4&amp;Qid=1696098&amp;Row=368&amp;Col=1","No Title Assigned - #15266037889")</f>
        <v/>
      </c>
      <c r="B376" s="0" t="s">
        <v>360</v>
      </c>
      <c r="E376" s="0" t="s">
        <v>12</v>
      </c>
      <c r="F376" s="0" t="s">
        <v>12</v>
      </c>
      <c r="G376" s="0" t="s">
        <v>204</v>
      </c>
      <c r="I376" s="5">
        <v>485.107800</v>
      </c>
      <c r="J376" s="5">
        <v>1.000000</v>
      </c>
    </row>
    <row r="377" spans="1:11">
      <c r="A377" s="22" t="str">
        <f>HYPERLINK("https://app.vivvix.com/360/KMI/IntelliDrive/ApplUI/Pages/CreativePages/CustomReportCreativeDetail.aspx?App=23&amp;ReportView=4&amp;Qid=1696098&amp;Row=369&amp;Col=1","No Title Assigned - #15266090389")</f>
        <v/>
      </c>
      <c r="B377" s="0" t="s">
        <v>361</v>
      </c>
      <c r="E377" s="0" t="s">
        <v>12</v>
      </c>
      <c r="F377" s="0" t="s">
        <v>12</v>
      </c>
      <c r="G377" s="0" t="s">
        <v>204</v>
      </c>
      <c r="I377" s="5">
        <v>622.583000</v>
      </c>
      <c r="J377" s="5">
        <v>1.000000</v>
      </c>
    </row>
    <row r="378" spans="1:11">
      <c r="A378" s="22" t="str">
        <f>HYPERLINK("https://app.vivvix.com/360/KMI/IntelliDrive/ApplUI/Pages/CreativePages/CustomReportCreativeDetail.aspx?App=23&amp;ReportView=4&amp;Qid=1696098&amp;Row=370&amp;Col=1","No Title Assigned - #15266090588")</f>
        <v/>
      </c>
      <c r="B378" s="0" t="s">
        <v>362</v>
      </c>
      <c r="E378" s="0" t="s">
        <v>12</v>
      </c>
      <c r="F378" s="0" t="s">
        <v>12</v>
      </c>
      <c r="G378" s="0" t="s">
        <v>204</v>
      </c>
      <c r="I378" s="5">
        <v>622.583000</v>
      </c>
      <c r="J378" s="5">
        <v>1.000000</v>
      </c>
    </row>
    <row r="379" spans="1:11">
      <c r="A379" s="22" t="str">
        <f>HYPERLINK("https://app.vivvix.com/360/KMI/IntelliDrive/ApplUI/Pages/CreativePages/CustomReportCreativeDetail.aspx?App=23&amp;ReportView=4&amp;Qid=1696098&amp;Row=371&amp;Col=1","No Title Assigned - #15266112366")</f>
        <v/>
      </c>
      <c r="B379" s="0" t="s">
        <v>363</v>
      </c>
      <c r="E379" s="0" t="s">
        <v>12</v>
      </c>
      <c r="F379" s="0" t="s">
        <v>12</v>
      </c>
      <c r="G379" s="0" t="s">
        <v>204</v>
      </c>
      <c r="I379" s="5">
        <v>622.583000</v>
      </c>
      <c r="J379" s="5">
        <v>1.000000</v>
      </c>
    </row>
    <row r="380" spans="1:11">
      <c r="A380" s="22" t="str">
        <f>HYPERLINK("https://app.vivvix.com/360/KMI/IntelliDrive/ApplUI/Pages/CreativePages/CustomReportCreativeDetail.aspx?App=23&amp;ReportView=4&amp;Qid=1696098&amp;Row=372&amp;Col=1","No Title Assigned - #15266124884")</f>
        <v/>
      </c>
      <c r="B380" s="0" t="s">
        <v>364</v>
      </c>
      <c r="E380" s="0" t="s">
        <v>12</v>
      </c>
      <c r="F380" s="0" t="s">
        <v>12</v>
      </c>
      <c r="G380" s="0" t="s">
        <v>204</v>
      </c>
      <c r="I380" s="5">
        <v>3132.854500</v>
      </c>
      <c r="J380" s="5">
        <v>1.000000</v>
      </c>
    </row>
    <row r="381" spans="1:11">
      <c r="A381" s="22" t="str">
        <f>HYPERLINK("https://app.vivvix.com/360/KMI/IntelliDrive/ApplUI/Pages/CreativePages/CustomReportCreativeDetail.aspx?App=23&amp;ReportView=4&amp;Qid=1696098&amp;Row=373&amp;Col=1","No Title Assigned - #15266152133")</f>
        <v/>
      </c>
      <c r="B381" s="0" t="s">
        <v>365</v>
      </c>
      <c r="E381" s="0" t="s">
        <v>12</v>
      </c>
      <c r="F381" s="0" t="s">
        <v>12</v>
      </c>
      <c r="G381" s="0" t="s">
        <v>204</v>
      </c>
      <c r="I381" s="5">
        <v>301.951600</v>
      </c>
      <c r="J381" s="5">
        <v>1.000000</v>
      </c>
    </row>
    <row r="382" spans="1:11">
      <c r="A382" s="22" t="str">
        <f>HYPERLINK("https://app.vivvix.com/360/KMI/IntelliDrive/ApplUI/Pages/CreativePages/CustomReportCreativeDetail.aspx?App=23&amp;ReportView=4&amp;Qid=1696098&amp;Row=374&amp;Col=1","No Title Assigned - #15266159541")</f>
        <v/>
      </c>
      <c r="B382" s="0" t="s">
        <v>366</v>
      </c>
      <c r="E382" s="0" t="s">
        <v>12</v>
      </c>
      <c r="F382" s="0" t="s">
        <v>12</v>
      </c>
      <c r="G382" s="0" t="s">
        <v>204</v>
      </c>
      <c r="I382" s="5">
        <v>229.462100</v>
      </c>
      <c r="J382" s="5">
        <v>1.000000</v>
      </c>
    </row>
    <row r="383" spans="1:11">
      <c r="A383" s="22" t="str">
        <f>HYPERLINK("https://app.vivvix.com/360/KMI/IntelliDrive/ApplUI/Pages/CreativePages/CustomReportCreativeDetail.aspx?App=23&amp;ReportView=4&amp;Qid=1696098&amp;Row=375&amp;Col=1","No Title Assigned - #15266192488")</f>
        <v/>
      </c>
      <c r="B383" s="0" t="s">
        <v>367</v>
      </c>
      <c r="E383" s="0" t="s">
        <v>12</v>
      </c>
      <c r="F383" s="0" t="s">
        <v>12</v>
      </c>
      <c r="G383" s="0" t="s">
        <v>204</v>
      </c>
      <c r="I383" s="5">
        <v>229.462100</v>
      </c>
      <c r="J383" s="5">
        <v>1.000000</v>
      </c>
    </row>
    <row r="384" spans="1:11">
      <c r="A384" s="22" t="str">
        <f>HYPERLINK("https://app.vivvix.com/360/KMI/IntelliDrive/ApplUI/Pages/CreativePages/CustomReportCreativeDetail.aspx?App=23&amp;ReportView=4&amp;Qid=1696098&amp;Row=376&amp;Col=1","No Title Assigned - #15266233984")</f>
        <v/>
      </c>
      <c r="B384" s="0" t="s">
        <v>368</v>
      </c>
      <c r="E384" s="0" t="s">
        <v>12</v>
      </c>
      <c r="F384" s="0" t="s">
        <v>12</v>
      </c>
      <c r="G384" s="0" t="s">
        <v>204</v>
      </c>
      <c r="I384" s="5">
        <v>508.319400</v>
      </c>
      <c r="J384" s="5">
        <v>1.000000</v>
      </c>
    </row>
    <row r="385" spans="1:11">
      <c r="A385" s="22" t="str">
        <f>HYPERLINK("https://app.vivvix.com/360/KMI/IntelliDrive/ApplUI/Pages/CreativePages/CustomReportCreativeDetail.aspx?App=23&amp;ReportView=4&amp;Qid=1696098&amp;Row=377&amp;Col=1","No Title Assigned - #15266288170")</f>
        <v/>
      </c>
      <c r="B385" s="0" t="s">
        <v>369</v>
      </c>
      <c r="E385" s="0" t="s">
        <v>12</v>
      </c>
      <c r="F385" s="0" t="s">
        <v>12</v>
      </c>
      <c r="G385" s="0" t="s">
        <v>204</v>
      </c>
      <c r="I385" s="5">
        <v>622.583000</v>
      </c>
      <c r="J385" s="5">
        <v>1.000000</v>
      </c>
    </row>
    <row r="386" spans="1:11">
      <c r="A386" s="22" t="str">
        <f>HYPERLINK("https://app.vivvix.com/360/KMI/IntelliDrive/ApplUI/Pages/CreativePages/CustomReportCreativeDetail.aspx?App=23&amp;ReportView=4&amp;Qid=1696098&amp;Row=378&amp;Col=1","No Title Assigned - #15266294270")</f>
        <v/>
      </c>
      <c r="B386" s="0" t="s">
        <v>370</v>
      </c>
      <c r="E386" s="0" t="s">
        <v>12</v>
      </c>
      <c r="F386" s="0" t="s">
        <v>12</v>
      </c>
      <c r="G386" s="0" t="s">
        <v>204</v>
      </c>
      <c r="I386" s="5">
        <v>39.176800</v>
      </c>
      <c r="J386" s="5">
        <v>2.000000</v>
      </c>
    </row>
    <row r="387" spans="1:11">
      <c r="A387" s="22" t="str">
        <f>HYPERLINK("https://app.vivvix.com/360/KMI/IntelliDrive/ApplUI/Pages/CreativePages/CustomReportCreativeDetail.aspx?App=23&amp;ReportView=4&amp;Qid=1696098&amp;Row=379&amp;Col=1","No Title Assigned - #15266294271")</f>
        <v/>
      </c>
      <c r="B387" s="0" t="s">
        <v>371</v>
      </c>
      <c r="E387" s="0" t="s">
        <v>12</v>
      </c>
      <c r="F387" s="0" t="s">
        <v>12</v>
      </c>
      <c r="G387" s="0" t="s">
        <v>204</v>
      </c>
      <c r="I387" s="5">
        <v>97.942000</v>
      </c>
      <c r="J387" s="5">
        <v>5.000000</v>
      </c>
    </row>
    <row r="388" spans="1:11">
      <c r="A388" s="22" t="str">
        <f>HYPERLINK("https://app.vivvix.com/360/KMI/IntelliDrive/ApplUI/Pages/CreativePages/CustomReportCreativeDetail.aspx?App=23&amp;ReportView=4&amp;Qid=1696098&amp;Row=380&amp;Col=1","No Title Assigned - #15266300694")</f>
        <v/>
      </c>
      <c r="B388" s="0" t="s">
        <v>372</v>
      </c>
      <c r="E388" s="0" t="s">
        <v>12</v>
      </c>
      <c r="F388" s="0" t="s">
        <v>12</v>
      </c>
      <c r="G388" s="0" t="s">
        <v>204</v>
      </c>
      <c r="I388" s="5">
        <v>527.823600</v>
      </c>
      <c r="J388" s="5">
        <v>1.000000</v>
      </c>
    </row>
    <row r="389" spans="1:11">
      <c r="A389" s="22" t="str">
        <f>HYPERLINK("https://app.vivvix.com/360/KMI/IntelliDrive/ApplUI/Pages/CreativePages/CustomReportCreativeDetail.aspx?App=23&amp;ReportView=4&amp;Qid=1696098&amp;Row=381&amp;Col=1","No Title Assigned - #15266307537")</f>
        <v/>
      </c>
      <c r="B389" s="0" t="s">
        <v>373</v>
      </c>
      <c r="E389" s="0" t="s">
        <v>12</v>
      </c>
      <c r="F389" s="0" t="s">
        <v>12</v>
      </c>
      <c r="G389" s="0" t="s">
        <v>204</v>
      </c>
      <c r="I389" s="5">
        <v>180.449100</v>
      </c>
      <c r="J389" s="5">
        <v>1.000000</v>
      </c>
    </row>
    <row r="390" spans="1:11">
      <c r="A390" s="22" t="str">
        <f>HYPERLINK("https://app.vivvix.com/360/KMI/IntelliDrive/ApplUI/Pages/CreativePages/CustomReportCreativeDetail.aspx?App=23&amp;ReportView=4&amp;Qid=1696098&amp;Row=382&amp;Col=1","No Title Assigned - #15266307551")</f>
        <v/>
      </c>
      <c r="B390" s="0" t="s">
        <v>374</v>
      </c>
      <c r="E390" s="0" t="s">
        <v>12</v>
      </c>
      <c r="F390" s="0" t="s">
        <v>12</v>
      </c>
      <c r="G390" s="0" t="s">
        <v>204</v>
      </c>
      <c r="I390" s="5">
        <v>180.449100</v>
      </c>
      <c r="J390" s="5">
        <v>1.000000</v>
      </c>
    </row>
    <row r="391" spans="1:11">
      <c r="A391" s="22" t="str">
        <f>HYPERLINK("https://app.vivvix.com/360/KMI/IntelliDrive/ApplUI/Pages/CreativePages/CustomReportCreativeDetail.aspx?App=23&amp;ReportView=4&amp;Qid=1696098&amp;Row=383&amp;Col=1","No Title Assigned - #15266343017")</f>
        <v/>
      </c>
      <c r="B391" s="0" t="s">
        <v>375</v>
      </c>
      <c r="E391" s="0" t="s">
        <v>12</v>
      </c>
      <c r="F391" s="0" t="s">
        <v>12</v>
      </c>
      <c r="G391" s="0" t="s">
        <v>204</v>
      </c>
      <c r="I391" s="5">
        <v>386.002400</v>
      </c>
      <c r="J391" s="5">
        <v>4.000000</v>
      </c>
    </row>
    <row r="392" spans="1:11">
      <c r="A392" s="22" t="str">
        <f>HYPERLINK("https://app.vivvix.com/360/KMI/IntelliDrive/ApplUI/Pages/CreativePages/CustomReportCreativeDetail.aspx?App=23&amp;ReportView=4&amp;Qid=1696098&amp;Row=384&amp;Col=1","No Title Assigned - #15266343121")</f>
        <v/>
      </c>
      <c r="B392" s="0" t="s">
        <v>376</v>
      </c>
      <c r="E392" s="0" t="s">
        <v>12</v>
      </c>
      <c r="F392" s="0" t="s">
        <v>12</v>
      </c>
      <c r="G392" s="0" t="s">
        <v>204</v>
      </c>
      <c r="I392" s="5">
        <v>96.500600</v>
      </c>
      <c r="J392" s="5">
        <v>1.000000</v>
      </c>
    </row>
    <row r="393" spans="1:11">
      <c r="A393" s="22" t="str">
        <f>HYPERLINK("https://app.vivvix.com/360/KMI/IntelliDrive/ApplUI/Pages/CreativePages/CustomReportCreativeDetail.aspx?App=23&amp;ReportView=4&amp;Qid=1696098&amp;Row=385&amp;Col=1","No Title Assigned - #15266393923")</f>
        <v/>
      </c>
      <c r="B393" s="0" t="s">
        <v>377</v>
      </c>
      <c r="E393" s="0" t="s">
        <v>12</v>
      </c>
      <c r="F393" s="0" t="s">
        <v>12</v>
      </c>
      <c r="G393" s="0" t="s">
        <v>17</v>
      </c>
      <c r="I393" s="5">
        <v>28.996000</v>
      </c>
      <c r="J393" s="5">
        <v>5.000000</v>
      </c>
    </row>
    <row r="394" spans="1:11">
      <c r="A394" s="22" t="str">
        <f>HYPERLINK("https://app.vivvix.com/360/KMI/IntelliDrive/ApplUI/Pages/CreativePages/CustomReportCreativeDetail.aspx?App=23&amp;ReportView=4&amp;Qid=1696098&amp;Row=386&amp;Col=1","No Title Assigned - #15266496343")</f>
        <v/>
      </c>
      <c r="B394" s="0" t="s">
        <v>378</v>
      </c>
      <c r="E394" s="0" t="s">
        <v>12</v>
      </c>
      <c r="F394" s="0" t="s">
        <v>12</v>
      </c>
      <c r="G394" s="0" t="s">
        <v>204</v>
      </c>
      <c r="I394" s="5">
        <v>19.588400</v>
      </c>
      <c r="J394" s="5">
        <v>1.000000</v>
      </c>
    </row>
    <row r="395" spans="1:11">
      <c r="A395" s="22" t="str">
        <f>HYPERLINK("https://app.vivvix.com/360/KMI/IntelliDrive/ApplUI/Pages/CreativePages/CustomReportCreativeDetail.aspx?App=23&amp;ReportView=4&amp;Qid=1696098&amp;Row=387&amp;Col=1","No Title Assigned - #15266496344")</f>
        <v/>
      </c>
      <c r="B395" s="0" t="s">
        <v>379</v>
      </c>
      <c r="E395" s="0" t="s">
        <v>12</v>
      </c>
      <c r="F395" s="0" t="s">
        <v>12</v>
      </c>
      <c r="G395" s="0" t="s">
        <v>204</v>
      </c>
      <c r="I395" s="5">
        <v>19.588400</v>
      </c>
      <c r="J395" s="5">
        <v>1.000000</v>
      </c>
    </row>
    <row r="396" spans="1:11">
      <c r="A396" s="22" t="str">
        <f>HYPERLINK("https://app.vivvix.com/360/KMI/IntelliDrive/ApplUI/Pages/CreativePages/CustomReportCreativeDetail.aspx?App=23&amp;ReportView=4&amp;Qid=1696098&amp;Row=388&amp;Col=1","No Title Assigned - #15266547501")</f>
        <v/>
      </c>
      <c r="B396" s="0" t="s">
        <v>380</v>
      </c>
      <c r="E396" s="0" t="s">
        <v>12</v>
      </c>
      <c r="F396" s="0" t="s">
        <v>12</v>
      </c>
      <c r="G396" s="0" t="s">
        <v>204</v>
      </c>
      <c r="I396" s="5">
        <v>437.114600</v>
      </c>
      <c r="J396" s="5">
        <v>1.000000</v>
      </c>
    </row>
    <row r="397" spans="1:11">
      <c r="A397" s="22" t="str">
        <f>HYPERLINK("https://app.vivvix.com/360/KMI/IntelliDrive/ApplUI/Pages/CreativePages/CustomReportCreativeDetail.aspx?App=23&amp;ReportView=4&amp;Qid=1696098&amp;Row=389&amp;Col=1","No Title Assigned - #15266547502")</f>
        <v/>
      </c>
      <c r="B397" s="0" t="s">
        <v>381</v>
      </c>
      <c r="E397" s="0" t="s">
        <v>12</v>
      </c>
      <c r="F397" s="0" t="s">
        <v>12</v>
      </c>
      <c r="G397" s="0" t="s">
        <v>204</v>
      </c>
      <c r="I397" s="5">
        <v>437.114600</v>
      </c>
      <c r="J397" s="5">
        <v>1.000000</v>
      </c>
    </row>
    <row r="398" spans="1:11">
      <c r="A398" s="22" t="str">
        <f>HYPERLINK("https://app.vivvix.com/360/KMI/IntelliDrive/ApplUI/Pages/CreativePages/CustomReportCreativeDetail.aspx?App=23&amp;ReportView=4&amp;Qid=1696098&amp;Row=390&amp;Col=1","No Title Assigned - #15266566353")</f>
        <v/>
      </c>
      <c r="B398" s="0" t="s">
        <v>382</v>
      </c>
      <c r="E398" s="0" t="s">
        <v>12</v>
      </c>
      <c r="F398" s="0" t="s">
        <v>12</v>
      </c>
      <c r="G398" s="0" t="s">
        <v>204</v>
      </c>
      <c r="I398" s="5">
        <v>750.637600</v>
      </c>
      <c r="J398" s="5">
        <v>1.000000</v>
      </c>
    </row>
    <row r="399" spans="1:11">
      <c r="A399" s="22" t="str">
        <f>HYPERLINK("https://app.vivvix.com/360/KMI/IntelliDrive/ApplUI/Pages/CreativePages/CustomReportCreativeDetail.aspx?App=23&amp;ReportView=4&amp;Qid=1696098&amp;Row=391&amp;Col=1","No Title Assigned - #15266580459")</f>
        <v/>
      </c>
      <c r="B399" s="0" t="s">
        <v>383</v>
      </c>
      <c r="E399" s="0" t="s">
        <v>12</v>
      </c>
      <c r="F399" s="0" t="s">
        <v>12</v>
      </c>
      <c r="G399" s="0" t="s">
        <v>204</v>
      </c>
      <c r="I399" s="5">
        <v>58.473000</v>
      </c>
      <c r="J399" s="5">
        <v>3.000000</v>
      </c>
    </row>
    <row r="400" spans="1:11">
      <c r="A400" s="22" t="str">
        <f>HYPERLINK("https://app.vivvix.com/360/KMI/IntelliDrive/ApplUI/Pages/CreativePages/CustomReportCreativeDetail.aspx?App=23&amp;ReportView=4&amp;Qid=1696098&amp;Row=392&amp;Col=1","No Title Assigned - #15266580466")</f>
        <v/>
      </c>
      <c r="B400" s="0" t="s">
        <v>384</v>
      </c>
      <c r="E400" s="0" t="s">
        <v>12</v>
      </c>
      <c r="F400" s="0" t="s">
        <v>12</v>
      </c>
      <c r="G400" s="0" t="s">
        <v>204</v>
      </c>
      <c r="I400" s="5">
        <v>19.491000</v>
      </c>
      <c r="J400" s="5">
        <v>1.000000</v>
      </c>
    </row>
    <row r="401" spans="1:11">
      <c r="A401" s="22" t="str">
        <f>HYPERLINK("https://app.vivvix.com/360/KMI/IntelliDrive/ApplUI/Pages/CreativePages/CustomReportCreativeDetail.aspx?App=23&amp;ReportView=4&amp;Qid=1696098&amp;Row=393&amp;Col=1","No Title Assigned - #15266580467")</f>
        <v/>
      </c>
      <c r="B401" s="0" t="s">
        <v>385</v>
      </c>
      <c r="E401" s="0" t="s">
        <v>12</v>
      </c>
      <c r="F401" s="0" t="s">
        <v>12</v>
      </c>
      <c r="G401" s="0" t="s">
        <v>204</v>
      </c>
      <c r="I401" s="5">
        <v>97.455000</v>
      </c>
      <c r="J401" s="5">
        <v>5.000000</v>
      </c>
    </row>
    <row r="402" spans="1:11">
      <c r="A402" s="22" t="str">
        <f>HYPERLINK("https://app.vivvix.com/360/KMI/IntelliDrive/ApplUI/Pages/CreativePages/CustomReportCreativeDetail.aspx?App=23&amp;ReportView=4&amp;Qid=1696098&amp;Row=394&amp;Col=1","No Title Assigned - #15266580493")</f>
        <v/>
      </c>
      <c r="B402" s="0" t="s">
        <v>386</v>
      </c>
      <c r="E402" s="0" t="s">
        <v>12</v>
      </c>
      <c r="F402" s="0" t="s">
        <v>12</v>
      </c>
      <c r="G402" s="0" t="s">
        <v>204</v>
      </c>
      <c r="I402" s="5">
        <v>19.491000</v>
      </c>
      <c r="J402" s="5">
        <v>1.000000</v>
      </c>
    </row>
    <row r="403" spans="1:11">
      <c r="A403" s="22" t="str">
        <f>HYPERLINK("https://app.vivvix.com/360/KMI/IntelliDrive/ApplUI/Pages/CreativePages/CustomReportCreativeDetail.aspx?App=23&amp;ReportView=4&amp;Qid=1696098&amp;Row=395&amp;Col=1","No Title Assigned - #15266580569")</f>
        <v/>
      </c>
      <c r="B403" s="0" t="s">
        <v>387</v>
      </c>
      <c r="E403" s="0" t="s">
        <v>12</v>
      </c>
      <c r="F403" s="0" t="s">
        <v>12</v>
      </c>
      <c r="G403" s="0" t="s">
        <v>204</v>
      </c>
      <c r="I403" s="5">
        <v>19.491000</v>
      </c>
      <c r="J403" s="5">
        <v>1.000000</v>
      </c>
    </row>
    <row r="404" spans="1:11">
      <c r="A404" s="22" t="str">
        <f>HYPERLINK("https://app.vivvix.com/360/KMI/IntelliDrive/ApplUI/Pages/CreativePages/CustomReportCreativeDetail.aspx?App=23&amp;ReportView=4&amp;Qid=1696098&amp;Row=396&amp;Col=1","No Title Assigned - #15266580571")</f>
        <v/>
      </c>
      <c r="B404" s="0" t="s">
        <v>388</v>
      </c>
      <c r="E404" s="0" t="s">
        <v>12</v>
      </c>
      <c r="F404" s="0" t="s">
        <v>12</v>
      </c>
      <c r="G404" s="0" t="s">
        <v>204</v>
      </c>
      <c r="I404" s="5">
        <v>19.491000</v>
      </c>
      <c r="J404" s="5">
        <v>1.000000</v>
      </c>
    </row>
    <row r="405" spans="1:11">
      <c r="A405" s="22" t="str">
        <f>HYPERLINK("https://app.vivvix.com/360/KMI/IntelliDrive/ApplUI/Pages/CreativePages/CustomReportCreativeDetail.aspx?App=23&amp;ReportView=4&amp;Qid=1696098&amp;Row=397&amp;Col=1","No Title Assigned - #15266581375")</f>
        <v/>
      </c>
      <c r="B405" s="0" t="s">
        <v>389</v>
      </c>
      <c r="E405" s="0" t="s">
        <v>12</v>
      </c>
      <c r="F405" s="0" t="s">
        <v>12</v>
      </c>
      <c r="G405" s="0" t="s">
        <v>204</v>
      </c>
      <c r="I405" s="5">
        <v>318.008000</v>
      </c>
      <c r="J405" s="5">
        <v>1.000000</v>
      </c>
    </row>
    <row r="406" spans="1:11">
      <c r="A406" s="22" t="str">
        <f>HYPERLINK("https://app.vivvix.com/360/KMI/IntelliDrive/ApplUI/Pages/CreativePages/CustomReportCreativeDetail.aspx?App=23&amp;ReportView=4&amp;Qid=1696098&amp;Row=398&amp;Col=1","No Title Assigned - #15266581390")</f>
        <v/>
      </c>
      <c r="B406" s="0" t="s">
        <v>390</v>
      </c>
      <c r="E406" s="0" t="s">
        <v>12</v>
      </c>
      <c r="F406" s="0" t="s">
        <v>12</v>
      </c>
      <c r="G406" s="0" t="s">
        <v>204</v>
      </c>
      <c r="I406" s="5">
        <v>318.008000</v>
      </c>
      <c r="J406" s="5">
        <v>1.000000</v>
      </c>
    </row>
    <row r="407" spans="1:11">
      <c r="A407" s="22" t="str">
        <f>HYPERLINK("https://app.vivvix.com/360/KMI/IntelliDrive/ApplUI/Pages/CreativePages/CustomReportCreativeDetail.aspx?App=23&amp;ReportView=4&amp;Qid=1696098&amp;Row=399&amp;Col=1","No Title Assigned - #15266581401")</f>
        <v/>
      </c>
      <c r="B407" s="0" t="s">
        <v>391</v>
      </c>
      <c r="E407" s="0" t="s">
        <v>12</v>
      </c>
      <c r="F407" s="0" t="s">
        <v>12</v>
      </c>
      <c r="G407" s="0" t="s">
        <v>204</v>
      </c>
      <c r="I407" s="5">
        <v>318.008000</v>
      </c>
      <c r="J407" s="5">
        <v>1.000000</v>
      </c>
    </row>
    <row r="408" spans="1:11">
      <c r="A408" s="22" t="str">
        <f>HYPERLINK("https://app.vivvix.com/360/KMI/IntelliDrive/ApplUI/Pages/CreativePages/CustomReportCreativeDetail.aspx?App=23&amp;ReportView=4&amp;Qid=1696098&amp;Row=400&amp;Col=1","No Title Assigned - #15266613925")</f>
        <v/>
      </c>
      <c r="B408" s="0" t="s">
        <v>392</v>
      </c>
      <c r="E408" s="0" t="s">
        <v>12</v>
      </c>
      <c r="F408" s="0" t="s">
        <v>12</v>
      </c>
      <c r="G408" s="0" t="s">
        <v>204</v>
      </c>
      <c r="I408" s="5">
        <v>23314.576900</v>
      </c>
      <c r="J408" s="5">
        <v>89.000000</v>
      </c>
    </row>
    <row r="409" spans="1:11">
      <c r="A409" s="22" t="str">
        <f>HYPERLINK("https://app.vivvix.com/360/KMI/IntelliDrive/ApplUI/Pages/CreativePages/CustomReportCreativeDetail.aspx?App=23&amp;ReportView=4&amp;Qid=1696098&amp;Row=401&amp;Col=1","No Title Assigned - #15266619906")</f>
        <v/>
      </c>
      <c r="B409" s="0" t="s">
        <v>393</v>
      </c>
      <c r="E409" s="0" t="s">
        <v>12</v>
      </c>
      <c r="F409" s="0" t="s">
        <v>12</v>
      </c>
      <c r="G409" s="0" t="s">
        <v>204</v>
      </c>
      <c r="I409" s="5">
        <v>16630.695800</v>
      </c>
      <c r="J409" s="5">
        <v>13.000000</v>
      </c>
    </row>
    <row r="410" spans="1:11">
      <c r="A410" s="22" t="str">
        <f>HYPERLINK("https://app.vivvix.com/360/KMI/IntelliDrive/ApplUI/Pages/CreativePages/CustomReportCreativeDetail.aspx?App=23&amp;ReportView=4&amp;Qid=1696098&amp;Row=402&amp;Col=1","No Title Assigned - #15266628448")</f>
        <v/>
      </c>
      <c r="B410" s="0" t="s">
        <v>394</v>
      </c>
      <c r="E410" s="0" t="s">
        <v>12</v>
      </c>
      <c r="F410" s="0" t="s">
        <v>12</v>
      </c>
      <c r="G410" s="0" t="s">
        <v>204</v>
      </c>
      <c r="I410" s="5">
        <v>4850.738100</v>
      </c>
      <c r="J410" s="5">
        <v>4.000000</v>
      </c>
    </row>
    <row r="411" spans="1:11">
      <c r="A411" s="22" t="str">
        <f>HYPERLINK("https://app.vivvix.com/360/KMI/IntelliDrive/ApplUI/Pages/CreativePages/CustomReportCreativeDetail.aspx?App=23&amp;ReportView=4&amp;Qid=1696098&amp;Row=403&amp;Col=1","No Title Assigned - #15266638099")</f>
        <v/>
      </c>
      <c r="B411" s="0" t="s">
        <v>395</v>
      </c>
      <c r="E411" s="0" t="s">
        <v>12</v>
      </c>
      <c r="F411" s="0" t="s">
        <v>12</v>
      </c>
      <c r="G411" s="0" t="s">
        <v>204</v>
      </c>
      <c r="I411" s="5">
        <v>391.001100</v>
      </c>
      <c r="J411" s="5">
        <v>1.000000</v>
      </c>
    </row>
    <row r="412" spans="1:11">
      <c r="A412" s="22" t="str">
        <f>HYPERLINK("https://app.vivvix.com/360/KMI/IntelliDrive/ApplUI/Pages/CreativePages/CustomReportCreativeDetail.aspx?App=23&amp;ReportView=4&amp;Qid=1696098&amp;Row=404&amp;Col=1","No Title Assigned - #15266638106")</f>
        <v/>
      </c>
      <c r="B412" s="0" t="s">
        <v>396</v>
      </c>
      <c r="E412" s="0" t="s">
        <v>12</v>
      </c>
      <c r="F412" s="0" t="s">
        <v>12</v>
      </c>
      <c r="G412" s="0" t="s">
        <v>204</v>
      </c>
      <c r="I412" s="5">
        <v>391.001100</v>
      </c>
      <c r="J412" s="5">
        <v>1.000000</v>
      </c>
    </row>
    <row r="413" spans="1:11">
      <c r="A413" s="22" t="str">
        <f>HYPERLINK("https://app.vivvix.com/360/KMI/IntelliDrive/ApplUI/Pages/CreativePages/CustomReportCreativeDetail.aspx?App=23&amp;ReportView=4&amp;Qid=1696098&amp;Row=405&amp;Col=1","No Title Assigned - #15266682735")</f>
        <v/>
      </c>
      <c r="B413" s="0" t="s">
        <v>397</v>
      </c>
      <c r="E413" s="0" t="s">
        <v>12</v>
      </c>
      <c r="F413" s="0" t="s">
        <v>12</v>
      </c>
      <c r="G413" s="0" t="s">
        <v>204</v>
      </c>
      <c r="I413" s="5">
        <v>54962.630200</v>
      </c>
      <c r="J413" s="5">
        <v>40.000000</v>
      </c>
    </row>
    <row r="414" spans="1:11">
      <c r="A414" s="22" t="str">
        <f>HYPERLINK("https://app.vivvix.com/360/KMI/IntelliDrive/ApplUI/Pages/CreativePages/CustomReportCreativeDetail.aspx?App=23&amp;ReportView=4&amp;Qid=1696098&amp;Row=406&amp;Col=1","No Title Assigned - #15266747719")</f>
        <v/>
      </c>
      <c r="B414" s="0" t="s">
        <v>398</v>
      </c>
      <c r="E414" s="0" t="s">
        <v>12</v>
      </c>
      <c r="F414" s="0" t="s">
        <v>12</v>
      </c>
      <c r="G414" s="0" t="s">
        <v>204</v>
      </c>
      <c r="I414" s="5">
        <v>73327.246300</v>
      </c>
      <c r="J414" s="5">
        <v>11.000000</v>
      </c>
    </row>
    <row r="415" spans="1:11">
      <c r="A415" s="22" t="str">
        <f>HYPERLINK("https://app.vivvix.com/360/KMI/IntelliDrive/ApplUI/Pages/CreativePages/CustomReportCreativeDetail.aspx?App=23&amp;ReportView=4&amp;Qid=1696098&amp;Row=407&amp;Col=1","No Title Assigned - #15266752429")</f>
        <v/>
      </c>
      <c r="B415" s="0" t="s">
        <v>399</v>
      </c>
      <c r="E415" s="0" t="s">
        <v>12</v>
      </c>
      <c r="F415" s="0" t="s">
        <v>12</v>
      </c>
      <c r="G415" s="0" t="s">
        <v>204</v>
      </c>
      <c r="I415" s="5">
        <v>27728.894400</v>
      </c>
      <c r="J415" s="5">
        <v>20.000000</v>
      </c>
    </row>
    <row r="416" spans="1:11">
      <c r="A416" s="22" t="str">
        <f>HYPERLINK("https://app.vivvix.com/360/KMI/IntelliDrive/ApplUI/Pages/CreativePages/CustomReportCreativeDetail.aspx?App=23&amp;ReportView=4&amp;Qid=1696098&amp;Row=408&amp;Col=1","No Title Assigned - #15266764561")</f>
        <v/>
      </c>
      <c r="B416" s="0" t="s">
        <v>400</v>
      </c>
      <c r="E416" s="0" t="s">
        <v>12</v>
      </c>
      <c r="F416" s="0" t="s">
        <v>12</v>
      </c>
      <c r="G416" s="0" t="s">
        <v>204</v>
      </c>
      <c r="I416" s="5">
        <v>943.485000</v>
      </c>
      <c r="J416" s="5">
        <v>1.000000</v>
      </c>
    </row>
    <row r="417" spans="1:11">
      <c r="A417" s="22" t="str">
        <f>HYPERLINK("https://app.vivvix.com/360/KMI/IntelliDrive/ApplUI/Pages/CreativePages/CustomReportCreativeDetail.aspx?App=23&amp;ReportView=4&amp;Qid=1696098&amp;Row=409&amp;Col=1","No Title Assigned - #15266770300")</f>
        <v/>
      </c>
      <c r="B417" s="0" t="s">
        <v>401</v>
      </c>
      <c r="E417" s="0" t="s">
        <v>12</v>
      </c>
      <c r="F417" s="0" t="s">
        <v>12</v>
      </c>
      <c r="G417" s="0" t="s">
        <v>17</v>
      </c>
      <c r="I417" s="5">
        <v>5.315000</v>
      </c>
      <c r="J417" s="5">
        <v>1.000000</v>
      </c>
    </row>
    <row r="418" spans="1:11">
      <c r="A418" s="22" t="str">
        <f>HYPERLINK("https://app.vivvix.com/360/KMI/IntelliDrive/ApplUI/Pages/CreativePages/CustomReportCreativeDetail.aspx?App=23&amp;ReportView=4&amp;Qid=1696098&amp;Row=410&amp;Col=1","No Title Assigned - #15266771132")</f>
        <v/>
      </c>
      <c r="B418" s="0" t="s">
        <v>402</v>
      </c>
      <c r="E418" s="0" t="s">
        <v>12</v>
      </c>
      <c r="F418" s="0" t="s">
        <v>12</v>
      </c>
      <c r="G418" s="0" t="s">
        <v>204</v>
      </c>
      <c r="I418" s="5">
        <v>739.838100</v>
      </c>
      <c r="J418" s="5">
        <v>4.000000</v>
      </c>
    </row>
    <row r="419" spans="1:11">
      <c r="A419" s="22" t="str">
        <f>HYPERLINK("https://app.vivvix.com/360/KMI/IntelliDrive/ApplUI/Pages/CreativePages/CustomReportCreativeDetail.aspx?App=23&amp;ReportView=4&amp;Qid=1696098&amp;Row=411&amp;Col=1","No Title Assigned - #15266773177")</f>
        <v/>
      </c>
      <c r="B419" s="0" t="s">
        <v>403</v>
      </c>
      <c r="E419" s="0" t="s">
        <v>12</v>
      </c>
      <c r="F419" s="0" t="s">
        <v>12</v>
      </c>
      <c r="G419" s="0" t="s">
        <v>204</v>
      </c>
      <c r="I419" s="5">
        <v>21266.992200</v>
      </c>
      <c r="J419" s="5">
        <v>1.000000</v>
      </c>
    </row>
    <row r="420" spans="1:11">
      <c r="A420" s="22" t="str">
        <f>HYPERLINK("https://app.vivvix.com/360/KMI/IntelliDrive/ApplUI/Pages/CreativePages/CustomReportCreativeDetail.aspx?App=23&amp;ReportView=4&amp;Qid=1696098&amp;Row=412&amp;Col=1","No Title Assigned - #15266841601")</f>
        <v/>
      </c>
      <c r="B420" s="0" t="s">
        <v>404</v>
      </c>
      <c r="E420" s="0" t="s">
        <v>12</v>
      </c>
      <c r="F420" s="0" t="s">
        <v>12</v>
      </c>
      <c r="G420" s="0" t="s">
        <v>204</v>
      </c>
      <c r="I420" s="5">
        <v>858.935600</v>
      </c>
      <c r="J420" s="5">
        <v>2.000000</v>
      </c>
    </row>
    <row r="421" spans="1:11">
      <c r="A421" s="22" t="str">
        <f>HYPERLINK("https://app.vivvix.com/360/KMI/IntelliDrive/ApplUI/Pages/CreativePages/CustomReportCreativeDetail.aspx?App=23&amp;ReportView=4&amp;Qid=1696098&amp;Row=413&amp;Col=1","No Title Assigned - #15266848132")</f>
        <v/>
      </c>
      <c r="B421" s="0" t="s">
        <v>405</v>
      </c>
      <c r="E421" s="0" t="s">
        <v>12</v>
      </c>
      <c r="F421" s="0" t="s">
        <v>12</v>
      </c>
      <c r="G421" s="0" t="s">
        <v>204</v>
      </c>
      <c r="I421" s="5">
        <v>676.963800</v>
      </c>
      <c r="J421" s="5">
        <v>1.000000</v>
      </c>
    </row>
    <row r="422" spans="1:11">
      <c r="A422" s="22" t="str">
        <f>HYPERLINK("https://app.vivvix.com/360/KMI/IntelliDrive/ApplUI/Pages/CreativePages/CustomReportCreativeDetail.aspx?App=23&amp;ReportView=4&amp;Qid=1696098&amp;Row=414&amp;Col=1","No Title Assigned - #15266848133")</f>
        <v/>
      </c>
      <c r="B422" s="0" t="s">
        <v>406</v>
      </c>
      <c r="E422" s="0" t="s">
        <v>12</v>
      </c>
      <c r="F422" s="0" t="s">
        <v>12</v>
      </c>
      <c r="G422" s="0" t="s">
        <v>204</v>
      </c>
      <c r="I422" s="5">
        <v>52464.844500</v>
      </c>
      <c r="J422" s="5">
        <v>24.000000</v>
      </c>
    </row>
    <row r="423" spans="1:11">
      <c r="A423" s="22" t="str">
        <f>HYPERLINK("https://app.vivvix.com/360/KMI/IntelliDrive/ApplUI/Pages/CreativePages/CustomReportCreativeDetail.aspx?App=23&amp;ReportView=4&amp;Qid=1696098&amp;Row=415&amp;Col=1","No Title Assigned - #15266848143")</f>
        <v/>
      </c>
      <c r="B423" s="0" t="s">
        <v>407</v>
      </c>
      <c r="E423" s="0" t="s">
        <v>12</v>
      </c>
      <c r="F423" s="0" t="s">
        <v>12</v>
      </c>
      <c r="G423" s="0" t="s">
        <v>204</v>
      </c>
      <c r="I423" s="5">
        <v>14446.772300</v>
      </c>
      <c r="J423" s="5">
        <v>16.000000</v>
      </c>
    </row>
    <row r="424" spans="1:11">
      <c r="A424" s="22" t="str">
        <f>HYPERLINK("https://app.vivvix.com/360/KMI/IntelliDrive/ApplUI/Pages/CreativePages/CustomReportCreativeDetail.aspx?App=23&amp;ReportView=4&amp;Qid=1696098&amp;Row=416&amp;Col=1","No Title Assigned - #15266887303")</f>
        <v/>
      </c>
      <c r="B424" s="0" t="s">
        <v>408</v>
      </c>
      <c r="E424" s="0" t="s">
        <v>12</v>
      </c>
      <c r="F424" s="0" t="s">
        <v>12</v>
      </c>
      <c r="G424" s="0" t="s">
        <v>204</v>
      </c>
      <c r="I424" s="5">
        <v>469.870600</v>
      </c>
      <c r="J424" s="5">
        <v>2.000000</v>
      </c>
    </row>
    <row r="425" spans="1:11">
      <c r="A425" s="22" t="str">
        <f>HYPERLINK("https://app.vivvix.com/360/KMI/IntelliDrive/ApplUI/Pages/CreativePages/CustomReportCreativeDetail.aspx?App=23&amp;ReportView=4&amp;Qid=1696098&amp;Row=417&amp;Col=1","No Title Assigned - #15266893606")</f>
        <v/>
      </c>
      <c r="B425" s="0" t="s">
        <v>409</v>
      </c>
      <c r="E425" s="0" t="s">
        <v>12</v>
      </c>
      <c r="F425" s="0" t="s">
        <v>12</v>
      </c>
      <c r="G425" s="0" t="s">
        <v>204</v>
      </c>
      <c r="I425" s="5">
        <v>3607.730800</v>
      </c>
      <c r="J425" s="5">
        <v>3.000000</v>
      </c>
    </row>
    <row r="426" spans="1:11">
      <c r="A426" s="22" t="str">
        <f>HYPERLINK("https://app.vivvix.com/360/KMI/IntelliDrive/ApplUI/Pages/CreativePages/CustomReportCreativeDetail.aspx?App=23&amp;ReportView=4&amp;Qid=1696098&amp;Row=418&amp;Col=1","No Title Assigned - #15266907540")</f>
        <v/>
      </c>
      <c r="B426" s="0" t="s">
        <v>410</v>
      </c>
      <c r="E426" s="0" t="s">
        <v>12</v>
      </c>
      <c r="F426" s="0" t="s">
        <v>12</v>
      </c>
      <c r="G426" s="0" t="s">
        <v>204</v>
      </c>
      <c r="I426" s="5">
        <v>2535.117200</v>
      </c>
      <c r="J426" s="5">
        <v>1.000000</v>
      </c>
    </row>
    <row r="427" spans="1:11">
      <c r="A427" s="22" t="str">
        <f>HYPERLINK("https://app.vivvix.com/360/KMI/IntelliDrive/ApplUI/Pages/CreativePages/CustomReportCreativeDetail.aspx?App=23&amp;ReportView=4&amp;Qid=1696098&amp;Row=419&amp;Col=1","No Title Assigned - #15266926750")</f>
        <v/>
      </c>
      <c r="B427" s="0" t="s">
        <v>411</v>
      </c>
      <c r="E427" s="0" t="s">
        <v>12</v>
      </c>
      <c r="F427" s="0" t="s">
        <v>12</v>
      </c>
      <c r="G427" s="0" t="s">
        <v>17</v>
      </c>
      <c r="I427" s="5">
        <v>64.342000</v>
      </c>
      <c r="J427" s="5">
        <v>12.000000</v>
      </c>
    </row>
    <row r="428" spans="1:11">
      <c r="A428" s="22" t="str">
        <f>HYPERLINK("https://app.vivvix.com/360/KMI/IntelliDrive/ApplUI/Pages/CreativePages/CustomReportCreativeDetail.aspx?App=23&amp;ReportView=4&amp;Qid=1696098&amp;Row=420&amp;Col=1","No Title Assigned - #15266951160")</f>
        <v/>
      </c>
      <c r="B428" s="0" t="s">
        <v>412</v>
      </c>
      <c r="E428" s="0" t="s">
        <v>12</v>
      </c>
      <c r="F428" s="0" t="s">
        <v>12</v>
      </c>
      <c r="G428" s="0" t="s">
        <v>204</v>
      </c>
      <c r="I428" s="5">
        <v>4570.112200</v>
      </c>
      <c r="J428" s="5">
        <v>5.000000</v>
      </c>
    </row>
    <row r="429" spans="1:11">
      <c r="A429" s="22" t="str">
        <f>HYPERLINK("https://app.vivvix.com/360/KMI/IntelliDrive/ApplUI/Pages/CreativePages/CustomReportCreativeDetail.aspx?App=23&amp;ReportView=4&amp;Qid=1696098&amp;Row=421&amp;Col=1","No Title Assigned - #15267004327")</f>
        <v/>
      </c>
      <c r="B429" s="0" t="s">
        <v>413</v>
      </c>
      <c r="E429" s="0" t="s">
        <v>12</v>
      </c>
      <c r="F429" s="0" t="s">
        <v>12</v>
      </c>
      <c r="G429" s="0" t="s">
        <v>204</v>
      </c>
      <c r="I429" s="5">
        <v>53328.906400</v>
      </c>
      <c r="J429" s="5">
        <v>8.000000</v>
      </c>
    </row>
    <row r="430" spans="1:11">
      <c r="A430" s="22" t="str">
        <f>HYPERLINK("https://app.vivvix.com/360/KMI/IntelliDrive/ApplUI/Pages/CreativePages/CustomReportCreativeDetail.aspx?App=23&amp;ReportView=4&amp;Qid=1696098&amp;Row=422&amp;Col=1","No Title Assigned - #15267007259")</f>
        <v/>
      </c>
      <c r="B430" s="0" t="s">
        <v>414</v>
      </c>
      <c r="E430" s="0" t="s">
        <v>12</v>
      </c>
      <c r="F430" s="0" t="s">
        <v>12</v>
      </c>
      <c r="G430" s="0" t="s">
        <v>20</v>
      </c>
      <c r="I430" s="5">
        <v>149.148000</v>
      </c>
      <c r="J430" s="5">
        <v>1.000000</v>
      </c>
    </row>
    <row r="431" spans="1:11">
      <c r="A431" s="22" t="str">
        <f>HYPERLINK("https://app.vivvix.com/360/KMI/IntelliDrive/ApplUI/Pages/CreativePages/CustomReportCreativeDetail.aspx?App=23&amp;ReportView=4&amp;Qid=1696098&amp;Row=423&amp;Col=1","No Title Assigned - #15267076771")</f>
        <v/>
      </c>
      <c r="B431" s="0" t="s">
        <v>415</v>
      </c>
      <c r="E431" s="0" t="s">
        <v>12</v>
      </c>
      <c r="F431" s="0" t="s">
        <v>12</v>
      </c>
      <c r="G431" s="0" t="s">
        <v>204</v>
      </c>
      <c r="I431" s="5">
        <v>58.473000</v>
      </c>
      <c r="J431" s="5">
        <v>3.000000</v>
      </c>
    </row>
    <row r="432" spans="1:11">
      <c r="A432" s="22" t="str">
        <f>HYPERLINK("https://app.vivvix.com/360/KMI/IntelliDrive/ApplUI/Pages/CreativePages/CustomReportCreativeDetail.aspx?App=23&amp;ReportView=4&amp;Qid=1696098&amp;Row=424&amp;Col=1","No Title Assigned - #15267150937")</f>
        <v/>
      </c>
      <c r="B432" s="0" t="s">
        <v>416</v>
      </c>
      <c r="E432" s="0" t="s">
        <v>12</v>
      </c>
      <c r="F432" s="0" t="s">
        <v>12</v>
      </c>
      <c r="G432" s="0" t="s">
        <v>204</v>
      </c>
      <c r="I432" s="5">
        <v>38.982000</v>
      </c>
      <c r="J432" s="5">
        <v>2.000000</v>
      </c>
    </row>
    <row r="433" spans="1:11">
      <c r="A433" s="22" t="str">
        <f>HYPERLINK("https://app.vivvix.com/360/KMI/IntelliDrive/ApplUI/Pages/CreativePages/CustomReportCreativeDetail.aspx?App=23&amp;ReportView=4&amp;Qid=1696098&amp;Row=425&amp;Col=1","No Title Assigned - #15267151402")</f>
        <v/>
      </c>
      <c r="B433" s="0" t="s">
        <v>417</v>
      </c>
      <c r="E433" s="0" t="s">
        <v>12</v>
      </c>
      <c r="F433" s="0" t="s">
        <v>12</v>
      </c>
      <c r="G433" s="0" t="s">
        <v>204</v>
      </c>
      <c r="I433" s="5">
        <v>155.928000</v>
      </c>
      <c r="J433" s="5">
        <v>8.000000</v>
      </c>
    </row>
    <row r="434" spans="1:11">
      <c r="A434" s="22" t="str">
        <f>HYPERLINK("https://app.vivvix.com/360/KMI/IntelliDrive/ApplUI/Pages/CreativePages/CustomReportCreativeDetail.aspx?App=23&amp;ReportView=4&amp;Qid=1696098&amp;Row=426&amp;Col=1","No Title Assigned - #15267161840")</f>
        <v/>
      </c>
      <c r="B434" s="0" t="s">
        <v>418</v>
      </c>
      <c r="E434" s="0" t="s">
        <v>12</v>
      </c>
      <c r="F434" s="0" t="s">
        <v>12</v>
      </c>
      <c r="G434" s="0" t="s">
        <v>204</v>
      </c>
      <c r="I434" s="5">
        <v>263.769000</v>
      </c>
      <c r="J434" s="5">
        <v>1.000000</v>
      </c>
    </row>
    <row r="435" spans="1:11">
      <c r="A435" s="22" t="str">
        <f>HYPERLINK("https://app.vivvix.com/360/KMI/IntelliDrive/ApplUI/Pages/CreativePages/CustomReportCreativeDetail.aspx?App=23&amp;ReportView=4&amp;Qid=1696098&amp;Row=427&amp;Col=1","No Title Assigned - #15267161946")</f>
        <v/>
      </c>
      <c r="B435" s="0" t="s">
        <v>419</v>
      </c>
      <c r="E435" s="0" t="s">
        <v>12</v>
      </c>
      <c r="F435" s="0" t="s">
        <v>12</v>
      </c>
      <c r="G435" s="0" t="s">
        <v>204</v>
      </c>
      <c r="I435" s="5">
        <v>263.769000</v>
      </c>
      <c r="J435" s="5">
        <v>1.000000</v>
      </c>
    </row>
    <row r="436" spans="1:11">
      <c r="A436" s="22" t="str">
        <f>HYPERLINK("https://app.vivvix.com/360/KMI/IntelliDrive/ApplUI/Pages/CreativePages/CustomReportCreativeDetail.aspx?App=23&amp;ReportView=4&amp;Qid=1696098&amp;Row=428&amp;Col=1","No Title Assigned - #15267161963")</f>
        <v/>
      </c>
      <c r="B436" s="0" t="s">
        <v>420</v>
      </c>
      <c r="E436" s="0" t="s">
        <v>12</v>
      </c>
      <c r="F436" s="0" t="s">
        <v>12</v>
      </c>
      <c r="G436" s="0" t="s">
        <v>204</v>
      </c>
      <c r="I436" s="5">
        <v>263.769000</v>
      </c>
      <c r="J436" s="5">
        <v>1.000000</v>
      </c>
    </row>
    <row r="437" spans="1:11">
      <c r="A437" s="22" t="str">
        <f>HYPERLINK("https://app.vivvix.com/360/KMI/IntelliDrive/ApplUI/Pages/CreativePages/CustomReportCreativeDetail.aspx?App=23&amp;ReportView=4&amp;Qid=1696098&amp;Row=429&amp;Col=1","No Title Assigned - #15267226492")</f>
        <v/>
      </c>
      <c r="B437" s="0" t="s">
        <v>421</v>
      </c>
      <c r="E437" s="0" t="s">
        <v>12</v>
      </c>
      <c r="F437" s="0" t="s">
        <v>12</v>
      </c>
      <c r="G437" s="0" t="s">
        <v>204</v>
      </c>
      <c r="I437" s="5">
        <v>77.964000</v>
      </c>
      <c r="J437" s="5">
        <v>4.000000</v>
      </c>
    </row>
    <row r="438" spans="1:11">
      <c r="A438" s="22" t="str">
        <f>HYPERLINK("https://app.vivvix.com/360/KMI/IntelliDrive/ApplUI/Pages/CreativePages/CustomReportCreativeDetail.aspx?App=23&amp;ReportView=4&amp;Qid=1696098&amp;Row=430&amp;Col=1","No Title Assigned - #15267226496")</f>
        <v/>
      </c>
      <c r="B438" s="0" t="s">
        <v>422</v>
      </c>
      <c r="E438" s="0" t="s">
        <v>12</v>
      </c>
      <c r="F438" s="0" t="s">
        <v>12</v>
      </c>
      <c r="G438" s="0" t="s">
        <v>204</v>
      </c>
      <c r="I438" s="5">
        <v>19.491000</v>
      </c>
      <c r="J438" s="5">
        <v>1.000000</v>
      </c>
    </row>
    <row r="439" spans="1:11">
      <c r="A439" s="22" t="str">
        <f>HYPERLINK("https://app.vivvix.com/360/KMI/IntelliDrive/ApplUI/Pages/CreativePages/CustomReportCreativeDetail.aspx?App=23&amp;ReportView=4&amp;Qid=1696098&amp;Row=431&amp;Col=1","No Title Assigned - #15267226497")</f>
        <v/>
      </c>
      <c r="B439" s="0" t="s">
        <v>423</v>
      </c>
      <c r="E439" s="0" t="s">
        <v>12</v>
      </c>
      <c r="F439" s="0" t="s">
        <v>12</v>
      </c>
      <c r="G439" s="0" t="s">
        <v>204</v>
      </c>
      <c r="I439" s="5">
        <v>19.491000</v>
      </c>
      <c r="J439" s="5">
        <v>1.000000</v>
      </c>
    </row>
    <row r="440" spans="1:11">
      <c r="A440" s="22" t="str">
        <f>HYPERLINK("https://app.vivvix.com/360/KMI/IntelliDrive/ApplUI/Pages/CreativePages/CustomReportCreativeDetail.aspx?App=23&amp;ReportView=4&amp;Qid=1696098&amp;Row=432&amp;Col=1","No Title Assigned - #15267226498")</f>
        <v/>
      </c>
      <c r="B440" s="0" t="s">
        <v>424</v>
      </c>
      <c r="E440" s="0" t="s">
        <v>12</v>
      </c>
      <c r="F440" s="0" t="s">
        <v>12</v>
      </c>
      <c r="G440" s="0" t="s">
        <v>204</v>
      </c>
      <c r="I440" s="5">
        <v>116.946000</v>
      </c>
      <c r="J440" s="5">
        <v>6.000000</v>
      </c>
    </row>
    <row r="441" spans="1:11">
      <c r="A441" s="22" t="str">
        <f>HYPERLINK("https://app.vivvix.com/360/KMI/IntelliDrive/ApplUI/Pages/CreativePages/CustomReportCreativeDetail.aspx?App=23&amp;ReportView=4&amp;Qid=1696098&amp;Row=433&amp;Col=1","No Title Assigned - #15267228961")</f>
        <v/>
      </c>
      <c r="B441" s="0" t="s">
        <v>425</v>
      </c>
      <c r="E441" s="0" t="s">
        <v>12</v>
      </c>
      <c r="F441" s="0" t="s">
        <v>12</v>
      </c>
      <c r="G441" s="0" t="s">
        <v>204</v>
      </c>
      <c r="I441" s="5">
        <v>58.473000</v>
      </c>
      <c r="J441" s="5">
        <v>3.000000</v>
      </c>
    </row>
    <row r="442" spans="1:11">
      <c r="A442" s="22" t="str">
        <f>HYPERLINK("https://app.vivvix.com/360/KMI/IntelliDrive/ApplUI/Pages/CreativePages/CustomReportCreativeDetail.aspx?App=23&amp;ReportView=4&amp;Qid=1696098&amp;Row=434&amp;Col=1","No Title Assigned - #15267257835")</f>
        <v/>
      </c>
      <c r="B442" s="0" t="s">
        <v>426</v>
      </c>
      <c r="E442" s="0" t="s">
        <v>12</v>
      </c>
      <c r="F442" s="0" t="s">
        <v>12</v>
      </c>
      <c r="G442" s="0" t="s">
        <v>204</v>
      </c>
      <c r="I442" s="5">
        <v>239.606200</v>
      </c>
      <c r="J442" s="5">
        <v>1.000000</v>
      </c>
    </row>
    <row r="443" spans="1:11">
      <c r="A443" s="22" t="str">
        <f>HYPERLINK("https://app.vivvix.com/360/KMI/IntelliDrive/ApplUI/Pages/CreativePages/CustomReportCreativeDetail.aspx?App=23&amp;ReportView=4&amp;Qid=1696098&amp;Row=435&amp;Col=1","No Title Assigned - #15267281232")</f>
        <v/>
      </c>
      <c r="B443" s="0" t="s">
        <v>427</v>
      </c>
      <c r="E443" s="0" t="s">
        <v>12</v>
      </c>
      <c r="F443" s="0" t="s">
        <v>12</v>
      </c>
      <c r="G443" s="0" t="s">
        <v>204</v>
      </c>
      <c r="I443" s="5">
        <v>619.808000</v>
      </c>
      <c r="J443" s="5">
        <v>1.000000</v>
      </c>
    </row>
    <row r="444" spans="1:11">
      <c r="A444" s="22" t="str">
        <f>HYPERLINK("https://app.vivvix.com/360/KMI/IntelliDrive/ApplUI/Pages/CreativePages/CustomReportCreativeDetail.aspx?App=23&amp;ReportView=4&amp;Qid=1696098&amp;Row=436&amp;Col=1","No Title Assigned - #15267294526")</f>
        <v/>
      </c>
      <c r="B444" s="0" t="s">
        <v>428</v>
      </c>
      <c r="E444" s="0" t="s">
        <v>12</v>
      </c>
      <c r="F444" s="0" t="s">
        <v>12</v>
      </c>
      <c r="G444" s="0" t="s">
        <v>204</v>
      </c>
      <c r="I444" s="5">
        <v>116.946000</v>
      </c>
      <c r="J444" s="5">
        <v>6.000000</v>
      </c>
    </row>
    <row r="445" spans="1:11">
      <c r="A445" s="22" t="str">
        <f>HYPERLINK("https://app.vivvix.com/360/KMI/IntelliDrive/ApplUI/Pages/CreativePages/CustomReportCreativeDetail.aspx?App=23&amp;ReportView=4&amp;Qid=1696098&amp;Row=437&amp;Col=1","No Title Assigned - #15267294527")</f>
        <v/>
      </c>
      <c r="B445" s="0" t="s">
        <v>429</v>
      </c>
      <c r="E445" s="0" t="s">
        <v>12</v>
      </c>
      <c r="F445" s="0" t="s">
        <v>12</v>
      </c>
      <c r="G445" s="0" t="s">
        <v>204</v>
      </c>
      <c r="I445" s="5">
        <v>97.455000</v>
      </c>
      <c r="J445" s="5">
        <v>5.000000</v>
      </c>
    </row>
    <row r="446" spans="1:11">
      <c r="A446" s="22" t="str">
        <f>HYPERLINK("https://app.vivvix.com/360/KMI/IntelliDrive/ApplUI/Pages/CreativePages/CustomReportCreativeDetail.aspx?App=23&amp;ReportView=4&amp;Qid=1696098&amp;Row=438&amp;Col=1","No Title Assigned - #15267338871")</f>
        <v/>
      </c>
      <c r="B446" s="0" t="s">
        <v>430</v>
      </c>
      <c r="C446" s="0" t="s">
        <v>431</v>
      </c>
      <c r="D446" s="0" t="s">
        <v>431</v>
      </c>
      <c r="E446" s="0" t="s">
        <v>12</v>
      </c>
      <c r="F446" s="0" t="s">
        <v>12</v>
      </c>
      <c r="G446" s="0" t="s">
        <v>204</v>
      </c>
      <c r="I446" s="5">
        <v>681.365100</v>
      </c>
      <c r="J446" s="5">
        <v>1.000000</v>
      </c>
    </row>
    <row r="447" spans="1:11">
      <c r="A447" s="22" t="str">
        <f>HYPERLINK("https://app.vivvix.com/360/KMI/IntelliDrive/ApplUI/Pages/CreativePages/CustomReportCreativeDetail.aspx?App=23&amp;ReportView=4&amp;Qid=1696098&amp;Row=439&amp;Col=1","No Title Assigned - #15267341825")</f>
        <v/>
      </c>
      <c r="B447" s="0" t="s">
        <v>432</v>
      </c>
      <c r="E447" s="0" t="s">
        <v>12</v>
      </c>
      <c r="F447" s="0" t="s">
        <v>12</v>
      </c>
      <c r="G447" s="0" t="s">
        <v>204</v>
      </c>
      <c r="I447" s="5">
        <v>239.606200</v>
      </c>
      <c r="J447" s="5">
        <v>1.000000</v>
      </c>
    </row>
    <row r="448" spans="1:11">
      <c r="A448" s="22" t="str">
        <f>HYPERLINK("https://app.vivvix.com/360/KMI/IntelliDrive/ApplUI/Pages/CreativePages/CustomReportCreativeDetail.aspx?App=23&amp;ReportView=4&amp;Qid=1696098&amp;Row=440&amp;Col=1","No Title Assigned - #15267378193")</f>
        <v/>
      </c>
      <c r="B448" s="0" t="s">
        <v>433</v>
      </c>
      <c r="E448" s="0" t="s">
        <v>12</v>
      </c>
      <c r="F448" s="0" t="s">
        <v>12</v>
      </c>
      <c r="G448" s="0" t="s">
        <v>204</v>
      </c>
      <c r="I448" s="5">
        <v>479.212400</v>
      </c>
      <c r="J448" s="5">
        <v>2.000000</v>
      </c>
    </row>
    <row r="449" spans="1:11">
      <c r="A449" s="22" t="str">
        <f>HYPERLINK("https://app.vivvix.com/360/KMI/IntelliDrive/ApplUI/Pages/CreativePages/CustomReportCreativeDetail.aspx?App=23&amp;ReportView=4&amp;Qid=1696098&amp;Row=441&amp;Col=1","No Title Assigned - #15267394925")</f>
        <v/>
      </c>
      <c r="B449" s="0" t="s">
        <v>434</v>
      </c>
      <c r="E449" s="0" t="s">
        <v>12</v>
      </c>
      <c r="F449" s="0" t="s">
        <v>12</v>
      </c>
      <c r="G449" s="0" t="s">
        <v>204</v>
      </c>
      <c r="I449" s="5">
        <v>6629.680200</v>
      </c>
      <c r="J449" s="5">
        <v>4.000000</v>
      </c>
    </row>
    <row r="450" spans="1:11">
      <c r="A450" s="22" t="str">
        <f>HYPERLINK("https://app.vivvix.com/360/KMI/IntelliDrive/ApplUI/Pages/CreativePages/CustomReportCreativeDetail.aspx?App=23&amp;ReportView=4&amp;Qid=1696098&amp;Row=442&amp;Col=1","No Title Assigned - #15267394926")</f>
        <v/>
      </c>
      <c r="B450" s="0" t="s">
        <v>435</v>
      </c>
      <c r="E450" s="0" t="s">
        <v>12</v>
      </c>
      <c r="F450" s="0" t="s">
        <v>12</v>
      </c>
      <c r="G450" s="0" t="s">
        <v>204</v>
      </c>
      <c r="I450" s="5">
        <v>1445.642700</v>
      </c>
      <c r="J450" s="5">
        <v>1.000000</v>
      </c>
    </row>
    <row r="451" spans="1:11">
      <c r="A451" s="22" t="str">
        <f>HYPERLINK("https://app.vivvix.com/360/KMI/IntelliDrive/ApplUI/Pages/CreativePages/CustomReportCreativeDetail.aspx?App=23&amp;ReportView=4&amp;Qid=1696098&amp;Row=443&amp;Col=1","No Title Assigned - #15267450924")</f>
        <v/>
      </c>
      <c r="B451" s="0" t="s">
        <v>436</v>
      </c>
      <c r="E451" s="0" t="s">
        <v>12</v>
      </c>
      <c r="F451" s="0" t="s">
        <v>12</v>
      </c>
      <c r="G451" s="0" t="s">
        <v>17</v>
      </c>
      <c r="I451" s="5">
        <v>64.326000</v>
      </c>
      <c r="J451" s="5">
        <v>12.000000</v>
      </c>
    </row>
    <row r="452" spans="1:11">
      <c r="A452" s="22" t="str">
        <f>HYPERLINK("https://app.vivvix.com/360/KMI/IntelliDrive/ApplUI/Pages/CreativePages/CustomReportCreativeDetail.aspx?App=23&amp;ReportView=4&amp;Qid=1696098&amp;Row=444&amp;Col=1","No Title Assigned - #15267459887")</f>
        <v/>
      </c>
      <c r="B452" s="0" t="s">
        <v>437</v>
      </c>
      <c r="E452" s="0" t="s">
        <v>12</v>
      </c>
      <c r="F452" s="0" t="s">
        <v>12</v>
      </c>
      <c r="G452" s="0" t="s">
        <v>204</v>
      </c>
      <c r="I452" s="5">
        <v>19.491000</v>
      </c>
      <c r="J452" s="5">
        <v>1.000000</v>
      </c>
    </row>
    <row r="453" spans="1:11">
      <c r="A453" s="22" t="str">
        <f>HYPERLINK("https://app.vivvix.com/360/KMI/IntelliDrive/ApplUI/Pages/CreativePages/CustomReportCreativeDetail.aspx?App=23&amp;ReportView=4&amp;Qid=1696098&amp;Row=445&amp;Col=1","No Title Assigned - #15267459888")</f>
        <v/>
      </c>
      <c r="B453" s="0" t="s">
        <v>438</v>
      </c>
      <c r="E453" s="0" t="s">
        <v>12</v>
      </c>
      <c r="F453" s="0" t="s">
        <v>12</v>
      </c>
      <c r="G453" s="0" t="s">
        <v>204</v>
      </c>
      <c r="I453" s="5">
        <v>19.491000</v>
      </c>
      <c r="J453" s="5">
        <v>1.000000</v>
      </c>
    </row>
    <row r="454" spans="1:11">
      <c r="A454" s="22" t="str">
        <f>HYPERLINK("https://app.vivvix.com/360/KMI/IntelliDrive/ApplUI/Pages/CreativePages/CustomReportCreativeDetail.aspx?App=23&amp;ReportView=4&amp;Qid=1696098&amp;Row=446&amp;Col=1","No Title Assigned - #15267459889")</f>
        <v/>
      </c>
      <c r="B454" s="0" t="s">
        <v>439</v>
      </c>
      <c r="E454" s="0" t="s">
        <v>12</v>
      </c>
      <c r="F454" s="0" t="s">
        <v>12</v>
      </c>
      <c r="G454" s="0" t="s">
        <v>204</v>
      </c>
      <c r="I454" s="5">
        <v>19.491000</v>
      </c>
      <c r="J454" s="5">
        <v>1.000000</v>
      </c>
    </row>
    <row r="455" spans="1:11">
      <c r="A455" s="22" t="str">
        <f>HYPERLINK("https://app.vivvix.com/360/KMI/IntelliDrive/ApplUI/Pages/CreativePages/CustomReportCreativeDetail.aspx?App=23&amp;ReportView=4&amp;Qid=1696098&amp;Row=447&amp;Col=1","No Title Assigned - #15267459890")</f>
        <v/>
      </c>
      <c r="B455" s="0" t="s">
        <v>440</v>
      </c>
      <c r="E455" s="0" t="s">
        <v>12</v>
      </c>
      <c r="F455" s="0" t="s">
        <v>12</v>
      </c>
      <c r="G455" s="0" t="s">
        <v>204</v>
      </c>
      <c r="I455" s="5">
        <v>19.491000</v>
      </c>
      <c r="J455" s="5">
        <v>1.000000</v>
      </c>
    </row>
    <row r="456" spans="1:11">
      <c r="A456" s="22" t="str">
        <f>HYPERLINK("https://app.vivvix.com/360/KMI/IntelliDrive/ApplUI/Pages/CreativePages/CustomReportCreativeDetail.aspx?App=23&amp;ReportView=4&amp;Qid=1696098&amp;Row=448&amp;Col=1","No Title Assigned - #15267467093")</f>
        <v/>
      </c>
      <c r="B456" s="0" t="s">
        <v>441</v>
      </c>
      <c r="E456" s="0" t="s">
        <v>12</v>
      </c>
      <c r="F456" s="0" t="s">
        <v>12</v>
      </c>
      <c r="G456" s="0" t="s">
        <v>17</v>
      </c>
      <c r="I456" s="5">
        <v>26.575000</v>
      </c>
      <c r="J456" s="5">
        <v>5.000000</v>
      </c>
    </row>
    <row r="457" spans="1:11">
      <c r="A457" s="22" t="str">
        <f>HYPERLINK("https://app.vivvix.com/360/KMI/IntelliDrive/ApplUI/Pages/CreativePages/CustomReportCreativeDetail.aspx?App=23&amp;ReportView=4&amp;Qid=1696098&amp;Row=449&amp;Col=1","No Title Assigned - #15267474728")</f>
        <v/>
      </c>
      <c r="B457" s="0" t="s">
        <v>442</v>
      </c>
      <c r="E457" s="0" t="s">
        <v>12</v>
      </c>
      <c r="F457" s="0" t="s">
        <v>12</v>
      </c>
      <c r="G457" s="0" t="s">
        <v>204</v>
      </c>
      <c r="I457" s="5">
        <v>314.715200</v>
      </c>
      <c r="J457" s="5">
        <v>1.000000</v>
      </c>
    </row>
    <row r="458" spans="1:11">
      <c r="A458" s="22" t="str">
        <f>HYPERLINK("https://app.vivvix.com/360/KMI/IntelliDrive/ApplUI/Pages/CreativePages/CustomReportCreativeDetail.aspx?App=23&amp;ReportView=4&amp;Qid=1696098&amp;Row=450&amp;Col=1","No Title Assigned - #15267516560")</f>
        <v/>
      </c>
      <c r="B458" s="0" t="s">
        <v>443</v>
      </c>
      <c r="E458" s="0" t="s">
        <v>12</v>
      </c>
      <c r="F458" s="0" t="s">
        <v>12</v>
      </c>
      <c r="G458" s="0" t="s">
        <v>204</v>
      </c>
      <c r="I458" s="5">
        <v>58.473000</v>
      </c>
      <c r="J458" s="5">
        <v>3.000000</v>
      </c>
    </row>
    <row r="459" spans="1:11">
      <c r="A459" s="22" t="str">
        <f>HYPERLINK("https://app.vivvix.com/360/KMI/IntelliDrive/ApplUI/Pages/CreativePages/CustomReportCreativeDetail.aspx?App=23&amp;ReportView=4&amp;Qid=1696098&amp;Row=451&amp;Col=1","No Title Assigned - #15267516561")</f>
        <v/>
      </c>
      <c r="B459" s="0" t="s">
        <v>444</v>
      </c>
      <c r="E459" s="0" t="s">
        <v>12</v>
      </c>
      <c r="F459" s="0" t="s">
        <v>12</v>
      </c>
      <c r="G459" s="0" t="s">
        <v>204</v>
      </c>
      <c r="I459" s="5">
        <v>38.982000</v>
      </c>
      <c r="J459" s="5">
        <v>2.000000</v>
      </c>
    </row>
    <row r="460" spans="1:11">
      <c r="A460" s="22" t="str">
        <f>HYPERLINK("https://app.vivvix.com/360/KMI/IntelliDrive/ApplUI/Pages/CreativePages/CustomReportCreativeDetail.aspx?App=23&amp;ReportView=4&amp;Qid=1696098&amp;Row=452&amp;Col=1","No Title Assigned - #15267555931")</f>
        <v/>
      </c>
      <c r="B460" s="0" t="s">
        <v>445</v>
      </c>
      <c r="E460" s="0" t="s">
        <v>12</v>
      </c>
      <c r="F460" s="0" t="s">
        <v>12</v>
      </c>
      <c r="G460" s="0" t="s">
        <v>17</v>
      </c>
      <c r="I460" s="5">
        <v>15.945000</v>
      </c>
      <c r="J460" s="5">
        <v>3.000000</v>
      </c>
    </row>
    <row r="461" spans="1:11">
      <c r="A461" s="22" t="str">
        <f>HYPERLINK("https://app.vivvix.com/360/KMI/IntelliDrive/ApplUI/Pages/CreativePages/CustomReportCreativeDetail.aspx?App=23&amp;ReportView=4&amp;Qid=1696098&amp;Row=453&amp;Col=1","No Title Assigned - #15267581294")</f>
        <v/>
      </c>
      <c r="B461" s="0" t="s">
        <v>446</v>
      </c>
      <c r="E461" s="0" t="s">
        <v>12</v>
      </c>
      <c r="F461" s="0" t="s">
        <v>12</v>
      </c>
      <c r="G461" s="0" t="s">
        <v>204</v>
      </c>
      <c r="I461" s="5">
        <v>1202.045700</v>
      </c>
      <c r="J461" s="5">
        <v>1.000000</v>
      </c>
    </row>
    <row r="462" spans="1:11">
      <c r="A462" s="22" t="str">
        <f>HYPERLINK("https://app.vivvix.com/360/KMI/IntelliDrive/ApplUI/Pages/CreativePages/CustomReportCreativeDetail.aspx?App=23&amp;ReportView=4&amp;Qid=1696098&amp;Row=454&amp;Col=1","No Title Assigned - #15267594887")</f>
        <v/>
      </c>
      <c r="B462" s="0" t="s">
        <v>447</v>
      </c>
      <c r="E462" s="0" t="s">
        <v>12</v>
      </c>
      <c r="F462" s="0" t="s">
        <v>12</v>
      </c>
      <c r="G462" s="0" t="s">
        <v>204</v>
      </c>
      <c r="I462" s="5">
        <v>913.120300</v>
      </c>
      <c r="J462" s="5">
        <v>1.000000</v>
      </c>
    </row>
    <row r="463" spans="1:11">
      <c r="A463" s="22" t="str">
        <f>HYPERLINK("https://app.vivvix.com/360/KMI/IntelliDrive/ApplUI/Pages/CreativePages/CustomReportCreativeDetail.aspx?App=23&amp;ReportView=4&amp;Qid=1696098&amp;Row=455&amp;Col=1","No Title Assigned - #15267612414")</f>
        <v/>
      </c>
      <c r="B463" s="0" t="s">
        <v>448</v>
      </c>
      <c r="E463" s="0" t="s">
        <v>12</v>
      </c>
      <c r="F463" s="0" t="s">
        <v>12</v>
      </c>
      <c r="G463" s="0" t="s">
        <v>204</v>
      </c>
      <c r="I463" s="5">
        <v>234.935300</v>
      </c>
      <c r="J463" s="5">
        <v>1.000000</v>
      </c>
    </row>
    <row r="464" spans="1:11">
      <c r="A464" s="22" t="str">
        <f>HYPERLINK("https://app.vivvix.com/360/KMI/IntelliDrive/ApplUI/Pages/CreativePages/CustomReportCreativeDetail.aspx?App=23&amp;ReportView=4&amp;Qid=1696098&amp;Row=456&amp;Col=1","No Title Assigned - #15267615418")</f>
        <v/>
      </c>
      <c r="B464" s="0" t="s">
        <v>449</v>
      </c>
      <c r="E464" s="0" t="s">
        <v>12</v>
      </c>
      <c r="F464" s="0" t="s">
        <v>12</v>
      </c>
      <c r="G464" s="0" t="s">
        <v>17</v>
      </c>
      <c r="I464" s="5">
        <v>10.911000</v>
      </c>
      <c r="J464" s="5">
        <v>2.000000</v>
      </c>
    </row>
    <row r="465" spans="1:11">
      <c r="A465" s="22" t="str">
        <f>HYPERLINK("https://app.vivvix.com/360/KMI/IntelliDrive/ApplUI/Pages/CreativePages/CustomReportCreativeDetail.aspx?App=23&amp;ReportView=4&amp;Qid=1696098&amp;Row=457&amp;Col=1","No Title Assigned - #15267662702")</f>
        <v/>
      </c>
      <c r="B465" s="0" t="s">
        <v>450</v>
      </c>
      <c r="E465" s="0" t="s">
        <v>12</v>
      </c>
      <c r="F465" s="0" t="s">
        <v>12</v>
      </c>
      <c r="G465" s="0" t="s">
        <v>204</v>
      </c>
      <c r="I465" s="5">
        <v>5607.592200</v>
      </c>
      <c r="J465" s="5">
        <v>3.000000</v>
      </c>
    </row>
    <row r="466" spans="1:11">
      <c r="A466" s="22" t="str">
        <f>HYPERLINK("https://app.vivvix.com/360/KMI/IntelliDrive/ApplUI/Pages/CreativePages/CustomReportCreativeDetail.aspx?App=23&amp;ReportView=4&amp;Qid=1696098&amp;Row=458&amp;Col=1","No Title Assigned - #15267671437")</f>
        <v/>
      </c>
      <c r="B466" s="0" t="s">
        <v>451</v>
      </c>
      <c r="E466" s="0" t="s">
        <v>12</v>
      </c>
      <c r="F466" s="0" t="s">
        <v>12</v>
      </c>
      <c r="G466" s="0" t="s">
        <v>17</v>
      </c>
      <c r="I466" s="5">
        <v>10.622000</v>
      </c>
      <c r="J466" s="5">
        <v>2.000000</v>
      </c>
    </row>
    <row r="467" spans="1:11">
      <c r="A467" s="22" t="str">
        <f>HYPERLINK("https://app.vivvix.com/360/KMI/IntelliDrive/ApplUI/Pages/CreativePages/CustomReportCreativeDetail.aspx?App=23&amp;ReportView=4&amp;Qid=1696098&amp;Row=459&amp;Col=1","No Title Assigned - #15267722963")</f>
        <v/>
      </c>
      <c r="B467" s="0" t="s">
        <v>452</v>
      </c>
      <c r="E467" s="0" t="s">
        <v>12</v>
      </c>
      <c r="F467" s="0" t="s">
        <v>12</v>
      </c>
      <c r="G467" s="0" t="s">
        <v>204</v>
      </c>
      <c r="I467" s="5">
        <v>612.503200</v>
      </c>
      <c r="J467" s="5">
        <v>1.000000</v>
      </c>
    </row>
    <row r="468" spans="1:11">
      <c r="A468" s="22" t="str">
        <f>HYPERLINK("https://app.vivvix.com/360/KMI/IntelliDrive/ApplUI/Pages/CreativePages/CustomReportCreativeDetail.aspx?App=23&amp;ReportView=4&amp;Qid=1696098&amp;Row=460&amp;Col=1","No Title Assigned - #15267744957")</f>
        <v/>
      </c>
      <c r="B468" s="0" t="s">
        <v>453</v>
      </c>
      <c r="E468" s="0" t="s">
        <v>12</v>
      </c>
      <c r="F468" s="0" t="s">
        <v>12</v>
      </c>
      <c r="G468" s="0" t="s">
        <v>204</v>
      </c>
      <c r="I468" s="5">
        <v>50486.406400</v>
      </c>
      <c r="J468" s="5">
        <v>68.000000</v>
      </c>
    </row>
    <row r="469" spans="1:11">
      <c r="A469" s="22" t="str">
        <f>HYPERLINK("https://app.vivvix.com/360/KMI/IntelliDrive/ApplUI/Pages/CreativePages/CustomReportCreativeDetail.aspx?App=23&amp;ReportView=4&amp;Qid=1696098&amp;Row=461&amp;Col=1","No Title Assigned - #15267744957")</f>
        <v/>
      </c>
      <c r="B469" s="0" t="s">
        <v>453</v>
      </c>
      <c r="E469" s="0" t="s">
        <v>12</v>
      </c>
      <c r="F469" s="0" t="s">
        <v>12</v>
      </c>
      <c r="G469" s="0" t="s">
        <v>245</v>
      </c>
      <c r="I469" s="5">
        <v>621396.172300</v>
      </c>
      <c r="J469" s="5">
        <v>111.000000</v>
      </c>
    </row>
    <row r="470" spans="1:11">
      <c r="A470" s="22" t="str">
        <f>HYPERLINK("https://app.vivvix.com/360/KMI/IntelliDrive/ApplUI/Pages/CreativePages/CustomReportCreativeDetail.aspx?App=23&amp;ReportView=4&amp;Qid=1696098&amp;Row=462&amp;Col=1","No Title Assigned - #15267746006")</f>
        <v/>
      </c>
      <c r="B470" s="0" t="s">
        <v>454</v>
      </c>
      <c r="E470" s="0" t="s">
        <v>12</v>
      </c>
      <c r="F470" s="0" t="s">
        <v>12</v>
      </c>
      <c r="G470" s="0" t="s">
        <v>204</v>
      </c>
      <c r="I470" s="5">
        <v>58.473000</v>
      </c>
      <c r="J470" s="5">
        <v>3.000000</v>
      </c>
    </row>
    <row r="471" spans="1:11">
      <c r="A471" s="22" t="str">
        <f>HYPERLINK("https://app.vivvix.com/360/KMI/IntelliDrive/ApplUI/Pages/CreativePages/CustomReportCreativeDetail.aspx?App=23&amp;ReportView=4&amp;Qid=1696098&amp;Row=463&amp;Col=1","No Title Assigned - #15267747366")</f>
        <v/>
      </c>
      <c r="B471" s="0" t="s">
        <v>455</v>
      </c>
      <c r="E471" s="0" t="s">
        <v>12</v>
      </c>
      <c r="F471" s="0" t="s">
        <v>12</v>
      </c>
      <c r="G471" s="0" t="s">
        <v>204</v>
      </c>
      <c r="I471" s="5">
        <v>234.935300</v>
      </c>
      <c r="J471" s="5">
        <v>1.000000</v>
      </c>
    </row>
    <row r="472" spans="1:11">
      <c r="A472" s="22" t="str">
        <f>HYPERLINK("https://app.vivvix.com/360/KMI/IntelliDrive/ApplUI/Pages/CreativePages/CustomReportCreativeDetail.aspx?App=23&amp;ReportView=4&amp;Qid=1696098&amp;Row=464&amp;Col=1","No Title Assigned - #15267833124")</f>
        <v/>
      </c>
      <c r="B472" s="0" t="s">
        <v>456</v>
      </c>
      <c r="E472" s="0" t="s">
        <v>12</v>
      </c>
      <c r="F472" s="0" t="s">
        <v>12</v>
      </c>
      <c r="G472" s="0" t="s">
        <v>17</v>
      </c>
      <c r="I472" s="5">
        <v>23.199000</v>
      </c>
      <c r="J472" s="5">
        <v>4.000000</v>
      </c>
    </row>
    <row r="473" spans="1:11">
      <c r="A473" s="22" t="str">
        <f>HYPERLINK("https://app.vivvix.com/360/KMI/IntelliDrive/ApplUI/Pages/CreativePages/CustomReportCreativeDetail.aspx?App=23&amp;ReportView=4&amp;Qid=1696098&amp;Row=465&amp;Col=1","No Title Assigned - #15267837210")</f>
        <v/>
      </c>
      <c r="B473" s="0" t="s">
        <v>457</v>
      </c>
      <c r="E473" s="0" t="s">
        <v>12</v>
      </c>
      <c r="F473" s="0" t="s">
        <v>12</v>
      </c>
      <c r="G473" s="0" t="s">
        <v>204</v>
      </c>
      <c r="I473" s="5">
        <v>24930.433500</v>
      </c>
      <c r="J473" s="5">
        <v>9.000000</v>
      </c>
    </row>
    <row r="474" spans="1:11">
      <c r="A474" s="22" t="str">
        <f>HYPERLINK("https://app.vivvix.com/360/KMI/IntelliDrive/ApplUI/Pages/CreativePages/CustomReportCreativeDetail.aspx?App=23&amp;ReportView=4&amp;Qid=1696098&amp;Row=466&amp;Col=1","No Title Assigned - #15267837211")</f>
        <v/>
      </c>
      <c r="B474" s="0" t="s">
        <v>458</v>
      </c>
      <c r="E474" s="0" t="s">
        <v>12</v>
      </c>
      <c r="F474" s="0" t="s">
        <v>12</v>
      </c>
      <c r="G474" s="0" t="s">
        <v>204</v>
      </c>
      <c r="I474" s="5">
        <v>10917.105100</v>
      </c>
      <c r="J474" s="5">
        <v>4.000000</v>
      </c>
    </row>
    <row r="475" spans="1:11">
      <c r="A475" s="22" t="str">
        <f>HYPERLINK("https://app.vivvix.com/360/KMI/IntelliDrive/ApplUI/Pages/CreativePages/CustomReportCreativeDetail.aspx?App=23&amp;ReportView=4&amp;Qid=1696098&amp;Row=467&amp;Col=1","No Title Assigned - #15267918644")</f>
        <v/>
      </c>
      <c r="B475" s="0" t="s">
        <v>459</v>
      </c>
      <c r="E475" s="0" t="s">
        <v>12</v>
      </c>
      <c r="F475" s="0" t="s">
        <v>12</v>
      </c>
      <c r="G475" s="0" t="s">
        <v>204</v>
      </c>
      <c r="I475" s="5">
        <v>751.806700</v>
      </c>
      <c r="J475" s="5">
        <v>1.000000</v>
      </c>
    </row>
    <row r="476" spans="1:11">
      <c r="A476" s="22" t="str">
        <f>HYPERLINK("https://app.vivvix.com/360/KMI/IntelliDrive/ApplUI/Pages/CreativePages/CustomReportCreativeDetail.aspx?App=23&amp;ReportView=4&amp;Qid=1696098&amp;Row=468&amp;Col=1","No Title Assigned - #15267919997")</f>
        <v/>
      </c>
      <c r="B476" s="0" t="s">
        <v>460</v>
      </c>
      <c r="E476" s="0" t="s">
        <v>12</v>
      </c>
      <c r="F476" s="0" t="s">
        <v>12</v>
      </c>
      <c r="G476" s="0" t="s">
        <v>17</v>
      </c>
      <c r="I476" s="5">
        <v>12.288000</v>
      </c>
      <c r="J476" s="5">
        <v>2.000000</v>
      </c>
    </row>
    <row r="477" spans="1:11">
      <c r="A477" s="22" t="str">
        <f>HYPERLINK("https://app.vivvix.com/360/KMI/IntelliDrive/ApplUI/Pages/CreativePages/CustomReportCreativeDetail.aspx?App=23&amp;ReportView=4&amp;Qid=1696098&amp;Row=469&amp;Col=1","No Title Assigned - #15267936587")</f>
        <v/>
      </c>
      <c r="B477" s="0" t="s">
        <v>461</v>
      </c>
      <c r="E477" s="0" t="s">
        <v>12</v>
      </c>
      <c r="F477" s="0" t="s">
        <v>12</v>
      </c>
      <c r="G477" s="0" t="s">
        <v>204</v>
      </c>
      <c r="I477" s="5">
        <v>616.610100</v>
      </c>
      <c r="J477" s="5">
        <v>1.000000</v>
      </c>
    </row>
    <row r="478" spans="1:11">
      <c r="A478" s="22" t="str">
        <f>HYPERLINK("https://app.vivvix.com/360/KMI/IntelliDrive/ApplUI/Pages/CreativePages/CustomReportCreativeDetail.aspx?App=23&amp;ReportView=4&amp;Qid=1696098&amp;Row=470&amp;Col=1","No Title Assigned - #15267951422")</f>
        <v/>
      </c>
      <c r="B478" s="0" t="s">
        <v>462</v>
      </c>
      <c r="E478" s="0" t="s">
        <v>12</v>
      </c>
      <c r="F478" s="0" t="s">
        <v>12</v>
      </c>
      <c r="G478" s="0" t="s">
        <v>245</v>
      </c>
      <c r="I478" s="5">
        <v>374022.170000</v>
      </c>
      <c r="J478" s="5">
        <v>35.000000</v>
      </c>
    </row>
    <row r="479" spans="1:11">
      <c r="A479" s="22" t="str">
        <f>HYPERLINK("https://app.vivvix.com/360/KMI/IntelliDrive/ApplUI/Pages/CreativePages/CustomReportCreativeDetail.aspx?App=23&amp;ReportView=4&amp;Qid=1696098&amp;Row=471&amp;Col=1","No Title Assigned - #15267964593")</f>
        <v/>
      </c>
      <c r="B479" s="0" t="s">
        <v>463</v>
      </c>
      <c r="E479" s="0" t="s">
        <v>12</v>
      </c>
      <c r="F479" s="0" t="s">
        <v>12</v>
      </c>
      <c r="G479" s="0" t="s">
        <v>204</v>
      </c>
      <c r="I479" s="5">
        <v>913.120300</v>
      </c>
      <c r="J479" s="5">
        <v>1.000000</v>
      </c>
    </row>
    <row r="480" spans="1:11">
      <c r="A480" s="22" t="str">
        <f>HYPERLINK("https://app.vivvix.com/360/KMI/IntelliDrive/ApplUI/Pages/CreativePages/CustomReportCreativeDetail.aspx?App=23&amp;ReportView=4&amp;Qid=1696098&amp;Row=472&amp;Col=1","No Title Assigned - #15267972133")</f>
        <v/>
      </c>
      <c r="B480" s="0" t="s">
        <v>464</v>
      </c>
      <c r="E480" s="0" t="s">
        <v>12</v>
      </c>
      <c r="F480" s="0" t="s">
        <v>12</v>
      </c>
      <c r="G480" s="0" t="s">
        <v>204</v>
      </c>
      <c r="I480" s="5">
        <v>3738.394800</v>
      </c>
      <c r="J480" s="5">
        <v>2.000000</v>
      </c>
    </row>
    <row r="481" spans="1:11">
      <c r="A481" s="22" t="str">
        <f>HYPERLINK("https://app.vivvix.com/360/KMI/IntelliDrive/ApplUI/Pages/CreativePages/CustomReportCreativeDetail.aspx?App=23&amp;ReportView=4&amp;Qid=1696098&amp;Row=473&amp;Col=1","No Title Assigned - #15268010737")</f>
        <v/>
      </c>
      <c r="B481" s="0" t="s">
        <v>465</v>
      </c>
      <c r="E481" s="0" t="s">
        <v>12</v>
      </c>
      <c r="F481" s="0" t="s">
        <v>12</v>
      </c>
      <c r="G481" s="0" t="s">
        <v>17</v>
      </c>
      <c r="I481" s="5">
        <v>17.595000</v>
      </c>
      <c r="J481" s="5">
        <v>3.000000</v>
      </c>
    </row>
    <row r="482" spans="1:11">
      <c r="A482" s="22" t="str">
        <f>HYPERLINK("https://app.vivvix.com/360/KMI/IntelliDrive/ApplUI/Pages/CreativePages/CustomReportCreativeDetail.aspx?App=23&amp;ReportView=4&amp;Qid=1696098&amp;Row=474&amp;Col=1","No Title Assigned - #15268069176")</f>
        <v/>
      </c>
      <c r="B482" s="0" t="s">
        <v>466</v>
      </c>
      <c r="E482" s="0" t="s">
        <v>12</v>
      </c>
      <c r="F482" s="0" t="s">
        <v>12</v>
      </c>
      <c r="G482" s="0" t="s">
        <v>204</v>
      </c>
      <c r="I482" s="5">
        <v>314.715200</v>
      </c>
      <c r="J482" s="5">
        <v>1.000000</v>
      </c>
    </row>
    <row r="483" spans="1:11">
      <c r="A483" s="22" t="str">
        <f>HYPERLINK("https://app.vivvix.com/360/KMI/IntelliDrive/ApplUI/Pages/CreativePages/CustomReportCreativeDetail.aspx?App=23&amp;ReportView=4&amp;Qid=1696098&amp;Row=475&amp;Col=1","No Title Assigned - #15268069177")</f>
        <v/>
      </c>
      <c r="B483" s="0" t="s">
        <v>467</v>
      </c>
      <c r="E483" s="0" t="s">
        <v>12</v>
      </c>
      <c r="F483" s="0" t="s">
        <v>12</v>
      </c>
      <c r="G483" s="0" t="s">
        <v>204</v>
      </c>
      <c r="I483" s="5">
        <v>314.715200</v>
      </c>
      <c r="J483" s="5">
        <v>1.000000</v>
      </c>
    </row>
    <row r="484" spans="1:11">
      <c r="A484" s="22" t="str">
        <f>HYPERLINK("https://app.vivvix.com/360/KMI/IntelliDrive/ApplUI/Pages/CreativePages/CustomReportCreativeDetail.aspx?App=23&amp;ReportView=4&amp;Qid=1696098&amp;Row=476&amp;Col=1","No Title Assigned - #15268095350")</f>
        <v/>
      </c>
      <c r="B484" s="0" t="s">
        <v>468</v>
      </c>
      <c r="E484" s="0" t="s">
        <v>12</v>
      </c>
      <c r="F484" s="0" t="s">
        <v>12</v>
      </c>
      <c r="G484" s="0" t="s">
        <v>204</v>
      </c>
      <c r="I484" s="5">
        <v>3448.045000</v>
      </c>
      <c r="J484" s="5">
        <v>7.000000</v>
      </c>
    </row>
    <row r="485" spans="1:11">
      <c r="A485" s="22" t="str">
        <f>HYPERLINK("https://app.vivvix.com/360/KMI/IntelliDrive/ApplUI/Pages/CreativePages/CustomReportCreativeDetail.aspx?App=23&amp;ReportView=4&amp;Qid=1696098&amp;Row=477&amp;Col=1","No Title Assigned - #15268112458")</f>
        <v/>
      </c>
      <c r="B485" s="0" t="s">
        <v>469</v>
      </c>
      <c r="E485" s="0" t="s">
        <v>12</v>
      </c>
      <c r="F485" s="0" t="s">
        <v>12</v>
      </c>
      <c r="G485" s="0" t="s">
        <v>204</v>
      </c>
      <c r="I485" s="5">
        <v>9345.987000</v>
      </c>
      <c r="J485" s="5">
        <v>5.000000</v>
      </c>
    </row>
    <row r="486" spans="1:11">
      <c r="A486" s="22" t="str">
        <f>HYPERLINK("https://app.vivvix.com/360/KMI/IntelliDrive/ApplUI/Pages/CreativePages/CustomReportCreativeDetail.aspx?App=23&amp;ReportView=4&amp;Qid=1696098&amp;Row=478&amp;Col=1","No Title Assigned - #15268126178")</f>
        <v/>
      </c>
      <c r="B486" s="0" t="s">
        <v>470</v>
      </c>
      <c r="E486" s="0" t="s">
        <v>12</v>
      </c>
      <c r="F486" s="0" t="s">
        <v>12</v>
      </c>
      <c r="G486" s="0" t="s">
        <v>204</v>
      </c>
      <c r="I486" s="5">
        <v>807.540400</v>
      </c>
      <c r="J486" s="5">
        <v>2.000000</v>
      </c>
    </row>
    <row r="487" spans="1:11">
      <c r="A487" s="22" t="str">
        <f>HYPERLINK("https://app.vivvix.com/360/KMI/IntelliDrive/ApplUI/Pages/CreativePages/CustomReportCreativeDetail.aspx?App=23&amp;ReportView=4&amp;Qid=1696098&amp;Row=479&amp;Col=1","No Title Assigned - #15268126303")</f>
        <v/>
      </c>
      <c r="B487" s="0" t="s">
        <v>471</v>
      </c>
      <c r="E487" s="0" t="s">
        <v>12</v>
      </c>
      <c r="F487" s="0" t="s">
        <v>12</v>
      </c>
      <c r="G487" s="0" t="s">
        <v>204</v>
      </c>
      <c r="I487" s="5">
        <v>403.770200</v>
      </c>
      <c r="J487" s="5">
        <v>1.000000</v>
      </c>
    </row>
    <row r="488" spans="1:11">
      <c r="A488" s="22" t="str">
        <f>HYPERLINK("https://app.vivvix.com/360/KMI/IntelliDrive/ApplUI/Pages/CreativePages/CustomReportCreativeDetail.aspx?App=23&amp;ReportView=4&amp;Qid=1696098&amp;Row=480&amp;Col=1","No Title Assigned - #15268148523")</f>
        <v/>
      </c>
      <c r="B488" s="0" t="s">
        <v>472</v>
      </c>
      <c r="E488" s="0" t="s">
        <v>12</v>
      </c>
      <c r="F488" s="0" t="s">
        <v>12</v>
      </c>
      <c r="G488" s="0" t="s">
        <v>204</v>
      </c>
      <c r="I488" s="5">
        <v>617.713600</v>
      </c>
      <c r="J488" s="5">
        <v>1.000000</v>
      </c>
    </row>
    <row r="489" spans="1:11">
      <c r="A489" s="22" t="str">
        <f>HYPERLINK("https://app.vivvix.com/360/KMI/IntelliDrive/ApplUI/Pages/CreativePages/CustomReportCreativeDetail.aspx?App=23&amp;ReportView=4&amp;Qid=1696098&amp;Row=481&amp;Col=1","No Title Assigned - #15268148936")</f>
        <v/>
      </c>
      <c r="B489" s="0" t="s">
        <v>473</v>
      </c>
      <c r="E489" s="0" t="s">
        <v>12</v>
      </c>
      <c r="F489" s="0" t="s">
        <v>12</v>
      </c>
      <c r="G489" s="0" t="s">
        <v>245</v>
      </c>
      <c r="I489" s="5">
        <v>782502.968500</v>
      </c>
      <c r="J489" s="5">
        <v>313.000000</v>
      </c>
    </row>
    <row r="490" spans="1:11">
      <c r="A490" s="22" t="str">
        <f>HYPERLINK("https://app.vivvix.com/360/KMI/IntelliDrive/ApplUI/Pages/CreativePages/CustomReportCreativeDetail.aspx?App=23&amp;ReportView=4&amp;Qid=1696098&amp;Row=482&amp;Col=1","No Title Assigned - #15268177320")</f>
        <v/>
      </c>
      <c r="B490" s="0" t="s">
        <v>474</v>
      </c>
      <c r="E490" s="0" t="s">
        <v>12</v>
      </c>
      <c r="F490" s="0" t="s">
        <v>12</v>
      </c>
      <c r="G490" s="0" t="s">
        <v>204</v>
      </c>
      <c r="I490" s="5">
        <v>1869.197400</v>
      </c>
      <c r="J490" s="5">
        <v>1.000000</v>
      </c>
    </row>
    <row r="491" spans="1:11">
      <c r="A491" s="22" t="str">
        <f>HYPERLINK("https://app.vivvix.com/360/KMI/IntelliDrive/ApplUI/Pages/CreativePages/CustomReportCreativeDetail.aspx?App=23&amp;ReportView=4&amp;Qid=1696098&amp;Row=483&amp;Col=1","No Title Assigned - #15268190458")</f>
        <v/>
      </c>
      <c r="B491" s="0" t="s">
        <v>475</v>
      </c>
      <c r="E491" s="0" t="s">
        <v>12</v>
      </c>
      <c r="F491" s="0" t="s">
        <v>12</v>
      </c>
      <c r="G491" s="0" t="s">
        <v>204</v>
      </c>
      <c r="I491" s="5">
        <v>437.114600</v>
      </c>
      <c r="J491" s="5">
        <v>1.000000</v>
      </c>
    </row>
    <row r="492" spans="1:11">
      <c r="A492" s="22" t="str">
        <f>HYPERLINK("https://app.vivvix.com/360/KMI/IntelliDrive/ApplUI/Pages/CreativePages/CustomReportCreativeDetail.aspx?App=23&amp;ReportView=4&amp;Qid=1696098&amp;Row=484&amp;Col=1","No Title Assigned - #15268199410")</f>
        <v/>
      </c>
      <c r="B492" s="0" t="s">
        <v>476</v>
      </c>
      <c r="E492" s="0" t="s">
        <v>12</v>
      </c>
      <c r="F492" s="0" t="s">
        <v>12</v>
      </c>
      <c r="G492" s="0" t="s">
        <v>17</v>
      </c>
      <c r="I492" s="5">
        <v>130.493000</v>
      </c>
      <c r="J492" s="5">
        <v>1.000000</v>
      </c>
    </row>
    <row r="493" spans="1:11">
      <c r="A493" s="22" t="str">
        <f>HYPERLINK("https://app.vivvix.com/360/KMI/IntelliDrive/ApplUI/Pages/CreativePages/CustomReportCreativeDetail.aspx?App=23&amp;ReportView=4&amp;Qid=1696098&amp;Row=485&amp;Col=1","No Title Assigned - #15268210427")</f>
        <v/>
      </c>
      <c r="B493" s="0" t="s">
        <v>477</v>
      </c>
      <c r="E493" s="0" t="s">
        <v>12</v>
      </c>
      <c r="F493" s="0" t="s">
        <v>12</v>
      </c>
      <c r="G493" s="0" t="s">
        <v>17</v>
      </c>
      <c r="I493" s="5">
        <v>10.630000</v>
      </c>
      <c r="J493" s="5">
        <v>2.000000</v>
      </c>
    </row>
    <row r="494" spans="1:11">
      <c r="A494" s="22" t="str">
        <f>HYPERLINK("https://app.vivvix.com/360/KMI/IntelliDrive/ApplUI/Pages/CreativePages/CustomReportCreativeDetail.aspx?App=23&amp;ReportView=4&amp;Qid=1696098&amp;Row=486&amp;Col=1","No Title Assigned - #15268344858")</f>
        <v/>
      </c>
      <c r="B494" s="0" t="s">
        <v>478</v>
      </c>
      <c r="E494" s="0" t="s">
        <v>12</v>
      </c>
      <c r="F494" s="0" t="s">
        <v>12</v>
      </c>
      <c r="G494" s="0" t="s">
        <v>17</v>
      </c>
      <c r="I494" s="5">
        <v>17.595000</v>
      </c>
      <c r="J494" s="5">
        <v>3.000000</v>
      </c>
    </row>
    <row r="495" spans="1:11">
      <c r="A495" s="22" t="str">
        <f>HYPERLINK("https://app.vivvix.com/360/KMI/IntelliDrive/ApplUI/Pages/CreativePages/CustomReportCreativeDetail.aspx?App=23&amp;ReportView=4&amp;Qid=1696098&amp;Row=487&amp;Col=1","No Title Assigned - #15268357999")</f>
        <v/>
      </c>
      <c r="B495" s="0" t="s">
        <v>479</v>
      </c>
      <c r="E495" s="0" t="s">
        <v>12</v>
      </c>
      <c r="F495" s="0" t="s">
        <v>12</v>
      </c>
      <c r="G495" s="0" t="s">
        <v>204</v>
      </c>
      <c r="I495" s="5">
        <v>681.403400</v>
      </c>
      <c r="J495" s="5">
        <v>1.000000</v>
      </c>
    </row>
    <row r="496" spans="1:11">
      <c r="A496" s="22" t="str">
        <f>HYPERLINK("https://app.vivvix.com/360/KMI/IntelliDrive/ApplUI/Pages/CreativePages/CustomReportCreativeDetail.aspx?App=23&amp;ReportView=4&amp;Qid=1696098&amp;Row=488&amp;Col=1","No Title Assigned - #15268463511")</f>
        <v/>
      </c>
      <c r="B496" s="0" t="s">
        <v>480</v>
      </c>
      <c r="E496" s="0" t="s">
        <v>12</v>
      </c>
      <c r="F496" s="0" t="s">
        <v>12</v>
      </c>
      <c r="G496" s="0" t="s">
        <v>204</v>
      </c>
      <c r="I496" s="5">
        <v>432.220400</v>
      </c>
      <c r="J496" s="5">
        <v>2.000000</v>
      </c>
    </row>
    <row r="497" spans="1:11">
      <c r="A497" s="22" t="str">
        <f>HYPERLINK("https://app.vivvix.com/360/KMI/IntelliDrive/ApplUI/Pages/CreativePages/CustomReportCreativeDetail.aspx?App=23&amp;ReportView=4&amp;Qid=1696098&amp;Row=489&amp;Col=1","No Title Assigned - #15268467153")</f>
        <v/>
      </c>
      <c r="B497" s="0" t="s">
        <v>481</v>
      </c>
      <c r="E497" s="0" t="s">
        <v>12</v>
      </c>
      <c r="F497" s="0" t="s">
        <v>12</v>
      </c>
      <c r="G497" s="0" t="s">
        <v>245</v>
      </c>
      <c r="I497" s="5">
        <v>61099.419600</v>
      </c>
      <c r="J497" s="5">
        <v>10.000000</v>
      </c>
    </row>
    <row r="498" spans="1:11">
      <c r="A498" s="22" t="str">
        <f>HYPERLINK("https://app.vivvix.com/360/KMI/IntelliDrive/ApplUI/Pages/CreativePages/CustomReportCreativeDetail.aspx?App=23&amp;ReportView=4&amp;Qid=1696098&amp;Row=490&amp;Col=1","No Title Assigned - #15268467153")</f>
        <v/>
      </c>
      <c r="B498" s="0" t="s">
        <v>481</v>
      </c>
      <c r="E498" s="0" t="s">
        <v>12</v>
      </c>
      <c r="F498" s="0" t="s">
        <v>12</v>
      </c>
      <c r="G498" s="0" t="s">
        <v>204</v>
      </c>
      <c r="I498" s="5">
        <v>14055.773200</v>
      </c>
      <c r="J498" s="5">
        <v>28.000000</v>
      </c>
    </row>
    <row r="499" spans="1:11">
      <c r="A499" s="22" t="str">
        <f>HYPERLINK("https://app.vivvix.com/360/KMI/IntelliDrive/ApplUI/Pages/CreativePages/CustomReportCreativeDetail.aspx?App=23&amp;ReportView=4&amp;Qid=1696098&amp;Row=491&amp;Col=1","No Title Assigned - #15268471362")</f>
        <v/>
      </c>
      <c r="B499" s="0" t="s">
        <v>482</v>
      </c>
      <c r="E499" s="0" t="s">
        <v>12</v>
      </c>
      <c r="F499" s="0" t="s">
        <v>12</v>
      </c>
      <c r="G499" s="0" t="s">
        <v>204</v>
      </c>
      <c r="I499" s="5">
        <v>463.030400</v>
      </c>
      <c r="J499" s="5">
        <v>8.000000</v>
      </c>
    </row>
    <row r="500" spans="1:11">
      <c r="A500" s="22" t="str">
        <f>HYPERLINK("https://app.vivvix.com/360/KMI/IntelliDrive/ApplUI/Pages/CreativePages/CustomReportCreativeDetail.aspx?App=23&amp;ReportView=4&amp;Qid=1696098&amp;Row=492&amp;Col=1","No Title Assigned - #15268478186")</f>
        <v/>
      </c>
      <c r="B500" s="0" t="s">
        <v>483</v>
      </c>
      <c r="E500" s="0" t="s">
        <v>12</v>
      </c>
      <c r="F500" s="0" t="s">
        <v>12</v>
      </c>
      <c r="G500" s="0" t="s">
        <v>204</v>
      </c>
      <c r="I500" s="5">
        <v>131.271000</v>
      </c>
      <c r="J500" s="5">
        <v>1.000000</v>
      </c>
    </row>
    <row r="501" spans="1:11">
      <c r="A501" s="22" t="str">
        <f>HYPERLINK("https://app.vivvix.com/360/KMI/IntelliDrive/ApplUI/Pages/CreativePages/CustomReportCreativeDetail.aspx?App=23&amp;ReportView=4&amp;Qid=1696098&amp;Row=493&amp;Col=1","No Title Assigned - #15268478187")</f>
        <v/>
      </c>
      <c r="B501" s="0" t="s">
        <v>484</v>
      </c>
      <c r="E501" s="0" t="s">
        <v>12</v>
      </c>
      <c r="F501" s="0" t="s">
        <v>12</v>
      </c>
      <c r="G501" s="0" t="s">
        <v>204</v>
      </c>
      <c r="I501" s="5">
        <v>262.542000</v>
      </c>
      <c r="J501" s="5">
        <v>2.000000</v>
      </c>
    </row>
    <row r="502" spans="1:11">
      <c r="A502" s="22" t="str">
        <f>HYPERLINK("https://app.vivvix.com/360/KMI/IntelliDrive/ApplUI/Pages/CreativePages/CustomReportCreativeDetail.aspx?App=23&amp;ReportView=4&amp;Qid=1696098&amp;Row=494&amp;Col=1","No Title Assigned - #15268511683")</f>
        <v/>
      </c>
      <c r="B502" s="0" t="s">
        <v>485</v>
      </c>
      <c r="E502" s="0" t="s">
        <v>12</v>
      </c>
      <c r="F502" s="0" t="s">
        <v>12</v>
      </c>
      <c r="G502" s="0" t="s">
        <v>204</v>
      </c>
      <c r="I502" s="5">
        <v>4472.992900</v>
      </c>
      <c r="J502" s="5">
        <v>9.000000</v>
      </c>
    </row>
    <row r="503" spans="1:11">
      <c r="A503" s="22" t="str">
        <f>HYPERLINK("https://app.vivvix.com/360/KMI/IntelliDrive/ApplUI/Pages/CreativePages/CustomReportCreativeDetail.aspx?App=23&amp;ReportView=4&amp;Qid=1696098&amp;Row=495&amp;Col=1","No Title Assigned - #15268511683")</f>
        <v/>
      </c>
      <c r="B503" s="0" t="s">
        <v>485</v>
      </c>
      <c r="E503" s="0" t="s">
        <v>12</v>
      </c>
      <c r="F503" s="0" t="s">
        <v>12</v>
      </c>
      <c r="G503" s="0" t="s">
        <v>245</v>
      </c>
      <c r="I503" s="5">
        <v>103066.224400</v>
      </c>
      <c r="J503" s="5">
        <v>9.000000</v>
      </c>
    </row>
    <row r="504" spans="1:11">
      <c r="A504" s="22" t="str">
        <f>HYPERLINK("https://app.vivvix.com/360/KMI/IntelliDrive/ApplUI/Pages/CreativePages/CustomReportCreativeDetail.aspx?App=23&amp;ReportView=4&amp;Qid=1696098&amp;Row=496&amp;Col=1","No Title Assigned - #15268534725")</f>
        <v/>
      </c>
      <c r="B504" s="0" t="s">
        <v>486</v>
      </c>
      <c r="E504" s="0" t="s">
        <v>12</v>
      </c>
      <c r="F504" s="0" t="s">
        <v>12</v>
      </c>
      <c r="G504" s="0" t="s">
        <v>204</v>
      </c>
      <c r="I504" s="5">
        <v>421.628200</v>
      </c>
      <c r="J504" s="5">
        <v>1.000000</v>
      </c>
    </row>
    <row r="505" spans="1:11">
      <c r="A505" s="22" t="str">
        <f>HYPERLINK("https://app.vivvix.com/360/KMI/IntelliDrive/ApplUI/Pages/CreativePages/CustomReportCreativeDetail.aspx?App=23&amp;ReportView=4&amp;Qid=1696098&amp;Row=497&amp;Col=1","No Title Assigned - #15268550049")</f>
        <v/>
      </c>
      <c r="B505" s="0" t="s">
        <v>487</v>
      </c>
      <c r="E505" s="0" t="s">
        <v>12</v>
      </c>
      <c r="F505" s="0" t="s">
        <v>12</v>
      </c>
      <c r="G505" s="0" t="s">
        <v>204</v>
      </c>
      <c r="I505" s="5">
        <v>223.779900</v>
      </c>
      <c r="J505" s="5">
        <v>1.000000</v>
      </c>
    </row>
    <row r="506" spans="1:11">
      <c r="A506" s="22" t="str">
        <f>HYPERLINK("https://app.vivvix.com/360/KMI/IntelliDrive/ApplUI/Pages/CreativePages/CustomReportCreativeDetail.aspx?App=23&amp;ReportView=4&amp;Qid=1696098&amp;Row=498&amp;Col=1","No Title Assigned - #15268552005")</f>
        <v/>
      </c>
      <c r="B506" s="0" t="s">
        <v>488</v>
      </c>
      <c r="E506" s="0" t="s">
        <v>12</v>
      </c>
      <c r="F506" s="0" t="s">
        <v>12</v>
      </c>
      <c r="G506" s="0" t="s">
        <v>17</v>
      </c>
      <c r="I506" s="5">
        <v>5.596000</v>
      </c>
      <c r="J506" s="5">
        <v>1.000000</v>
      </c>
    </row>
    <row r="507" spans="1:11">
      <c r="A507" s="22" t="str">
        <f>HYPERLINK("https://app.vivvix.com/360/KMI/IntelliDrive/ApplUI/Pages/CreativePages/CustomReportCreativeDetail.aspx?App=23&amp;ReportView=4&amp;Qid=1696098&amp;Row=499&amp;Col=1","No Title Assigned - #15268619116")</f>
        <v/>
      </c>
      <c r="B507" s="0" t="s">
        <v>489</v>
      </c>
      <c r="E507" s="0" t="s">
        <v>12</v>
      </c>
      <c r="F507" s="0" t="s">
        <v>12</v>
      </c>
      <c r="G507" s="0" t="s">
        <v>204</v>
      </c>
      <c r="I507" s="5">
        <v>801.270000</v>
      </c>
      <c r="J507" s="5">
        <v>1.000000</v>
      </c>
    </row>
    <row r="508" spans="1:11">
      <c r="A508" s="22" t="str">
        <f>HYPERLINK("https://app.vivvix.com/360/KMI/IntelliDrive/ApplUI/Pages/CreativePages/CustomReportCreativeDetail.aspx?App=23&amp;ReportView=4&amp;Qid=1696098&amp;Row=500&amp;Col=1","No Title Assigned - #15268633353")</f>
        <v/>
      </c>
      <c r="B508" s="0" t="s">
        <v>490</v>
      </c>
      <c r="E508" s="0" t="s">
        <v>12</v>
      </c>
      <c r="F508" s="0" t="s">
        <v>12</v>
      </c>
      <c r="G508" s="0" t="s">
        <v>204</v>
      </c>
      <c r="I508" s="5">
        <v>5793.250000</v>
      </c>
      <c r="J508" s="5">
        <v>1.000000</v>
      </c>
    </row>
    <row r="509" spans="1:11">
      <c r="A509" s="22" t="str">
        <f>HYPERLINK("https://app.vivvix.com/360/KMI/IntelliDrive/ApplUI/Pages/CreativePages/CustomReportCreativeDetail.aspx?App=23&amp;ReportView=4&amp;Qid=1696098&amp;Row=501&amp;Col=1","No Title Assigned - #15268652004")</f>
        <v/>
      </c>
      <c r="B509" s="0" t="s">
        <v>491</v>
      </c>
      <c r="E509" s="0" t="s">
        <v>12</v>
      </c>
      <c r="F509" s="0" t="s">
        <v>12</v>
      </c>
      <c r="G509" s="0" t="s">
        <v>204</v>
      </c>
      <c r="I509" s="5">
        <v>6366.252400</v>
      </c>
      <c r="J509" s="5">
        <v>1.000000</v>
      </c>
    </row>
    <row r="510" spans="1:11">
      <c r="A510" s="22" t="str">
        <f>HYPERLINK("https://app.vivvix.com/360/KMI/IntelliDrive/ApplUI/Pages/CreativePages/CustomReportCreativeDetail.aspx?App=23&amp;ReportView=4&amp;Qid=1696098&amp;Row=502&amp;Col=1","No Title Assigned - #15268734364")</f>
        <v/>
      </c>
      <c r="B510" s="0" t="s">
        <v>492</v>
      </c>
      <c r="E510" s="0" t="s">
        <v>12</v>
      </c>
      <c r="F510" s="0" t="s">
        <v>12</v>
      </c>
      <c r="G510" s="0" t="s">
        <v>204</v>
      </c>
      <c r="I510" s="5">
        <v>4757.920000</v>
      </c>
      <c r="J510" s="5">
        <v>6.000000</v>
      </c>
    </row>
    <row r="511" spans="1:11">
      <c r="A511" s="22" t="str">
        <f>HYPERLINK("https://app.vivvix.com/360/KMI/IntelliDrive/ApplUI/Pages/CreativePages/CustomReportCreativeDetail.aspx?App=23&amp;ReportView=4&amp;Qid=1696098&amp;Row=503&amp;Col=1","No Title Assigned - #15268778325")</f>
        <v/>
      </c>
      <c r="B511" s="0" t="s">
        <v>493</v>
      </c>
      <c r="E511" s="0" t="s">
        <v>12</v>
      </c>
      <c r="F511" s="0" t="s">
        <v>12</v>
      </c>
      <c r="G511" s="0" t="s">
        <v>17</v>
      </c>
      <c r="I511" s="5">
        <v>5.596000</v>
      </c>
      <c r="J511" s="5">
        <v>1.000000</v>
      </c>
    </row>
    <row r="512" spans="1:11">
      <c r="A512" s="22" t="str">
        <f>HYPERLINK("https://app.vivvix.com/360/KMI/IntelliDrive/ApplUI/Pages/CreativePages/CustomReportCreativeDetail.aspx?App=23&amp;ReportView=4&amp;Qid=1696098&amp;Row=504&amp;Col=1","No Title Assigned - #15268869765")</f>
        <v/>
      </c>
      <c r="B512" s="0" t="s">
        <v>494</v>
      </c>
      <c r="E512" s="0" t="s">
        <v>12</v>
      </c>
      <c r="F512" s="0" t="s">
        <v>12</v>
      </c>
      <c r="G512" s="0" t="s">
        <v>204</v>
      </c>
      <c r="I512" s="5">
        <v>10505.331000</v>
      </c>
      <c r="J512" s="5">
        <v>2.000000</v>
      </c>
    </row>
    <row r="513" spans="1:11">
      <c r="A513" s="22" t="str">
        <f>HYPERLINK("https://app.vivvix.com/360/KMI/IntelliDrive/ApplUI/Pages/CreativePages/CustomReportCreativeDetail.aspx?App=23&amp;ReportView=4&amp;Qid=1696098&amp;Row=505&amp;Col=1","No Title Assigned - #15268908585")</f>
        <v/>
      </c>
      <c r="B513" s="0" t="s">
        <v>495</v>
      </c>
      <c r="E513" s="0" t="s">
        <v>12</v>
      </c>
      <c r="F513" s="0" t="s">
        <v>12</v>
      </c>
      <c r="G513" s="0" t="s">
        <v>204</v>
      </c>
      <c r="I513" s="5">
        <v>1041.016500</v>
      </c>
      <c r="J513" s="5">
        <v>1.000000</v>
      </c>
    </row>
    <row r="514" spans="1:11">
      <c r="A514" s="22" t="str">
        <f>HYPERLINK("https://app.vivvix.com/360/KMI/IntelliDrive/ApplUI/Pages/CreativePages/CustomReportCreativeDetail.aspx?App=23&amp;ReportView=4&amp;Qid=1696098&amp;Row=506&amp;Col=1","No Title Assigned - #15268929154")</f>
        <v/>
      </c>
      <c r="B514" s="0" t="s">
        <v>496</v>
      </c>
      <c r="E514" s="0" t="s">
        <v>12</v>
      </c>
      <c r="F514" s="0" t="s">
        <v>12</v>
      </c>
      <c r="G514" s="0" t="s">
        <v>204</v>
      </c>
      <c r="I514" s="5">
        <v>1087.941900</v>
      </c>
      <c r="J514" s="5">
        <v>1.000000</v>
      </c>
    </row>
    <row r="515" spans="1:11">
      <c r="A515" s="22" t="str">
        <f>HYPERLINK("https://app.vivvix.com/360/KMI/IntelliDrive/ApplUI/Pages/CreativePages/CustomReportCreativeDetail.aspx?App=23&amp;ReportView=4&amp;Qid=1696098&amp;Row=507&amp;Col=1","No Title Assigned - #15268960017")</f>
        <v/>
      </c>
      <c r="B515" s="0" t="s">
        <v>497</v>
      </c>
      <c r="E515" s="0" t="s">
        <v>12</v>
      </c>
      <c r="F515" s="0" t="s">
        <v>12</v>
      </c>
      <c r="G515" s="0" t="s">
        <v>204</v>
      </c>
      <c r="I515" s="5">
        <v>265284.548700</v>
      </c>
      <c r="J515" s="5">
        <v>47.000000</v>
      </c>
    </row>
    <row r="516" spans="1:11">
      <c r="A516" s="22" t="str">
        <f>HYPERLINK("https://app.vivvix.com/360/KMI/IntelliDrive/ApplUI/Pages/CreativePages/CustomReportCreativeDetail.aspx?App=23&amp;ReportView=4&amp;Qid=1696098&amp;Row=508&amp;Col=1","No Title Assigned - #15269095000")</f>
        <v/>
      </c>
      <c r="B516" s="0" t="s">
        <v>498</v>
      </c>
      <c r="E516" s="0" t="s">
        <v>12</v>
      </c>
      <c r="F516" s="0" t="s">
        <v>12</v>
      </c>
      <c r="G516" s="0" t="s">
        <v>204</v>
      </c>
      <c r="I516" s="5">
        <v>534.567500</v>
      </c>
      <c r="J516" s="5">
        <v>1.000000</v>
      </c>
    </row>
    <row r="517" spans="1:11">
      <c r="A517" s="22" t="str">
        <f>HYPERLINK("https://app.vivvix.com/360/KMI/IntelliDrive/ApplUI/Pages/CreativePages/CustomReportCreativeDetail.aspx?App=23&amp;ReportView=4&amp;Qid=1696098&amp;Row=509&amp;Col=1","No Title Assigned - #15269096417")</f>
        <v/>
      </c>
      <c r="B517" s="0" t="s">
        <v>499</v>
      </c>
      <c r="E517" s="0" t="s">
        <v>12</v>
      </c>
      <c r="F517" s="0" t="s">
        <v>12</v>
      </c>
      <c r="G517" s="0" t="s">
        <v>204</v>
      </c>
      <c r="I517" s="5">
        <v>589.892500</v>
      </c>
      <c r="J517" s="5">
        <v>1.000000</v>
      </c>
    </row>
    <row r="518" spans="1:11">
      <c r="A518" s="22" t="str">
        <f>HYPERLINK("https://app.vivvix.com/360/KMI/IntelliDrive/ApplUI/Pages/CreativePages/CustomReportCreativeDetail.aspx?App=23&amp;ReportView=4&amp;Qid=1696098&amp;Row=510&amp;Col=1","No Title Assigned - #15269153198")</f>
        <v/>
      </c>
      <c r="B518" s="0" t="s">
        <v>500</v>
      </c>
      <c r="E518" s="0" t="s">
        <v>12</v>
      </c>
      <c r="F518" s="0" t="s">
        <v>12</v>
      </c>
      <c r="G518" s="0" t="s">
        <v>204</v>
      </c>
      <c r="I518" s="5">
        <v>19935.954500</v>
      </c>
      <c r="J518" s="5">
        <v>8.000000</v>
      </c>
    </row>
    <row r="519" spans="1:11">
      <c r="A519" s="22" t="str">
        <f>HYPERLINK("https://app.vivvix.com/360/KMI/IntelliDrive/ApplUI/Pages/CreativePages/CustomReportCreativeDetail.aspx?App=23&amp;ReportView=4&amp;Qid=1696098&amp;Row=511&amp;Col=1","No Title Assigned - #15269153218")</f>
        <v/>
      </c>
      <c r="B519" s="0" t="s">
        <v>501</v>
      </c>
      <c r="E519" s="0" t="s">
        <v>12</v>
      </c>
      <c r="F519" s="0" t="s">
        <v>12</v>
      </c>
      <c r="G519" s="0" t="s">
        <v>204</v>
      </c>
      <c r="I519" s="5">
        <v>1208.425300</v>
      </c>
      <c r="J519" s="5">
        <v>2.000000</v>
      </c>
    </row>
    <row r="520" spans="1:11">
      <c r="A520" s="22" t="str">
        <f>HYPERLINK("https://app.vivvix.com/360/KMI/IntelliDrive/ApplUI/Pages/CreativePages/CustomReportCreativeDetail.aspx?App=23&amp;ReportView=4&amp;Qid=1696098&amp;Row=512&amp;Col=1","No Title Assigned - #15269153238")</f>
        <v/>
      </c>
      <c r="B520" s="0" t="s">
        <v>502</v>
      </c>
      <c r="E520" s="0" t="s">
        <v>12</v>
      </c>
      <c r="F520" s="0" t="s">
        <v>12</v>
      </c>
      <c r="G520" s="0" t="s">
        <v>204</v>
      </c>
      <c r="I520" s="5">
        <v>5676.651200</v>
      </c>
      <c r="J520" s="5">
        <v>8.000000</v>
      </c>
    </row>
    <row r="521" spans="1:11">
      <c r="A521" s="22" t="str">
        <f>HYPERLINK("https://app.vivvix.com/360/KMI/IntelliDrive/ApplUI/Pages/CreativePages/CustomReportCreativeDetail.aspx?App=23&amp;ReportView=4&amp;Qid=1696098&amp;Row=513&amp;Col=1","No Title Assigned - #15269153240")</f>
        <v/>
      </c>
      <c r="B521" s="0" t="s">
        <v>503</v>
      </c>
      <c r="E521" s="0" t="s">
        <v>12</v>
      </c>
      <c r="F521" s="0" t="s">
        <v>12</v>
      </c>
      <c r="G521" s="0" t="s">
        <v>204</v>
      </c>
      <c r="I521" s="5">
        <v>10127.242900</v>
      </c>
      <c r="J521" s="5">
        <v>8.000000</v>
      </c>
    </row>
    <row r="522" spans="1:11">
      <c r="A522" s="22" t="str">
        <f>HYPERLINK("https://app.vivvix.com/360/KMI/IntelliDrive/ApplUI/Pages/CreativePages/CustomReportCreativeDetail.aspx?App=23&amp;ReportView=4&amp;Qid=1696098&amp;Row=514&amp;Col=1","No Title Assigned - #15269170546")</f>
        <v/>
      </c>
      <c r="B522" s="0" t="s">
        <v>504</v>
      </c>
      <c r="E522" s="0" t="s">
        <v>12</v>
      </c>
      <c r="F522" s="0" t="s">
        <v>12</v>
      </c>
      <c r="G522" s="0" t="s">
        <v>17</v>
      </c>
      <c r="I522" s="5">
        <v>11.192000</v>
      </c>
      <c r="J522" s="5">
        <v>2.000000</v>
      </c>
    </row>
    <row r="523" spans="1:11">
      <c r="A523" s="22" t="str">
        <f>HYPERLINK("https://app.vivvix.com/360/KMI/IntelliDrive/ApplUI/Pages/CreativePages/CustomReportCreativeDetail.aspx?App=23&amp;ReportView=4&amp;Qid=1696098&amp;Row=515&amp;Col=1","No Title Assigned - #15269193365")</f>
        <v/>
      </c>
      <c r="B523" s="0" t="s">
        <v>505</v>
      </c>
      <c r="E523" s="0" t="s">
        <v>12</v>
      </c>
      <c r="F523" s="0" t="s">
        <v>12</v>
      </c>
      <c r="G523" s="0" t="s">
        <v>204</v>
      </c>
      <c r="I523" s="5">
        <v>7249.037600</v>
      </c>
      <c r="J523" s="5">
        <v>1.000000</v>
      </c>
    </row>
    <row r="524" spans="1:11">
      <c r="A524" s="22" t="str">
        <f>HYPERLINK("https://app.vivvix.com/360/KMI/IntelliDrive/ApplUI/Pages/CreativePages/CustomReportCreativeDetail.aspx?App=23&amp;ReportView=4&amp;Qid=1696098&amp;Row=516&amp;Col=1","No Title Assigned - #15269193374")</f>
        <v/>
      </c>
      <c r="B524" s="0" t="s">
        <v>506</v>
      </c>
      <c r="E524" s="0" t="s">
        <v>12</v>
      </c>
      <c r="F524" s="0" t="s">
        <v>12</v>
      </c>
      <c r="G524" s="0" t="s">
        <v>204</v>
      </c>
      <c r="I524" s="5">
        <v>7249.037600</v>
      </c>
      <c r="J524" s="5">
        <v>1.000000</v>
      </c>
    </row>
    <row r="525" spans="1:11">
      <c r="A525" s="22" t="str">
        <f>HYPERLINK("https://app.vivvix.com/360/KMI/IntelliDrive/ApplUI/Pages/CreativePages/CustomReportCreativeDetail.aspx?App=23&amp;ReportView=4&amp;Qid=1696098&amp;Row=517&amp;Col=1","No Title Assigned - #15269241405")</f>
        <v/>
      </c>
      <c r="B525" s="0" t="s">
        <v>507</v>
      </c>
      <c r="E525" s="0" t="s">
        <v>12</v>
      </c>
      <c r="F525" s="0" t="s">
        <v>12</v>
      </c>
      <c r="G525" s="0" t="s">
        <v>204</v>
      </c>
      <c r="I525" s="5">
        <v>5625.792500</v>
      </c>
      <c r="J525" s="5">
        <v>1.000000</v>
      </c>
    </row>
    <row r="526" spans="1:11">
      <c r="A526" s="22" t="str">
        <f>HYPERLINK("https://app.vivvix.com/360/KMI/IntelliDrive/ApplUI/Pages/CreativePages/CustomReportCreativeDetail.aspx?App=23&amp;ReportView=4&amp;Qid=1696098&amp;Row=518&amp;Col=1","No Title Assigned - #15269330073")</f>
        <v/>
      </c>
      <c r="B526" s="0" t="s">
        <v>508</v>
      </c>
      <c r="E526" s="0" t="s">
        <v>12</v>
      </c>
      <c r="F526" s="0" t="s">
        <v>12</v>
      </c>
      <c r="G526" s="0" t="s">
        <v>204</v>
      </c>
      <c r="I526" s="5">
        <v>832.578200</v>
      </c>
      <c r="J526" s="5">
        <v>1.000000</v>
      </c>
    </row>
    <row r="527" spans="1:11">
      <c r="A527" s="22" t="str">
        <f>HYPERLINK("https://app.vivvix.com/360/KMI/IntelliDrive/ApplUI/Pages/CreativePages/CustomReportCreativeDetail.aspx?App=23&amp;ReportView=4&amp;Qid=1696098&amp;Row=519&amp;Col=1","No Title Assigned - #15269333902")</f>
        <v/>
      </c>
      <c r="B527" s="0" t="s">
        <v>509</v>
      </c>
      <c r="E527" s="0" t="s">
        <v>12</v>
      </c>
      <c r="F527" s="0" t="s">
        <v>12</v>
      </c>
      <c r="G527" s="0" t="s">
        <v>204</v>
      </c>
      <c r="I527" s="5">
        <v>286.092600</v>
      </c>
      <c r="J527" s="5">
        <v>1.000000</v>
      </c>
    </row>
    <row r="528" spans="1:11">
      <c r="A528" s="22" t="str">
        <f>HYPERLINK("https://app.vivvix.com/360/KMI/IntelliDrive/ApplUI/Pages/CreativePages/CustomReportCreativeDetail.aspx?App=23&amp;ReportView=4&amp;Qid=1696098&amp;Row=520&amp;Col=1","No Title Assigned - #15269333925")</f>
        <v/>
      </c>
      <c r="B528" s="0" t="s">
        <v>510</v>
      </c>
      <c r="E528" s="0" t="s">
        <v>12</v>
      </c>
      <c r="F528" s="0" t="s">
        <v>12</v>
      </c>
      <c r="G528" s="0" t="s">
        <v>204</v>
      </c>
      <c r="I528" s="5">
        <v>286.092600</v>
      </c>
      <c r="J528" s="5">
        <v>1.000000</v>
      </c>
    </row>
    <row r="529" spans="1:11">
      <c r="A529" s="22" t="str">
        <f>HYPERLINK("https://app.vivvix.com/360/KMI/IntelliDrive/ApplUI/Pages/CreativePages/CustomReportCreativeDetail.aspx?App=23&amp;ReportView=4&amp;Qid=1696098&amp;Row=521&amp;Col=1","No Title Assigned - #15269335722")</f>
        <v/>
      </c>
      <c r="B529" s="0" t="s">
        <v>511</v>
      </c>
      <c r="E529" s="0" t="s">
        <v>12</v>
      </c>
      <c r="F529" s="0" t="s">
        <v>12</v>
      </c>
      <c r="G529" s="0" t="s">
        <v>204</v>
      </c>
      <c r="I529" s="5">
        <v>832.578200</v>
      </c>
      <c r="J529" s="5">
        <v>1.000000</v>
      </c>
    </row>
    <row r="530" spans="1:11">
      <c r="A530" s="22" t="str">
        <f>HYPERLINK("https://app.vivvix.com/360/KMI/IntelliDrive/ApplUI/Pages/CreativePages/CustomReportCreativeDetail.aspx?App=23&amp;ReportView=4&amp;Qid=1696098&amp;Row=522&amp;Col=1","No Title Assigned - #15269335749")</f>
        <v/>
      </c>
      <c r="B530" s="0" t="s">
        <v>512</v>
      </c>
      <c r="E530" s="0" t="s">
        <v>12</v>
      </c>
      <c r="F530" s="0" t="s">
        <v>12</v>
      </c>
      <c r="G530" s="0" t="s">
        <v>204</v>
      </c>
      <c r="I530" s="5">
        <v>832.578200</v>
      </c>
      <c r="J530" s="5">
        <v>1.000000</v>
      </c>
    </row>
    <row r="531" spans="1:11">
      <c r="A531" s="22" t="str">
        <f>HYPERLINK("https://app.vivvix.com/360/KMI/IntelliDrive/ApplUI/Pages/CreativePages/CustomReportCreativeDetail.aspx?App=23&amp;ReportView=4&amp;Qid=1696098&amp;Row=523&amp;Col=1","No Title Assigned - #15269342461")</f>
        <v/>
      </c>
      <c r="B531" s="0" t="s">
        <v>513</v>
      </c>
      <c r="E531" s="0" t="s">
        <v>12</v>
      </c>
      <c r="F531" s="0" t="s">
        <v>12</v>
      </c>
      <c r="G531" s="0" t="s">
        <v>204</v>
      </c>
      <c r="I531" s="5">
        <v>177.349800</v>
      </c>
      <c r="J531" s="5">
        <v>1.000000</v>
      </c>
    </row>
    <row r="532" spans="1:11">
      <c r="A532" s="22" t="str">
        <f>HYPERLINK("https://app.vivvix.com/360/KMI/IntelliDrive/ApplUI/Pages/CreativePages/CustomReportCreativeDetail.aspx?App=23&amp;ReportView=4&amp;Qid=1696098&amp;Row=524&amp;Col=1","No Title Assigned - #15269342468")</f>
        <v/>
      </c>
      <c r="B532" s="0" t="s">
        <v>514</v>
      </c>
      <c r="E532" s="0" t="s">
        <v>12</v>
      </c>
      <c r="F532" s="0" t="s">
        <v>12</v>
      </c>
      <c r="G532" s="0" t="s">
        <v>204</v>
      </c>
      <c r="I532" s="5">
        <v>1418.798400</v>
      </c>
      <c r="J532" s="5">
        <v>8.000000</v>
      </c>
    </row>
    <row r="533" spans="1:11">
      <c r="A533" s="22" t="str">
        <f>HYPERLINK("https://app.vivvix.com/360/KMI/IntelliDrive/ApplUI/Pages/CreativePages/CustomReportCreativeDetail.aspx?App=23&amp;ReportView=4&amp;Qid=1696098&amp;Row=525&amp;Col=1","No Title Assigned - #15269373070")</f>
        <v/>
      </c>
      <c r="B533" s="0" t="s">
        <v>515</v>
      </c>
      <c r="E533" s="0" t="s">
        <v>12</v>
      </c>
      <c r="F533" s="0" t="s">
        <v>12</v>
      </c>
      <c r="G533" s="0" t="s">
        <v>204</v>
      </c>
      <c r="I533" s="5">
        <v>75755.166300</v>
      </c>
      <c r="J533" s="5">
        <v>15.000000</v>
      </c>
    </row>
    <row r="534" spans="1:11">
      <c r="A534" s="22" t="str">
        <f>HYPERLINK("https://app.vivvix.com/360/KMI/IntelliDrive/ApplUI/Pages/CreativePages/CustomReportCreativeDetail.aspx?App=23&amp;ReportView=4&amp;Qid=1696098&amp;Row=526&amp;Col=1","No Title Assigned - #15269387102")</f>
        <v/>
      </c>
      <c r="B534" s="0" t="s">
        <v>516</v>
      </c>
      <c r="E534" s="0" t="s">
        <v>12</v>
      </c>
      <c r="F534" s="0" t="s">
        <v>12</v>
      </c>
      <c r="G534" s="0" t="s">
        <v>204</v>
      </c>
      <c r="I534" s="5">
        <v>476.647900</v>
      </c>
      <c r="J534" s="5">
        <v>1.000000</v>
      </c>
    </row>
    <row r="535" spans="1:11">
      <c r="A535" s="22" t="str">
        <f>HYPERLINK("https://app.vivvix.com/360/KMI/IntelliDrive/ApplUI/Pages/CreativePages/CustomReportCreativeDetail.aspx?App=23&amp;ReportView=4&amp;Qid=1696098&amp;Row=527&amp;Col=1","No Title Assigned - #15269491542")</f>
        <v/>
      </c>
      <c r="B535" s="0" t="s">
        <v>517</v>
      </c>
      <c r="E535" s="0" t="s">
        <v>12</v>
      </c>
      <c r="F535" s="0" t="s">
        <v>12</v>
      </c>
      <c r="G535" s="0" t="s">
        <v>204</v>
      </c>
      <c r="I535" s="5">
        <v>1555.476200</v>
      </c>
      <c r="J535" s="5">
        <v>1.000000</v>
      </c>
    </row>
    <row r="536" spans="1:11">
      <c r="A536" s="22" t="str">
        <f>HYPERLINK("https://app.vivvix.com/360/KMI/IntelliDrive/ApplUI/Pages/CreativePages/CustomReportCreativeDetail.aspx?App=23&amp;ReportView=4&amp;Qid=1696098&amp;Row=528&amp;Col=1","No Title Assigned - #15269491565")</f>
        <v/>
      </c>
      <c r="B536" s="0" t="s">
        <v>518</v>
      </c>
      <c r="E536" s="0" t="s">
        <v>12</v>
      </c>
      <c r="F536" s="0" t="s">
        <v>12</v>
      </c>
      <c r="G536" s="0" t="s">
        <v>204</v>
      </c>
      <c r="I536" s="5">
        <v>1555.476200</v>
      </c>
      <c r="J536" s="5">
        <v>1.000000</v>
      </c>
    </row>
    <row r="537" spans="1:11">
      <c r="A537" s="22" t="str">
        <f>HYPERLINK("https://app.vivvix.com/360/KMI/IntelliDrive/ApplUI/Pages/CreativePages/CustomReportCreativeDetail.aspx?App=23&amp;ReportView=4&amp;Qid=1696098&amp;Row=529&amp;Col=1","No Title Assigned - #15269534915")</f>
        <v/>
      </c>
      <c r="B537" s="0" t="s">
        <v>519</v>
      </c>
      <c r="E537" s="0" t="s">
        <v>12</v>
      </c>
      <c r="F537" s="0" t="s">
        <v>12</v>
      </c>
      <c r="G537" s="0" t="s">
        <v>204</v>
      </c>
      <c r="I537" s="5">
        <v>5625.792500</v>
      </c>
      <c r="J537" s="5">
        <v>1.000000</v>
      </c>
    </row>
    <row r="538" spans="1:11">
      <c r="A538" s="22" t="str">
        <f>HYPERLINK("https://app.vivvix.com/360/KMI/IntelliDrive/ApplUI/Pages/CreativePages/CustomReportCreativeDetail.aspx?App=23&amp;ReportView=4&amp;Qid=1696098&amp;Row=530&amp;Col=1","No Title Assigned - #15269546622")</f>
        <v/>
      </c>
      <c r="B538" s="0" t="s">
        <v>520</v>
      </c>
      <c r="E538" s="0" t="s">
        <v>12</v>
      </c>
      <c r="F538" s="0" t="s">
        <v>12</v>
      </c>
      <c r="G538" s="0" t="s">
        <v>204</v>
      </c>
      <c r="I538" s="5">
        <v>565.967800</v>
      </c>
      <c r="J538" s="5">
        <v>1.000000</v>
      </c>
    </row>
    <row r="539" spans="1:11">
      <c r="A539" s="22" t="str">
        <f>HYPERLINK("https://app.vivvix.com/360/KMI/IntelliDrive/ApplUI/Pages/CreativePages/CustomReportCreativeDetail.aspx?App=23&amp;ReportView=4&amp;Qid=1696098&amp;Row=531&amp;Col=1","No Title Assigned - #15269546733")</f>
        <v/>
      </c>
      <c r="B539" s="0" t="s">
        <v>521</v>
      </c>
      <c r="E539" s="0" t="s">
        <v>12</v>
      </c>
      <c r="F539" s="0" t="s">
        <v>12</v>
      </c>
      <c r="G539" s="0" t="s">
        <v>204</v>
      </c>
      <c r="I539" s="5">
        <v>113.286200</v>
      </c>
      <c r="J539" s="5">
        <v>1.000000</v>
      </c>
    </row>
    <row r="540" spans="1:11">
      <c r="A540" s="22" t="str">
        <f>HYPERLINK("https://app.vivvix.com/360/KMI/IntelliDrive/ApplUI/Pages/CreativePages/CustomReportCreativeDetail.aspx?App=23&amp;ReportView=4&amp;Qid=1696098&amp;Row=532&amp;Col=1","No Title Assigned - #15269546742")</f>
        <v/>
      </c>
      <c r="B540" s="0" t="s">
        <v>522</v>
      </c>
      <c r="E540" s="0" t="s">
        <v>12</v>
      </c>
      <c r="F540" s="0" t="s">
        <v>12</v>
      </c>
      <c r="G540" s="0" t="s">
        <v>204</v>
      </c>
      <c r="I540" s="5">
        <v>226.572400</v>
      </c>
      <c r="J540" s="5">
        <v>2.000000</v>
      </c>
    </row>
    <row r="541" spans="1:11">
      <c r="A541" s="22" t="str">
        <f>HYPERLINK("https://app.vivvix.com/360/KMI/IntelliDrive/ApplUI/Pages/CreativePages/CustomReportCreativeDetail.aspx?App=23&amp;ReportView=4&amp;Qid=1696098&amp;Row=533&amp;Col=1","No Title Assigned - #15269546749")</f>
        <v/>
      </c>
      <c r="B541" s="0" t="s">
        <v>523</v>
      </c>
      <c r="E541" s="0" t="s">
        <v>12</v>
      </c>
      <c r="F541" s="0" t="s">
        <v>12</v>
      </c>
      <c r="G541" s="0" t="s">
        <v>204</v>
      </c>
      <c r="I541" s="5">
        <v>113.286200</v>
      </c>
      <c r="J541" s="5">
        <v>1.000000</v>
      </c>
    </row>
    <row r="542" spans="1:11">
      <c r="A542" s="22" t="str">
        <f>HYPERLINK("https://app.vivvix.com/360/KMI/IntelliDrive/ApplUI/Pages/CreativePages/CustomReportCreativeDetail.aspx?App=23&amp;ReportView=4&amp;Qid=1696098&amp;Row=534&amp;Col=1","No Title Assigned - #15269546759")</f>
        <v/>
      </c>
      <c r="B542" s="0" t="s">
        <v>524</v>
      </c>
      <c r="E542" s="0" t="s">
        <v>12</v>
      </c>
      <c r="F542" s="0" t="s">
        <v>12</v>
      </c>
      <c r="G542" s="0" t="s">
        <v>204</v>
      </c>
      <c r="I542" s="5">
        <v>113.286200</v>
      </c>
      <c r="J542" s="5">
        <v>1.000000</v>
      </c>
    </row>
    <row r="543" spans="1:11">
      <c r="A543" s="22" t="str">
        <f>HYPERLINK("https://app.vivvix.com/360/KMI/IntelliDrive/ApplUI/Pages/CreativePages/CustomReportCreativeDetail.aspx?App=23&amp;ReportView=4&amp;Qid=1696098&amp;Row=535&amp;Col=1","No Title Assigned - #15269546768")</f>
        <v/>
      </c>
      <c r="B543" s="0" t="s">
        <v>525</v>
      </c>
      <c r="E543" s="0" t="s">
        <v>12</v>
      </c>
      <c r="F543" s="0" t="s">
        <v>12</v>
      </c>
      <c r="G543" s="0" t="s">
        <v>204</v>
      </c>
      <c r="I543" s="5">
        <v>113.286200</v>
      </c>
      <c r="J543" s="5">
        <v>1.000000</v>
      </c>
    </row>
    <row r="544" spans="1:11">
      <c r="A544" s="22" t="str">
        <f>HYPERLINK("https://app.vivvix.com/360/KMI/IntelliDrive/ApplUI/Pages/CreativePages/CustomReportCreativeDetail.aspx?App=23&amp;ReportView=4&amp;Qid=1696098&amp;Row=536&amp;Col=1","No Title Assigned - #15269546772")</f>
        <v/>
      </c>
      <c r="B544" s="0" t="s">
        <v>526</v>
      </c>
      <c r="E544" s="0" t="s">
        <v>12</v>
      </c>
      <c r="F544" s="0" t="s">
        <v>12</v>
      </c>
      <c r="G544" s="0" t="s">
        <v>204</v>
      </c>
      <c r="I544" s="5">
        <v>113.286200</v>
      </c>
      <c r="J544" s="5">
        <v>1.000000</v>
      </c>
    </row>
    <row r="545" spans="1:11">
      <c r="A545" s="22" t="str">
        <f>HYPERLINK("https://app.vivvix.com/360/KMI/IntelliDrive/ApplUI/Pages/CreativePages/CustomReportCreativeDetail.aspx?App=23&amp;ReportView=4&amp;Qid=1696098&amp;Row=537&amp;Col=1","No Title Assigned - #15269546774")</f>
        <v/>
      </c>
      <c r="B545" s="0" t="s">
        <v>527</v>
      </c>
      <c r="E545" s="0" t="s">
        <v>12</v>
      </c>
      <c r="F545" s="0" t="s">
        <v>12</v>
      </c>
      <c r="G545" s="0" t="s">
        <v>204</v>
      </c>
      <c r="I545" s="5">
        <v>113.286200</v>
      </c>
      <c r="J545" s="5">
        <v>1.000000</v>
      </c>
    </row>
    <row r="546" spans="1:11">
      <c r="A546" s="22" t="str">
        <f>HYPERLINK("https://app.vivvix.com/360/KMI/IntelliDrive/ApplUI/Pages/CreativePages/CustomReportCreativeDetail.aspx?App=23&amp;ReportView=4&amp;Qid=1696098&amp;Row=538&amp;Col=1","No Title Assigned - #15269613887")</f>
        <v/>
      </c>
      <c r="B546" s="0" t="s">
        <v>528</v>
      </c>
      <c r="E546" s="0" t="s">
        <v>12</v>
      </c>
      <c r="F546" s="0" t="s">
        <v>12</v>
      </c>
      <c r="G546" s="0" t="s">
        <v>204</v>
      </c>
      <c r="I546" s="5">
        <v>7249.037600</v>
      </c>
      <c r="J546" s="5">
        <v>1.000000</v>
      </c>
    </row>
    <row r="547" spans="1:11">
      <c r="A547" s="22" t="str">
        <f>HYPERLINK("https://app.vivvix.com/360/KMI/IntelliDrive/ApplUI/Pages/CreativePages/CustomReportCreativeDetail.aspx?App=23&amp;ReportView=4&amp;Qid=1696098&amp;Row=539&amp;Col=1","No Title Assigned - #15269678655")</f>
        <v/>
      </c>
      <c r="B547" s="0" t="s">
        <v>529</v>
      </c>
      <c r="E547" s="0" t="s">
        <v>12</v>
      </c>
      <c r="F547" s="0" t="s">
        <v>12</v>
      </c>
      <c r="G547" s="0" t="s">
        <v>204</v>
      </c>
      <c r="I547" s="5">
        <v>1861.978500</v>
      </c>
      <c r="J547" s="5">
        <v>1.000000</v>
      </c>
    </row>
    <row r="548" spans="1:11">
      <c r="A548" s="22" t="str">
        <f>HYPERLINK("https://app.vivvix.com/360/KMI/IntelliDrive/ApplUI/Pages/CreativePages/CustomReportCreativeDetail.aspx?App=23&amp;ReportView=4&amp;Qid=1696098&amp;Row=540&amp;Col=1","No Title Assigned - #15269680032")</f>
        <v/>
      </c>
      <c r="B548" s="0" t="s">
        <v>530</v>
      </c>
      <c r="E548" s="0" t="s">
        <v>12</v>
      </c>
      <c r="F548" s="0" t="s">
        <v>12</v>
      </c>
      <c r="G548" s="0" t="s">
        <v>204</v>
      </c>
      <c r="I548" s="5">
        <v>614.268600</v>
      </c>
      <c r="J548" s="5">
        <v>1.000000</v>
      </c>
    </row>
    <row r="549" spans="1:11">
      <c r="A549" s="22" t="str">
        <f>HYPERLINK("https://app.vivvix.com/360/KMI/IntelliDrive/ApplUI/Pages/CreativePages/CustomReportCreativeDetail.aspx?App=23&amp;ReportView=4&amp;Qid=1696098&amp;Row=541&amp;Col=1","No Title Assigned - #15269689080")</f>
        <v/>
      </c>
      <c r="B549" s="0" t="s">
        <v>531</v>
      </c>
      <c r="E549" s="0" t="s">
        <v>12</v>
      </c>
      <c r="F549" s="0" t="s">
        <v>12</v>
      </c>
      <c r="G549" s="0" t="s">
        <v>204</v>
      </c>
      <c r="I549" s="5">
        <v>1591.289200</v>
      </c>
      <c r="J549" s="5">
        <v>1.000000</v>
      </c>
    </row>
    <row r="550" spans="1:11">
      <c r="A550" s="22" t="str">
        <f>HYPERLINK("https://app.vivvix.com/360/KMI/IntelliDrive/ApplUI/Pages/CreativePages/CustomReportCreativeDetail.aspx?App=23&amp;ReportView=4&amp;Qid=1696098&amp;Row=542&amp;Col=1","No Title Assigned - #15269702465")</f>
        <v/>
      </c>
      <c r="B550" s="0" t="s">
        <v>532</v>
      </c>
      <c r="E550" s="0" t="s">
        <v>12</v>
      </c>
      <c r="F550" s="0" t="s">
        <v>12</v>
      </c>
      <c r="G550" s="0" t="s">
        <v>204</v>
      </c>
      <c r="I550" s="5">
        <v>439.530800</v>
      </c>
      <c r="J550" s="5">
        <v>1.000000</v>
      </c>
    </row>
    <row r="551" spans="1:11">
      <c r="A551" s="22" t="str">
        <f>HYPERLINK("https://app.vivvix.com/360/KMI/IntelliDrive/ApplUI/Pages/CreativePages/CustomReportCreativeDetail.aspx?App=23&amp;ReportView=4&amp;Qid=1696098&amp;Row=543&amp;Col=1","No Title Assigned - #15269704282")</f>
        <v/>
      </c>
      <c r="B551" s="0" t="s">
        <v>533</v>
      </c>
      <c r="E551" s="0" t="s">
        <v>12</v>
      </c>
      <c r="F551" s="0" t="s">
        <v>12</v>
      </c>
      <c r="G551" s="0" t="s">
        <v>204</v>
      </c>
      <c r="I551" s="5">
        <v>1035.871200</v>
      </c>
      <c r="J551" s="5">
        <v>1.000000</v>
      </c>
    </row>
    <row r="552" spans="1:11">
      <c r="A552" s="22" t="str">
        <f>HYPERLINK("https://app.vivvix.com/360/KMI/IntelliDrive/ApplUI/Pages/CreativePages/CustomReportCreativeDetail.aspx?App=23&amp;ReportView=4&amp;Qid=1696098&amp;Row=544&amp;Col=1","No Title Assigned - #15269707641")</f>
        <v/>
      </c>
      <c r="B552" s="0" t="s">
        <v>534</v>
      </c>
      <c r="E552" s="0" t="s">
        <v>12</v>
      </c>
      <c r="F552" s="0" t="s">
        <v>12</v>
      </c>
      <c r="G552" s="0" t="s">
        <v>204</v>
      </c>
      <c r="I552" s="5">
        <v>119.233100</v>
      </c>
      <c r="J552" s="5">
        <v>1.000000</v>
      </c>
    </row>
    <row r="553" spans="1:11">
      <c r="A553" s="22" t="str">
        <f>HYPERLINK("https://app.vivvix.com/360/KMI/IntelliDrive/ApplUI/Pages/CreativePages/CustomReportCreativeDetail.aspx?App=23&amp;ReportView=4&amp;Qid=1696098&amp;Row=545&amp;Col=1","No Title Assigned - #15269776868")</f>
        <v/>
      </c>
      <c r="B553" s="0" t="s">
        <v>535</v>
      </c>
      <c r="E553" s="0" t="s">
        <v>12</v>
      </c>
      <c r="F553" s="0" t="s">
        <v>12</v>
      </c>
      <c r="G553" s="0" t="s">
        <v>204</v>
      </c>
      <c r="I553" s="5">
        <v>335.885000</v>
      </c>
      <c r="J553" s="5">
        <v>1.000000</v>
      </c>
    </row>
    <row r="554" spans="1:11">
      <c r="A554" s="22" t="str">
        <f>HYPERLINK("https://app.vivvix.com/360/KMI/IntelliDrive/ApplUI/Pages/CreativePages/CustomReportCreativeDetail.aspx?App=23&amp;ReportView=4&amp;Qid=1696098&amp;Row=546&amp;Col=1","No Title Assigned - #15269776895")</f>
        <v/>
      </c>
      <c r="B554" s="0" t="s">
        <v>536</v>
      </c>
      <c r="E554" s="0" t="s">
        <v>12</v>
      </c>
      <c r="F554" s="0" t="s">
        <v>12</v>
      </c>
      <c r="G554" s="0" t="s">
        <v>204</v>
      </c>
      <c r="I554" s="5">
        <v>335.885000</v>
      </c>
      <c r="J554" s="5">
        <v>1.000000</v>
      </c>
    </row>
    <row r="555" spans="1:11">
      <c r="A555" s="22" t="str">
        <f>HYPERLINK("https://app.vivvix.com/360/KMI/IntelliDrive/ApplUI/Pages/CreativePages/CustomReportCreativeDetail.aspx?App=23&amp;ReportView=4&amp;Qid=1696098&amp;Row=547&amp;Col=1","No Title Assigned - #15269922365")</f>
        <v/>
      </c>
      <c r="B555" s="0" t="s">
        <v>537</v>
      </c>
      <c r="E555" s="0" t="s">
        <v>12</v>
      </c>
      <c r="F555" s="0" t="s">
        <v>12</v>
      </c>
      <c r="G555" s="0" t="s">
        <v>204</v>
      </c>
      <c r="I555" s="5">
        <v>735.955000</v>
      </c>
      <c r="J555" s="5">
        <v>1.000000</v>
      </c>
    </row>
    <row r="556" spans="1:11">
      <c r="A556" s="22" t="str">
        <f>HYPERLINK("https://app.vivvix.com/360/KMI/IntelliDrive/ApplUI/Pages/CreativePages/CustomReportCreativeDetail.aspx?App=23&amp;ReportView=4&amp;Qid=1696098&amp;Row=548&amp;Col=1","No Title Assigned - #15269942771")</f>
        <v/>
      </c>
      <c r="B556" s="0" t="s">
        <v>538</v>
      </c>
      <c r="E556" s="0" t="s">
        <v>12</v>
      </c>
      <c r="F556" s="0" t="s">
        <v>12</v>
      </c>
      <c r="G556" s="0" t="s">
        <v>17</v>
      </c>
      <c r="I556" s="5">
        <v>2541.850000</v>
      </c>
      <c r="J556" s="5">
        <v>451.000000</v>
      </c>
    </row>
    <row r="557" spans="1:11">
      <c r="A557" s="22" t="str">
        <f>HYPERLINK("https://app.vivvix.com/360/KMI/IntelliDrive/ApplUI/Pages/CreativePages/CustomReportCreativeDetail.aspx?App=23&amp;ReportView=4&amp;Qid=1696098&amp;Row=549&amp;Col=1","No Title Assigned - #15269944082")</f>
        <v/>
      </c>
      <c r="B557" s="0" t="s">
        <v>539</v>
      </c>
      <c r="E557" s="0" t="s">
        <v>12</v>
      </c>
      <c r="F557" s="0" t="s">
        <v>12</v>
      </c>
      <c r="G557" s="0" t="s">
        <v>204</v>
      </c>
      <c r="I557" s="5">
        <v>2628.189200</v>
      </c>
      <c r="J557" s="5">
        <v>1.000000</v>
      </c>
    </row>
    <row r="558" spans="1:11">
      <c r="A558" s="22" t="str">
        <f>HYPERLINK("https://app.vivvix.com/360/KMI/IntelliDrive/ApplUI/Pages/CreativePages/CustomReportCreativeDetail.aspx?App=23&amp;ReportView=4&amp;Qid=1696098&amp;Row=550&amp;Col=1","No Title Assigned - #15269946348")</f>
        <v/>
      </c>
      <c r="B558" s="0" t="s">
        <v>540</v>
      </c>
      <c r="E558" s="0" t="s">
        <v>12</v>
      </c>
      <c r="F558" s="0" t="s">
        <v>12</v>
      </c>
      <c r="G558" s="0" t="s">
        <v>204</v>
      </c>
      <c r="I558" s="5">
        <v>932.346700</v>
      </c>
      <c r="J558" s="5">
        <v>1.000000</v>
      </c>
    </row>
    <row r="559" spans="1:11">
      <c r="A559" s="22" t="str">
        <f>HYPERLINK("https://app.vivvix.com/360/KMI/IntelliDrive/ApplUI/Pages/CreativePages/CustomReportCreativeDetail.aspx?App=23&amp;ReportView=4&amp;Qid=1696098&amp;Row=551&amp;Col=1","No Title Assigned - #15269948183")</f>
        <v/>
      </c>
      <c r="B559" s="0" t="s">
        <v>541</v>
      </c>
      <c r="E559" s="0" t="s">
        <v>12</v>
      </c>
      <c r="F559" s="0" t="s">
        <v>12</v>
      </c>
      <c r="G559" s="0" t="s">
        <v>204</v>
      </c>
      <c r="I559" s="5">
        <v>908.701100</v>
      </c>
      <c r="J559" s="5">
        <v>1.000000</v>
      </c>
    </row>
    <row r="560" spans="1:11">
      <c r="A560" s="22" t="str">
        <f>HYPERLINK("https://app.vivvix.com/360/KMI/IntelliDrive/ApplUI/Pages/CreativePages/CustomReportCreativeDetail.aspx?App=23&amp;ReportView=4&amp;Qid=1696098&amp;Row=552&amp;Col=1","No Title Assigned - #15269948904")</f>
        <v/>
      </c>
      <c r="B560" s="0" t="s">
        <v>542</v>
      </c>
      <c r="E560" s="0" t="s">
        <v>12</v>
      </c>
      <c r="F560" s="0" t="s">
        <v>12</v>
      </c>
      <c r="G560" s="0" t="s">
        <v>204</v>
      </c>
      <c r="I560" s="5">
        <v>706.063900</v>
      </c>
      <c r="J560" s="5">
        <v>1.000000</v>
      </c>
    </row>
    <row r="561" spans="1:11">
      <c r="A561" s="22" t="str">
        <f>HYPERLINK("https://app.vivvix.com/360/KMI/IntelliDrive/ApplUI/Pages/CreativePages/CustomReportCreativeDetail.aspx?App=23&amp;ReportView=4&amp;Qid=1696098&amp;Row=553&amp;Col=1","No Title Assigned - #15269954888")</f>
        <v/>
      </c>
      <c r="B561" s="0" t="s">
        <v>543</v>
      </c>
      <c r="E561" s="0" t="s">
        <v>12</v>
      </c>
      <c r="F561" s="0" t="s">
        <v>12</v>
      </c>
      <c r="G561" s="0" t="s">
        <v>17</v>
      </c>
      <c r="I561" s="5">
        <v>4290.703000</v>
      </c>
      <c r="J561" s="5">
        <v>705.000000</v>
      </c>
    </row>
    <row r="562" spans="1:11">
      <c r="A562" s="22" t="str">
        <f>HYPERLINK("https://app.vivvix.com/360/KMI/IntelliDrive/ApplUI/Pages/CreativePages/CustomReportCreativeDetail.aspx?App=23&amp;ReportView=4&amp;Qid=1696098&amp;Row=554&amp;Col=1","No Title Assigned - #15269954902")</f>
        <v/>
      </c>
      <c r="B562" s="0" t="s">
        <v>544</v>
      </c>
      <c r="E562" s="0" t="s">
        <v>12</v>
      </c>
      <c r="F562" s="0" t="s">
        <v>12</v>
      </c>
      <c r="G562" s="0" t="s">
        <v>17</v>
      </c>
      <c r="I562" s="5">
        <v>3111.579000</v>
      </c>
      <c r="J562" s="5">
        <v>529.000000</v>
      </c>
    </row>
    <row r="563" spans="1:11">
      <c r="A563" s="22" t="str">
        <f>HYPERLINK("https://app.vivvix.com/360/KMI/IntelliDrive/ApplUI/Pages/CreativePages/CustomReportCreativeDetail.aspx?App=23&amp;ReportView=4&amp;Qid=1696098&amp;Row=555&amp;Col=1","No Title Assigned - #15269972279")</f>
        <v/>
      </c>
      <c r="B563" s="0" t="s">
        <v>545</v>
      </c>
      <c r="E563" s="0" t="s">
        <v>12</v>
      </c>
      <c r="F563" s="0" t="s">
        <v>12</v>
      </c>
      <c r="G563" s="0" t="s">
        <v>17</v>
      </c>
      <c r="I563" s="5">
        <v>11.192000</v>
      </c>
      <c r="J563" s="5">
        <v>2.000000</v>
      </c>
    </row>
    <row r="564" spans="1:11">
      <c r="A564" s="22" t="str">
        <f>HYPERLINK("https://app.vivvix.com/360/KMI/IntelliDrive/ApplUI/Pages/CreativePages/CustomReportCreativeDetail.aspx?App=23&amp;ReportView=4&amp;Qid=1696098&amp;Row=556&amp;Col=1","No Title Assigned - #15269999045")</f>
        <v/>
      </c>
      <c r="B564" s="0" t="s">
        <v>546</v>
      </c>
      <c r="E564" s="0" t="s">
        <v>12</v>
      </c>
      <c r="F564" s="0" t="s">
        <v>12</v>
      </c>
      <c r="G564" s="0" t="s">
        <v>17</v>
      </c>
      <c r="I564" s="5">
        <v>5.596000</v>
      </c>
      <c r="J564" s="5">
        <v>1.000000</v>
      </c>
    </row>
    <row r="565" spans="1:11">
      <c r="A565" s="22" t="str">
        <f>HYPERLINK("https://app.vivvix.com/360/KMI/IntelliDrive/ApplUI/Pages/CreativePages/CustomReportCreativeDetail.aspx?App=23&amp;ReportView=4&amp;Qid=1696098&amp;Row=557&amp;Col=1","No Title Assigned - #15270024498")</f>
        <v/>
      </c>
      <c r="B565" s="0" t="s">
        <v>547</v>
      </c>
      <c r="E565" s="0" t="s">
        <v>12</v>
      </c>
      <c r="F565" s="0" t="s">
        <v>12</v>
      </c>
      <c r="G565" s="0" t="s">
        <v>204</v>
      </c>
      <c r="I565" s="5">
        <v>2988.194600</v>
      </c>
      <c r="J565" s="5">
        <v>1.000000</v>
      </c>
    </row>
    <row r="566" spans="1:11">
      <c r="A566" s="22" t="str">
        <f>HYPERLINK("https://app.vivvix.com/360/KMI/IntelliDrive/ApplUI/Pages/CreativePages/CustomReportCreativeDetail.aspx?App=23&amp;ReportView=4&amp;Qid=1696098&amp;Row=558&amp;Col=1","No Title Assigned - #15270035235")</f>
        <v/>
      </c>
      <c r="B566" s="0" t="s">
        <v>548</v>
      </c>
      <c r="E566" s="0" t="s">
        <v>12</v>
      </c>
      <c r="F566" s="0" t="s">
        <v>12</v>
      </c>
      <c r="G566" s="0" t="s">
        <v>204</v>
      </c>
      <c r="I566" s="5">
        <v>439.530800</v>
      </c>
      <c r="J566" s="5">
        <v>1.000000</v>
      </c>
    </row>
    <row r="567" spans="1:11">
      <c r="A567" s="22" t="str">
        <f>HYPERLINK("https://app.vivvix.com/360/KMI/IntelliDrive/ApplUI/Pages/CreativePages/CustomReportCreativeDetail.aspx?App=23&amp;ReportView=4&amp;Qid=1696098&amp;Row=559&amp;Col=1","No Title Assigned - #15270046055")</f>
        <v/>
      </c>
      <c r="B567" s="0" t="s">
        <v>549</v>
      </c>
      <c r="E567" s="0" t="s">
        <v>12</v>
      </c>
      <c r="F567" s="0" t="s">
        <v>12</v>
      </c>
      <c r="G567" s="0" t="s">
        <v>204</v>
      </c>
      <c r="I567" s="5">
        <v>131.271000</v>
      </c>
      <c r="J567" s="5">
        <v>1.000000</v>
      </c>
    </row>
    <row r="568" spans="1:11">
      <c r="A568" s="22" t="str">
        <f>HYPERLINK("https://app.vivvix.com/360/KMI/IntelliDrive/ApplUI/Pages/CreativePages/CustomReportCreativeDetail.aspx?App=23&amp;ReportView=4&amp;Qid=1696098&amp;Row=560&amp;Col=1","No Title Assigned - #15270126925")</f>
        <v/>
      </c>
      <c r="B568" s="0" t="s">
        <v>550</v>
      </c>
      <c r="E568" s="0" t="s">
        <v>12</v>
      </c>
      <c r="F568" s="0" t="s">
        <v>12</v>
      </c>
      <c r="G568" s="0" t="s">
        <v>204</v>
      </c>
      <c r="I568" s="5">
        <v>295.872200</v>
      </c>
      <c r="J568" s="5">
        <v>2.000000</v>
      </c>
    </row>
    <row r="569" spans="1:11">
      <c r="A569" s="22" t="str">
        <f>HYPERLINK("https://app.vivvix.com/360/KMI/IntelliDrive/ApplUI/Pages/CreativePages/CustomReportCreativeDetail.aspx?App=23&amp;ReportView=4&amp;Qid=1696098&amp;Row=561&amp;Col=1","No Title Assigned - #15270127000")</f>
        <v/>
      </c>
      <c r="B569" s="0" t="s">
        <v>551</v>
      </c>
      <c r="E569" s="0" t="s">
        <v>12</v>
      </c>
      <c r="F569" s="0" t="s">
        <v>12</v>
      </c>
      <c r="G569" s="0" t="s">
        <v>204</v>
      </c>
      <c r="I569" s="5">
        <v>147.936100</v>
      </c>
      <c r="J569" s="5">
        <v>1.000000</v>
      </c>
    </row>
    <row r="570" spans="1:11">
      <c r="A570" s="22" t="str">
        <f>HYPERLINK("https://app.vivvix.com/360/KMI/IntelliDrive/ApplUI/Pages/CreativePages/CustomReportCreativeDetail.aspx?App=23&amp;ReportView=4&amp;Qid=1696098&amp;Row=562&amp;Col=1","No Title Assigned - #15270189632")</f>
        <v/>
      </c>
      <c r="B570" s="0" t="s">
        <v>552</v>
      </c>
      <c r="E570" s="0" t="s">
        <v>12</v>
      </c>
      <c r="F570" s="0" t="s">
        <v>12</v>
      </c>
      <c r="G570" s="0" t="s">
        <v>204</v>
      </c>
      <c r="I570" s="5">
        <v>320.603800</v>
      </c>
      <c r="J570" s="5">
        <v>1.000000</v>
      </c>
    </row>
    <row r="571" spans="1:11">
      <c r="A571" s="22" t="str">
        <f>HYPERLINK("https://app.vivvix.com/360/KMI/IntelliDrive/ApplUI/Pages/CreativePages/CustomReportCreativeDetail.aspx?App=23&amp;ReportView=4&amp;Qid=1696098&amp;Row=563&amp;Col=1","No Title Assigned - #15270189679")</f>
        <v/>
      </c>
      <c r="B571" s="0" t="s">
        <v>553</v>
      </c>
      <c r="E571" s="0" t="s">
        <v>12</v>
      </c>
      <c r="F571" s="0" t="s">
        <v>12</v>
      </c>
      <c r="G571" s="0" t="s">
        <v>204</v>
      </c>
      <c r="I571" s="5">
        <v>320.603800</v>
      </c>
      <c r="J571" s="5">
        <v>1.000000</v>
      </c>
    </row>
    <row r="572" spans="1:11">
      <c r="A572" s="22" t="str">
        <f>HYPERLINK("https://app.vivvix.com/360/KMI/IntelliDrive/ApplUI/Pages/CreativePages/CustomReportCreativeDetail.aspx?App=23&amp;ReportView=4&amp;Qid=1696098&amp;Row=564&amp;Col=1","No Title Assigned - #15270202483")</f>
        <v/>
      </c>
      <c r="B572" s="0" t="s">
        <v>554</v>
      </c>
      <c r="E572" s="0" t="s">
        <v>12</v>
      </c>
      <c r="F572" s="0" t="s">
        <v>12</v>
      </c>
      <c r="G572" s="0" t="s">
        <v>204</v>
      </c>
      <c r="I572" s="5">
        <v>238.466200</v>
      </c>
      <c r="J572" s="5">
        <v>2.000000</v>
      </c>
    </row>
    <row r="573" spans="1:11">
      <c r="A573" s="22" t="str">
        <f>HYPERLINK("https://app.vivvix.com/360/KMI/IntelliDrive/ApplUI/Pages/CreativePages/CustomReportCreativeDetail.aspx?App=23&amp;ReportView=4&amp;Qid=1696098&amp;Row=565&amp;Col=1","No Title Assigned - #15270203098")</f>
        <v/>
      </c>
      <c r="B573" s="0" t="s">
        <v>555</v>
      </c>
      <c r="E573" s="0" t="s">
        <v>12</v>
      </c>
      <c r="F573" s="0" t="s">
        <v>12</v>
      </c>
      <c r="G573" s="0" t="s">
        <v>204</v>
      </c>
      <c r="I573" s="5">
        <v>1963.677900</v>
      </c>
      <c r="J573" s="5">
        <v>3.000000</v>
      </c>
    </row>
    <row r="574" spans="1:11">
      <c r="A574" s="22" t="str">
        <f>HYPERLINK("https://app.vivvix.com/360/KMI/IntelliDrive/ApplUI/Pages/CreativePages/CustomReportCreativeDetail.aspx?App=23&amp;ReportView=4&amp;Qid=1696098&amp;Row=566&amp;Col=1","No Title Assigned - #15270211431")</f>
        <v/>
      </c>
      <c r="B574" s="0" t="s">
        <v>556</v>
      </c>
      <c r="E574" s="0" t="s">
        <v>12</v>
      </c>
      <c r="F574" s="0" t="s">
        <v>12</v>
      </c>
      <c r="G574" s="0" t="s">
        <v>17</v>
      </c>
      <c r="I574" s="5">
        <v>131.238000</v>
      </c>
      <c r="J574" s="5">
        <v>22.000000</v>
      </c>
    </row>
    <row r="575" spans="1:11">
      <c r="A575" s="22" t="str">
        <f>HYPERLINK("https://app.vivvix.com/360/KMI/IntelliDrive/ApplUI/Pages/CreativePages/CustomReportCreativeDetail.aspx?App=23&amp;ReportView=4&amp;Qid=1696098&amp;Row=567&amp;Col=1","No Title Assigned - #15270214097")</f>
        <v/>
      </c>
      <c r="B575" s="0" t="s">
        <v>557</v>
      </c>
      <c r="E575" s="0" t="s">
        <v>12</v>
      </c>
      <c r="F575" s="0" t="s">
        <v>12</v>
      </c>
      <c r="G575" s="0" t="s">
        <v>245</v>
      </c>
      <c r="I575" s="5">
        <v>4468.068400</v>
      </c>
      <c r="J575" s="5">
        <v>1.000000</v>
      </c>
    </row>
    <row r="576" spans="1:11">
      <c r="A576" s="22" t="str">
        <f>HYPERLINK("https://app.vivvix.com/360/KMI/IntelliDrive/ApplUI/Pages/CreativePages/CustomReportCreativeDetail.aspx?App=23&amp;ReportView=4&amp;Qid=1696098&amp;Row=568&amp;Col=1","No Title Assigned - #15270223073")</f>
        <v/>
      </c>
      <c r="B576" s="0" t="s">
        <v>558</v>
      </c>
      <c r="E576" s="0" t="s">
        <v>12</v>
      </c>
      <c r="F576" s="0" t="s">
        <v>12</v>
      </c>
      <c r="G576" s="0" t="s">
        <v>17</v>
      </c>
      <c r="I576" s="5">
        <v>5.596000</v>
      </c>
      <c r="J576" s="5">
        <v>1.000000</v>
      </c>
    </row>
    <row r="577" spans="1:11">
      <c r="A577" s="22" t="str">
        <f>HYPERLINK("https://app.vivvix.com/360/KMI/IntelliDrive/ApplUI/Pages/CreativePages/CustomReportCreativeDetail.aspx?App=23&amp;ReportView=4&amp;Qid=1696098&amp;Row=569&amp;Col=1","No Title Assigned - #15270223477")</f>
        <v/>
      </c>
      <c r="B577" s="0" t="s">
        <v>559</v>
      </c>
      <c r="E577" s="0" t="s">
        <v>12</v>
      </c>
      <c r="F577" s="0" t="s">
        <v>12</v>
      </c>
      <c r="G577" s="0" t="s">
        <v>204</v>
      </c>
      <c r="I577" s="5">
        <v>283.876400</v>
      </c>
      <c r="J577" s="5">
        <v>1.000000</v>
      </c>
    </row>
    <row r="578" spans="1:11">
      <c r="A578" s="22" t="str">
        <f>HYPERLINK("https://app.vivvix.com/360/KMI/IntelliDrive/ApplUI/Pages/CreativePages/CustomReportCreativeDetail.aspx?App=23&amp;ReportView=4&amp;Qid=1696098&amp;Row=570&amp;Col=1","No Title Assigned - #15270293418")</f>
        <v/>
      </c>
      <c r="B578" s="0" t="s">
        <v>560</v>
      </c>
      <c r="E578" s="0" t="s">
        <v>12</v>
      </c>
      <c r="F578" s="0" t="s">
        <v>12</v>
      </c>
      <c r="G578" s="0" t="s">
        <v>204</v>
      </c>
      <c r="I578" s="5">
        <v>813.886800</v>
      </c>
      <c r="J578" s="5">
        <v>1.000000</v>
      </c>
    </row>
    <row r="579" spans="1:11">
      <c r="A579" s="22" t="str">
        <f>HYPERLINK("https://app.vivvix.com/360/KMI/IntelliDrive/ApplUI/Pages/CreativePages/CustomReportCreativeDetail.aspx?App=23&amp;ReportView=4&amp;Qid=1696098&amp;Row=571&amp;Col=1","No Title Assigned - #15270293866")</f>
        <v/>
      </c>
      <c r="B579" s="0" t="s">
        <v>561</v>
      </c>
      <c r="E579" s="0" t="s">
        <v>12</v>
      </c>
      <c r="F579" s="0" t="s">
        <v>12</v>
      </c>
      <c r="G579" s="0" t="s">
        <v>204</v>
      </c>
      <c r="I579" s="5">
        <v>1138.259200</v>
      </c>
      <c r="J579" s="5">
        <v>1.000000</v>
      </c>
    </row>
    <row r="580" spans="1:11">
      <c r="A580" s="22" t="str">
        <f>HYPERLINK("https://app.vivvix.com/360/KMI/IntelliDrive/ApplUI/Pages/CreativePages/CustomReportCreativeDetail.aspx?App=23&amp;ReportView=4&amp;Qid=1696098&amp;Row=572&amp;Col=1","No Title Assigned - #15270328702")</f>
        <v/>
      </c>
      <c r="B580" s="0" t="s">
        <v>562</v>
      </c>
      <c r="E580" s="0" t="s">
        <v>12</v>
      </c>
      <c r="F580" s="0" t="s">
        <v>12</v>
      </c>
      <c r="G580" s="0" t="s">
        <v>204</v>
      </c>
      <c r="I580" s="5">
        <v>16480.371000</v>
      </c>
      <c r="J580" s="5">
        <v>5.000000</v>
      </c>
    </row>
    <row r="581" spans="1:11">
      <c r="A581" s="22" t="str">
        <f>HYPERLINK("https://app.vivvix.com/360/KMI/IntelliDrive/ApplUI/Pages/CreativePages/CustomReportCreativeDetail.aspx?App=23&amp;ReportView=4&amp;Qid=1696098&amp;Row=573&amp;Col=1","No Title Assigned - #15270359310")</f>
        <v/>
      </c>
      <c r="B581" s="0" t="s">
        <v>563</v>
      </c>
      <c r="E581" s="0" t="s">
        <v>12</v>
      </c>
      <c r="F581" s="0" t="s">
        <v>12</v>
      </c>
      <c r="G581" s="0" t="s">
        <v>204</v>
      </c>
      <c r="I581" s="5">
        <v>119.233100</v>
      </c>
      <c r="J581" s="5">
        <v>1.000000</v>
      </c>
    </row>
    <row r="582" spans="1:11">
      <c r="A582" s="22" t="str">
        <f>HYPERLINK("https://app.vivvix.com/360/KMI/IntelliDrive/ApplUI/Pages/CreativePages/CustomReportCreativeDetail.aspx?App=23&amp;ReportView=4&amp;Qid=1696098&amp;Row=574&amp;Col=1","No Title Assigned - #15270359311")</f>
        <v/>
      </c>
      <c r="B582" s="0" t="s">
        <v>564</v>
      </c>
      <c r="E582" s="0" t="s">
        <v>12</v>
      </c>
      <c r="F582" s="0" t="s">
        <v>12</v>
      </c>
      <c r="G582" s="0" t="s">
        <v>204</v>
      </c>
      <c r="I582" s="5">
        <v>119.233100</v>
      </c>
      <c r="J582" s="5">
        <v>1.000000</v>
      </c>
    </row>
    <row r="583" spans="1:11">
      <c r="A583" s="22" t="str">
        <f>HYPERLINK("https://app.vivvix.com/360/KMI/IntelliDrive/ApplUI/Pages/CreativePages/CustomReportCreativeDetail.aspx?App=23&amp;ReportView=4&amp;Qid=1696098&amp;Row=575&amp;Col=1","No Title Assigned - #15270363610")</f>
        <v/>
      </c>
      <c r="B583" s="0" t="s">
        <v>565</v>
      </c>
      <c r="E583" s="0" t="s">
        <v>12</v>
      </c>
      <c r="F583" s="0" t="s">
        <v>12</v>
      </c>
      <c r="G583" s="0" t="s">
        <v>204</v>
      </c>
      <c r="I583" s="5">
        <v>801.270000</v>
      </c>
      <c r="J583" s="5">
        <v>1.000000</v>
      </c>
    </row>
    <row r="584" spans="1:11">
      <c r="A584" s="22" t="str">
        <f>HYPERLINK("https://app.vivvix.com/360/KMI/IntelliDrive/ApplUI/Pages/CreativePages/CustomReportCreativeDetail.aspx?App=23&amp;ReportView=4&amp;Qid=1696098&amp;Row=576&amp;Col=1","No Title Assigned - #15270370942")</f>
        <v/>
      </c>
      <c r="B584" s="0" t="s">
        <v>566</v>
      </c>
      <c r="E584" s="0" t="s">
        <v>12</v>
      </c>
      <c r="F584" s="0" t="s">
        <v>12</v>
      </c>
      <c r="G584" s="0" t="s">
        <v>204</v>
      </c>
      <c r="I584" s="5">
        <v>15491.184600</v>
      </c>
      <c r="J584" s="5">
        <v>1.000000</v>
      </c>
    </row>
    <row r="585" spans="1:11">
      <c r="A585" s="22" t="str">
        <f>HYPERLINK("https://app.vivvix.com/360/KMI/IntelliDrive/ApplUI/Pages/CreativePages/CustomReportCreativeDetail.aspx?App=23&amp;ReportView=4&amp;Qid=1696098&amp;Row=577&amp;Col=1","No Title Assigned - #15270449201")</f>
        <v/>
      </c>
      <c r="B585" s="0" t="s">
        <v>567</v>
      </c>
      <c r="E585" s="0" t="s">
        <v>12</v>
      </c>
      <c r="F585" s="0" t="s">
        <v>12</v>
      </c>
      <c r="G585" s="0" t="s">
        <v>204</v>
      </c>
      <c r="I585" s="5">
        <v>139.443600</v>
      </c>
      <c r="J585" s="5">
        <v>1.000000</v>
      </c>
    </row>
    <row r="586" spans="1:11">
      <c r="A586" s="22" t="str">
        <f>HYPERLINK("https://app.vivvix.com/360/KMI/IntelliDrive/ApplUI/Pages/CreativePages/CustomReportCreativeDetail.aspx?App=23&amp;ReportView=4&amp;Qid=1696098&amp;Row=578&amp;Col=1","No Title Assigned - #15270458447")</f>
        <v/>
      </c>
      <c r="B586" s="0" t="s">
        <v>568</v>
      </c>
      <c r="E586" s="0" t="s">
        <v>12</v>
      </c>
      <c r="F586" s="0" t="s">
        <v>12</v>
      </c>
      <c r="G586" s="0" t="s">
        <v>204</v>
      </c>
      <c r="I586" s="5">
        <v>278.887200</v>
      </c>
      <c r="J586" s="5">
        <v>2.000000</v>
      </c>
    </row>
    <row r="587" spans="1:11">
      <c r="A587" s="22" t="str">
        <f>HYPERLINK("https://app.vivvix.com/360/KMI/IntelliDrive/ApplUI/Pages/CreativePages/CustomReportCreativeDetail.aspx?App=23&amp;ReportView=4&amp;Qid=1696098&amp;Row=579&amp;Col=1","No Title Assigned - #15270463429")</f>
        <v/>
      </c>
      <c r="B587" s="0" t="s">
        <v>569</v>
      </c>
      <c r="E587" s="0" t="s">
        <v>12</v>
      </c>
      <c r="F587" s="0" t="s">
        <v>12</v>
      </c>
      <c r="G587" s="0" t="s">
        <v>204</v>
      </c>
      <c r="I587" s="5">
        <v>223.779900</v>
      </c>
      <c r="J587" s="5">
        <v>1.000000</v>
      </c>
    </row>
    <row r="588" spans="1:11">
      <c r="A588" s="22" t="str">
        <f>HYPERLINK("https://app.vivvix.com/360/KMI/IntelliDrive/ApplUI/Pages/CreativePages/CustomReportCreativeDetail.aspx?App=23&amp;ReportView=4&amp;Qid=1696098&amp;Row=580&amp;Col=1","No Title Assigned - #15270503863")</f>
        <v/>
      </c>
      <c r="B588" s="0" t="s">
        <v>570</v>
      </c>
      <c r="E588" s="0" t="s">
        <v>12</v>
      </c>
      <c r="F588" s="0" t="s">
        <v>12</v>
      </c>
      <c r="G588" s="0" t="s">
        <v>204</v>
      </c>
      <c r="I588" s="5">
        <v>679.864800</v>
      </c>
      <c r="J588" s="5">
        <v>6.000000</v>
      </c>
    </row>
    <row r="589" spans="1:11">
      <c r="A589" s="22" t="str">
        <f>HYPERLINK("https://app.vivvix.com/360/KMI/IntelliDrive/ApplUI/Pages/CreativePages/CustomReportCreativeDetail.aspx?App=23&amp;ReportView=4&amp;Qid=1696098&amp;Row=581&amp;Col=1","No Title Assigned - #15270523400")</f>
        <v/>
      </c>
      <c r="B589" s="0" t="s">
        <v>571</v>
      </c>
      <c r="E589" s="0" t="s">
        <v>12</v>
      </c>
      <c r="F589" s="0" t="s">
        <v>12</v>
      </c>
      <c r="G589" s="0" t="s">
        <v>204</v>
      </c>
      <c r="I589" s="5">
        <v>3988.532000</v>
      </c>
      <c r="J589" s="5">
        <v>1.000000</v>
      </c>
    </row>
    <row r="590" spans="1:11">
      <c r="A590" s="22" t="str">
        <f>HYPERLINK("https://app.vivvix.com/360/KMI/IntelliDrive/ApplUI/Pages/CreativePages/CustomReportCreativeDetail.aspx?App=23&amp;ReportView=4&amp;Qid=1696098&amp;Row=582&amp;Col=1","No Title Assigned - #15270523805")</f>
        <v/>
      </c>
      <c r="B590" s="0" t="s">
        <v>572</v>
      </c>
      <c r="E590" s="0" t="s">
        <v>12</v>
      </c>
      <c r="F590" s="0" t="s">
        <v>12</v>
      </c>
      <c r="G590" s="0" t="s">
        <v>204</v>
      </c>
      <c r="I590" s="5">
        <v>416.117700</v>
      </c>
      <c r="J590" s="5">
        <v>1.000000</v>
      </c>
    </row>
    <row r="591" spans="1:11">
      <c r="A591" s="22" t="str">
        <f>HYPERLINK("https://app.vivvix.com/360/KMI/IntelliDrive/ApplUI/Pages/CreativePages/CustomReportCreativeDetail.aspx?App=23&amp;ReportView=4&amp;Qid=1696098&amp;Row=583&amp;Col=1","No Title Assigned - #15270601450")</f>
        <v/>
      </c>
      <c r="B591" s="0" t="s">
        <v>573</v>
      </c>
      <c r="E591" s="0" t="s">
        <v>12</v>
      </c>
      <c r="F591" s="0" t="s">
        <v>12</v>
      </c>
      <c r="G591" s="0" t="s">
        <v>204</v>
      </c>
      <c r="I591" s="5">
        <v>7442.993700</v>
      </c>
      <c r="J591" s="5">
        <v>1.000000</v>
      </c>
    </row>
    <row r="592" spans="1:11">
      <c r="A592" s="22" t="str">
        <f>HYPERLINK("https://app.vivvix.com/360/KMI/IntelliDrive/ApplUI/Pages/CreativePages/CustomReportCreativeDetail.aspx?App=23&amp;ReportView=4&amp;Qid=1696098&amp;Row=584&amp;Col=1","No Title Assigned - #15270611290")</f>
        <v/>
      </c>
      <c r="B592" s="0" t="s">
        <v>574</v>
      </c>
      <c r="E592" s="0" t="s">
        <v>12</v>
      </c>
      <c r="F592" s="0" t="s">
        <v>12</v>
      </c>
      <c r="G592" s="0" t="s">
        <v>204</v>
      </c>
      <c r="I592" s="5">
        <v>870.264900</v>
      </c>
      <c r="J592" s="5">
        <v>1.000000</v>
      </c>
    </row>
    <row r="593" spans="1:11">
      <c r="A593" s="22" t="str">
        <f>HYPERLINK("https://app.vivvix.com/360/KMI/IntelliDrive/ApplUI/Pages/CreativePages/CustomReportCreativeDetail.aspx?App=23&amp;ReportView=4&amp;Qid=1696098&amp;Row=585&amp;Col=1","No Title Assigned - #15270612923")</f>
        <v/>
      </c>
      <c r="B593" s="0" t="s">
        <v>575</v>
      </c>
      <c r="E593" s="0" t="s">
        <v>12</v>
      </c>
      <c r="F593" s="0" t="s">
        <v>12</v>
      </c>
      <c r="G593" s="0" t="s">
        <v>204</v>
      </c>
      <c r="I593" s="5">
        <v>147.936100</v>
      </c>
      <c r="J593" s="5">
        <v>1.000000</v>
      </c>
    </row>
    <row r="594" spans="1:11">
      <c r="A594" s="22" t="str">
        <f>HYPERLINK("https://app.vivvix.com/360/KMI/IntelliDrive/ApplUI/Pages/CreativePages/CustomReportCreativeDetail.aspx?App=23&amp;ReportView=4&amp;Qid=1696098&amp;Row=586&amp;Col=1","No Title Assigned - #15270626784")</f>
        <v/>
      </c>
      <c r="B594" s="0" t="s">
        <v>576</v>
      </c>
      <c r="E594" s="0" t="s">
        <v>12</v>
      </c>
      <c r="F594" s="0" t="s">
        <v>12</v>
      </c>
      <c r="G594" s="0" t="s">
        <v>204</v>
      </c>
      <c r="I594" s="5">
        <v>813.886800</v>
      </c>
      <c r="J594" s="5">
        <v>1.000000</v>
      </c>
    </row>
    <row r="595" spans="1:11">
      <c r="A595" s="22" t="str">
        <f>HYPERLINK("https://app.vivvix.com/360/KMI/IntelliDrive/ApplUI/Pages/CreativePages/CustomReportCreativeDetail.aspx?App=23&amp;ReportView=4&amp;Qid=1696098&amp;Row=587&amp;Col=1","No Title Assigned - #15270710133")</f>
        <v/>
      </c>
      <c r="B595" s="0" t="s">
        <v>577</v>
      </c>
      <c r="E595" s="0" t="s">
        <v>12</v>
      </c>
      <c r="F595" s="0" t="s">
        <v>12</v>
      </c>
      <c r="G595" s="0" t="s">
        <v>204</v>
      </c>
      <c r="I595" s="5">
        <v>813.886800</v>
      </c>
      <c r="J595" s="5">
        <v>1.000000</v>
      </c>
    </row>
    <row r="596" spans="1:11">
      <c r="A596" s="22" t="str">
        <f>HYPERLINK("https://app.vivvix.com/360/KMI/IntelliDrive/ApplUI/Pages/CreativePages/CustomReportCreativeDetail.aspx?App=23&amp;ReportView=4&amp;Qid=1696098&amp;Row=588&amp;Col=1","No Title Assigned - #15270719679")</f>
        <v/>
      </c>
      <c r="B596" s="0" t="s">
        <v>578</v>
      </c>
      <c r="E596" s="0" t="s">
        <v>12</v>
      </c>
      <c r="F596" s="0" t="s">
        <v>12</v>
      </c>
      <c r="G596" s="0" t="s">
        <v>204</v>
      </c>
      <c r="I596" s="5">
        <v>1441.802000</v>
      </c>
      <c r="J596" s="5">
        <v>1.000000</v>
      </c>
    </row>
    <row r="597" spans="1:11">
      <c r="A597" s="22" t="str">
        <f>HYPERLINK("https://app.vivvix.com/360/KMI/IntelliDrive/ApplUI/Pages/CreativePages/CustomReportCreativeDetail.aspx?App=23&amp;ReportView=4&amp;Qid=1696098&amp;Row=589&amp;Col=1","No Title Assigned - #15270752765")</f>
        <v/>
      </c>
      <c r="B597" s="0" t="s">
        <v>579</v>
      </c>
      <c r="E597" s="0" t="s">
        <v>12</v>
      </c>
      <c r="F597" s="0" t="s">
        <v>12</v>
      </c>
      <c r="G597" s="0" t="s">
        <v>204</v>
      </c>
      <c r="I597" s="5">
        <v>260.584200</v>
      </c>
      <c r="J597" s="5">
        <v>1.000000</v>
      </c>
    </row>
    <row r="598" spans="1:11">
      <c r="A598" s="22" t="str">
        <f>HYPERLINK("https://app.vivvix.com/360/KMI/IntelliDrive/ApplUI/Pages/CreativePages/CustomReportCreativeDetail.aspx?App=23&amp;ReportView=4&amp;Qid=1696098&amp;Row=590&amp;Col=1","No Title Assigned - #15270783284")</f>
        <v/>
      </c>
      <c r="B598" s="0" t="s">
        <v>580</v>
      </c>
      <c r="E598" s="0" t="s">
        <v>12</v>
      </c>
      <c r="F598" s="0" t="s">
        <v>12</v>
      </c>
      <c r="G598" s="0" t="s">
        <v>204</v>
      </c>
      <c r="I598" s="5">
        <v>4314.701600</v>
      </c>
      <c r="J598" s="5">
        <v>2.000000</v>
      </c>
    </row>
    <row r="599" spans="1:11">
      <c r="A599" s="22" t="str">
        <f>HYPERLINK("https://app.vivvix.com/360/KMI/IntelliDrive/ApplUI/Pages/CreativePages/CustomReportCreativeDetail.aspx?App=23&amp;ReportView=4&amp;Qid=1696098&amp;Row=591&amp;Col=1","No Title Assigned - #15270783428")</f>
        <v/>
      </c>
      <c r="B599" s="0" t="s">
        <v>581</v>
      </c>
      <c r="E599" s="0" t="s">
        <v>12</v>
      </c>
      <c r="F599" s="0" t="s">
        <v>12</v>
      </c>
      <c r="G599" s="0" t="s">
        <v>204</v>
      </c>
      <c r="I599" s="5">
        <v>5625.792500</v>
      </c>
      <c r="J599" s="5">
        <v>1.000000</v>
      </c>
    </row>
    <row r="600" spans="1:11">
      <c r="A600" s="22" t="str">
        <f>HYPERLINK("https://app.vivvix.com/360/KMI/IntelliDrive/ApplUI/Pages/CreativePages/CustomReportCreativeDetail.aspx?App=23&amp;ReportView=4&amp;Qid=1696098&amp;Row=592&amp;Col=1","No Title Assigned - #15270790020")</f>
        <v/>
      </c>
      <c r="B600" s="0" t="s">
        <v>582</v>
      </c>
      <c r="E600" s="0" t="s">
        <v>12</v>
      </c>
      <c r="F600" s="0" t="s">
        <v>12</v>
      </c>
      <c r="G600" s="0" t="s">
        <v>204</v>
      </c>
      <c r="I600" s="5">
        <v>813.886800</v>
      </c>
      <c r="J600" s="5">
        <v>1.000000</v>
      </c>
    </row>
    <row r="601" spans="1:11">
      <c r="A601" s="22" t="str">
        <f>HYPERLINK("https://app.vivvix.com/360/KMI/IntelliDrive/ApplUI/Pages/CreativePages/CustomReportCreativeDetail.aspx?App=23&amp;ReportView=4&amp;Qid=1696098&amp;Row=593&amp;Col=1","No Title Assigned - #15270791986")</f>
        <v/>
      </c>
      <c r="B601" s="0" t="s">
        <v>583</v>
      </c>
      <c r="E601" s="0" t="s">
        <v>12</v>
      </c>
      <c r="F601" s="0" t="s">
        <v>12</v>
      </c>
      <c r="G601" s="0" t="s">
        <v>204</v>
      </c>
      <c r="I601" s="5">
        <v>574.219300</v>
      </c>
      <c r="J601" s="5">
        <v>1.000000</v>
      </c>
    </row>
    <row r="602" spans="1:11">
      <c r="A602" s="22" t="str">
        <f>HYPERLINK("https://app.vivvix.com/360/KMI/IntelliDrive/ApplUI/Pages/CreativePages/CustomReportCreativeDetail.aspx?App=23&amp;ReportView=4&amp;Qid=1696098&amp;Row=594&amp;Col=1","No Title Assigned - #15270792025")</f>
        <v/>
      </c>
      <c r="B602" s="0" t="s">
        <v>584</v>
      </c>
      <c r="E602" s="0" t="s">
        <v>12</v>
      </c>
      <c r="F602" s="0" t="s">
        <v>12</v>
      </c>
      <c r="G602" s="0" t="s">
        <v>204</v>
      </c>
      <c r="I602" s="5">
        <v>574.219300</v>
      </c>
      <c r="J602" s="5">
        <v>1.000000</v>
      </c>
    </row>
    <row r="603" spans="1:11">
      <c r="A603" s="22" t="str">
        <f>HYPERLINK("https://app.vivvix.com/360/KMI/IntelliDrive/ApplUI/Pages/CreativePages/CustomReportCreativeDetail.aspx?App=23&amp;ReportView=4&amp;Qid=1696098&amp;Row=595&amp;Col=1","No Title Assigned - #15270792026")</f>
        <v/>
      </c>
      <c r="B603" s="0" t="s">
        <v>585</v>
      </c>
      <c r="E603" s="0" t="s">
        <v>12</v>
      </c>
      <c r="F603" s="0" t="s">
        <v>12</v>
      </c>
      <c r="G603" s="0" t="s">
        <v>204</v>
      </c>
      <c r="I603" s="5">
        <v>574.219300</v>
      </c>
      <c r="J603" s="5">
        <v>1.000000</v>
      </c>
    </row>
    <row r="604" spans="1:11">
      <c r="A604" s="22" t="str">
        <f>HYPERLINK("https://app.vivvix.com/360/KMI/IntelliDrive/ApplUI/Pages/CreativePages/CustomReportCreativeDetail.aspx?App=23&amp;ReportView=4&amp;Qid=1696098&amp;Row=596&amp;Col=1","No Title Assigned - #15270792232")</f>
        <v/>
      </c>
      <c r="B604" s="0" t="s">
        <v>586</v>
      </c>
      <c r="E604" s="0" t="s">
        <v>12</v>
      </c>
      <c r="F604" s="0" t="s">
        <v>12</v>
      </c>
      <c r="G604" s="0" t="s">
        <v>204</v>
      </c>
      <c r="I604" s="5">
        <v>119.233100</v>
      </c>
      <c r="J604" s="5">
        <v>1.000000</v>
      </c>
    </row>
    <row r="605" spans="1:11">
      <c r="A605" s="22" t="str">
        <f>HYPERLINK("https://app.vivvix.com/360/KMI/IntelliDrive/ApplUI/Pages/CreativePages/CustomReportCreativeDetail.aspx?App=23&amp;ReportView=4&amp;Qid=1696098&amp;Row=597&amp;Col=1","No Title Assigned - #15270792927")</f>
        <v/>
      </c>
      <c r="B605" s="0" t="s">
        <v>587</v>
      </c>
      <c r="E605" s="0" t="s">
        <v>12</v>
      </c>
      <c r="F605" s="0" t="s">
        <v>12</v>
      </c>
      <c r="G605" s="0" t="s">
        <v>204</v>
      </c>
      <c r="I605" s="5">
        <v>753.522000</v>
      </c>
      <c r="J605" s="5">
        <v>2.000000</v>
      </c>
    </row>
    <row r="606" spans="1:11">
      <c r="A606" s="22" t="str">
        <f>HYPERLINK("https://app.vivvix.com/360/KMI/IntelliDrive/ApplUI/Pages/CreativePages/CustomReportCreativeDetail.aspx?App=23&amp;ReportView=4&amp;Qid=1696098&amp;Row=598&amp;Col=1","No Title Assigned - #15270803578")</f>
        <v/>
      </c>
      <c r="B606" s="0" t="s">
        <v>588</v>
      </c>
      <c r="E606" s="0" t="s">
        <v>12</v>
      </c>
      <c r="F606" s="0" t="s">
        <v>12</v>
      </c>
      <c r="G606" s="0" t="s">
        <v>204</v>
      </c>
      <c r="I606" s="5">
        <v>119.233100</v>
      </c>
      <c r="J606" s="5">
        <v>1.000000</v>
      </c>
    </row>
    <row r="607" spans="1:11">
      <c r="A607" s="22" t="str">
        <f>HYPERLINK("https://app.vivvix.com/360/KMI/IntelliDrive/ApplUI/Pages/CreativePages/CustomReportCreativeDetail.aspx?App=23&amp;ReportView=4&amp;Qid=1696098&amp;Row=599&amp;Col=1","No Title Assigned - #15270867466")</f>
        <v/>
      </c>
      <c r="B607" s="0" t="s">
        <v>589</v>
      </c>
      <c r="E607" s="0" t="s">
        <v>12</v>
      </c>
      <c r="F607" s="0" t="s">
        <v>12</v>
      </c>
      <c r="G607" s="0" t="s">
        <v>204</v>
      </c>
      <c r="I607" s="5">
        <v>644.568300</v>
      </c>
      <c r="J607" s="5">
        <v>1.000000</v>
      </c>
    </row>
    <row r="608" spans="1:11">
      <c r="A608" s="22" t="str">
        <f>HYPERLINK("https://app.vivvix.com/360/KMI/IntelliDrive/ApplUI/Pages/CreativePages/CustomReportCreativeDetail.aspx?App=23&amp;ReportView=4&amp;Qid=1696098&amp;Row=600&amp;Col=1","No Title Assigned - #15270884970")</f>
        <v/>
      </c>
      <c r="B608" s="0" t="s">
        <v>590</v>
      </c>
      <c r="E608" s="0" t="s">
        <v>12</v>
      </c>
      <c r="F608" s="0" t="s">
        <v>12</v>
      </c>
      <c r="G608" s="0" t="s">
        <v>204</v>
      </c>
      <c r="I608" s="5">
        <v>2114.645800</v>
      </c>
      <c r="J608" s="5">
        <v>1.000000</v>
      </c>
    </row>
    <row r="609" spans="1:11">
      <c r="A609" s="22" t="str">
        <f>HYPERLINK("https://app.vivvix.com/360/KMI/IntelliDrive/ApplUI/Pages/CreativePages/CustomReportCreativeDetail.aspx?App=23&amp;ReportView=4&amp;Qid=1696098&amp;Row=601&amp;Col=1","No Title Assigned - #15270888966")</f>
        <v/>
      </c>
      <c r="B609" s="0" t="s">
        <v>591</v>
      </c>
      <c r="E609" s="0" t="s">
        <v>12</v>
      </c>
      <c r="F609" s="0" t="s">
        <v>12</v>
      </c>
      <c r="G609" s="0" t="s">
        <v>204</v>
      </c>
      <c r="I609" s="5">
        <v>813.886800</v>
      </c>
      <c r="J609" s="5">
        <v>1.000000</v>
      </c>
    </row>
    <row r="610" spans="1:11">
      <c r="A610" s="22" t="str">
        <f>HYPERLINK("https://app.vivvix.com/360/KMI/IntelliDrive/ApplUI/Pages/CreativePages/CustomReportCreativeDetail.aspx?App=23&amp;ReportView=4&amp;Qid=1696098&amp;Row=602&amp;Col=1","No Title Assigned - #15270928460")</f>
        <v/>
      </c>
      <c r="B610" s="0" t="s">
        <v>592</v>
      </c>
      <c r="E610" s="0" t="s">
        <v>12</v>
      </c>
      <c r="F610" s="0" t="s">
        <v>12</v>
      </c>
      <c r="G610" s="0" t="s">
        <v>204</v>
      </c>
      <c r="I610" s="5">
        <v>2886.671600</v>
      </c>
      <c r="J610" s="5">
        <v>1.000000</v>
      </c>
    </row>
    <row r="611" spans="1:11">
      <c r="A611" s="22" t="str">
        <f>HYPERLINK("https://app.vivvix.com/360/KMI/IntelliDrive/ApplUI/Pages/CreativePages/CustomReportCreativeDetail.aspx?App=23&amp;ReportView=4&amp;Qid=1696098&amp;Row=603&amp;Col=1","No Title Assigned - #15270928531")</f>
        <v/>
      </c>
      <c r="B611" s="0" t="s">
        <v>593</v>
      </c>
      <c r="E611" s="0" t="s">
        <v>12</v>
      </c>
      <c r="F611" s="0" t="s">
        <v>12</v>
      </c>
      <c r="G611" s="0" t="s">
        <v>204</v>
      </c>
      <c r="I611" s="5">
        <v>2886.671600</v>
      </c>
      <c r="J611" s="5">
        <v>1.000000</v>
      </c>
    </row>
    <row r="612" spans="1:11">
      <c r="A612" s="22" t="str">
        <f>HYPERLINK("https://app.vivvix.com/360/KMI/IntelliDrive/ApplUI/Pages/CreativePages/CustomReportCreativeDetail.aspx?App=23&amp;ReportView=4&amp;Qid=1696098&amp;Row=604&amp;Col=1","No Title Assigned - #15270947824")</f>
        <v/>
      </c>
      <c r="B612" s="0" t="s">
        <v>594</v>
      </c>
      <c r="E612" s="0" t="s">
        <v>12</v>
      </c>
      <c r="F612" s="0" t="s">
        <v>12</v>
      </c>
      <c r="G612" s="0" t="s">
        <v>204</v>
      </c>
      <c r="I612" s="5">
        <v>618.732800</v>
      </c>
      <c r="J612" s="5">
        <v>1.000000</v>
      </c>
    </row>
    <row r="613" spans="1:11">
      <c r="A613" s="22" t="str">
        <f>HYPERLINK("https://app.vivvix.com/360/KMI/IntelliDrive/ApplUI/Pages/CreativePages/CustomReportCreativeDetail.aspx?App=23&amp;ReportView=4&amp;Qid=1696098&amp;Row=605&amp;Col=1","No Title Assigned - #15270959041")</f>
        <v/>
      </c>
      <c r="B613" s="0" t="s">
        <v>595</v>
      </c>
      <c r="E613" s="0" t="s">
        <v>12</v>
      </c>
      <c r="F613" s="0" t="s">
        <v>12</v>
      </c>
      <c r="G613" s="0" t="s">
        <v>204</v>
      </c>
      <c r="I613" s="5">
        <v>55490.113300</v>
      </c>
      <c r="J613" s="5">
        <v>1.000000</v>
      </c>
    </row>
    <row r="614" spans="1:11">
      <c r="A614" s="22" t="str">
        <f>HYPERLINK("https://app.vivvix.com/360/KMI/IntelliDrive/ApplUI/Pages/CreativePages/CustomReportCreativeDetail.aspx?App=23&amp;ReportView=4&amp;Qid=1696098&amp;Row=606&amp;Col=1","No Title Assigned - #15270973499")</f>
        <v/>
      </c>
      <c r="B614" s="0" t="s">
        <v>596</v>
      </c>
      <c r="E614" s="0" t="s">
        <v>12</v>
      </c>
      <c r="F614" s="0" t="s">
        <v>12</v>
      </c>
      <c r="G614" s="0" t="s">
        <v>204</v>
      </c>
      <c r="I614" s="5">
        <v>541.158000</v>
      </c>
      <c r="J614" s="5">
        <v>1.000000</v>
      </c>
    </row>
    <row r="615" spans="1:11">
      <c r="A615" s="22" t="str">
        <f>HYPERLINK("https://app.vivvix.com/360/KMI/IntelliDrive/ApplUI/Pages/CreativePages/CustomReportCreativeDetail.aspx?App=23&amp;ReportView=4&amp;Qid=1696098&amp;Row=607&amp;Col=1","No Title Assigned - #15270975222")</f>
        <v/>
      </c>
      <c r="B615" s="0" t="s">
        <v>597</v>
      </c>
      <c r="E615" s="0" t="s">
        <v>12</v>
      </c>
      <c r="F615" s="0" t="s">
        <v>12</v>
      </c>
      <c r="G615" s="0" t="s">
        <v>204</v>
      </c>
      <c r="I615" s="5">
        <v>562.524900</v>
      </c>
      <c r="J615" s="5">
        <v>1.000000</v>
      </c>
    </row>
    <row r="616" spans="1:11">
      <c r="A616" s="22" t="str">
        <f>HYPERLINK("https://app.vivvix.com/360/KMI/IntelliDrive/ApplUI/Pages/CreativePages/CustomReportCreativeDetail.aspx?App=23&amp;ReportView=4&amp;Qid=1696098&amp;Row=608&amp;Col=1","No Title Assigned - #15270998242")</f>
        <v/>
      </c>
      <c r="B616" s="0" t="s">
        <v>598</v>
      </c>
      <c r="E616" s="0" t="s">
        <v>12</v>
      </c>
      <c r="F616" s="0" t="s">
        <v>12</v>
      </c>
      <c r="G616" s="0" t="s">
        <v>204</v>
      </c>
      <c r="I616" s="5">
        <v>520.657700</v>
      </c>
      <c r="J616" s="5">
        <v>4.000000</v>
      </c>
    </row>
    <row r="617" spans="1:11">
      <c r="A617" s="22" t="str">
        <f>HYPERLINK("https://app.vivvix.com/360/KMI/IntelliDrive/ApplUI/Pages/CreativePages/CustomReportCreativeDetail.aspx?App=23&amp;ReportView=4&amp;Qid=1696098&amp;Row=609&amp;Col=1","No Title Assigned - #15271017044")</f>
        <v/>
      </c>
      <c r="B617" s="0" t="s">
        <v>599</v>
      </c>
      <c r="E617" s="0" t="s">
        <v>12</v>
      </c>
      <c r="F617" s="0" t="s">
        <v>12</v>
      </c>
      <c r="G617" s="0" t="s">
        <v>204</v>
      </c>
      <c r="I617" s="5">
        <v>1779.872400</v>
      </c>
      <c r="J617" s="5">
        <v>1.000000</v>
      </c>
    </row>
    <row r="618" spans="1:11">
      <c r="A618" s="22" t="str">
        <f>HYPERLINK("https://app.vivvix.com/360/KMI/IntelliDrive/ApplUI/Pages/CreativePages/CustomReportCreativeDetail.aspx?App=23&amp;ReportView=4&amp;Qid=1696098&amp;Row=610&amp;Col=1","No Title Assigned - #15271023989")</f>
        <v/>
      </c>
      <c r="B618" s="0" t="s">
        <v>600</v>
      </c>
      <c r="E618" s="0" t="s">
        <v>12</v>
      </c>
      <c r="F618" s="0" t="s">
        <v>12</v>
      </c>
      <c r="G618" s="0" t="s">
        <v>17</v>
      </c>
      <c r="I618" s="5">
        <v>5.307000</v>
      </c>
      <c r="J618" s="5">
        <v>1.000000</v>
      </c>
    </row>
    <row r="619" spans="1:11">
      <c r="A619" s="22" t="str">
        <f>HYPERLINK("https://app.vivvix.com/360/KMI/IntelliDrive/ApplUI/Pages/CreativePages/CustomReportCreativeDetail.aspx?App=23&amp;ReportView=4&amp;Qid=1696098&amp;Row=611&amp;Col=1","No Title Assigned - #15271031927")</f>
        <v/>
      </c>
      <c r="B619" s="0" t="s">
        <v>601</v>
      </c>
      <c r="E619" s="0" t="s">
        <v>12</v>
      </c>
      <c r="F619" s="0" t="s">
        <v>12</v>
      </c>
      <c r="G619" s="0" t="s">
        <v>204</v>
      </c>
      <c r="I619" s="5">
        <v>246.691400</v>
      </c>
      <c r="J619" s="5">
        <v>1.000000</v>
      </c>
    </row>
    <row r="620" spans="1:11">
      <c r="A620" s="22" t="str">
        <f>HYPERLINK("https://app.vivvix.com/360/KMI/IntelliDrive/ApplUI/Pages/CreativePages/CustomReportCreativeDetail.aspx?App=23&amp;ReportView=4&amp;Qid=1696098&amp;Row=612&amp;Col=1","No Title Assigned - #15271040912")</f>
        <v/>
      </c>
      <c r="B620" s="0" t="s">
        <v>602</v>
      </c>
      <c r="E620" s="0" t="s">
        <v>12</v>
      </c>
      <c r="F620" s="0" t="s">
        <v>12</v>
      </c>
      <c r="G620" s="0" t="s">
        <v>204</v>
      </c>
      <c r="I620" s="5">
        <v>3329.050300</v>
      </c>
      <c r="J620" s="5">
        <v>1.000000</v>
      </c>
    </row>
    <row r="621" spans="1:11">
      <c r="A621" s="22" t="str">
        <f>HYPERLINK("https://app.vivvix.com/360/KMI/IntelliDrive/ApplUI/Pages/CreativePages/CustomReportCreativeDetail.aspx?App=23&amp;ReportView=4&amp;Qid=1696098&amp;Row=613&amp;Col=1","No Title Assigned - #15271063293")</f>
        <v/>
      </c>
      <c r="B621" s="0" t="s">
        <v>603</v>
      </c>
      <c r="E621" s="0" t="s">
        <v>12</v>
      </c>
      <c r="F621" s="0" t="s">
        <v>12</v>
      </c>
      <c r="G621" s="0" t="s">
        <v>204</v>
      </c>
      <c r="I621" s="5">
        <v>571.975100</v>
      </c>
      <c r="J621" s="5">
        <v>1.000000</v>
      </c>
    </row>
    <row r="622" spans="1:11">
      <c r="A622" s="22" t="str">
        <f>HYPERLINK("https://app.vivvix.com/360/KMI/IntelliDrive/ApplUI/Pages/CreativePages/CustomReportCreativeDetail.aspx?App=23&amp;ReportView=4&amp;Qid=1696098&amp;Row=614&amp;Col=1","No Title Assigned - #15271063358")</f>
        <v/>
      </c>
      <c r="B622" s="0" t="s">
        <v>604</v>
      </c>
      <c r="E622" s="0" t="s">
        <v>12</v>
      </c>
      <c r="F622" s="0" t="s">
        <v>12</v>
      </c>
      <c r="G622" s="0" t="s">
        <v>204</v>
      </c>
      <c r="I622" s="5">
        <v>571.975100</v>
      </c>
      <c r="J622" s="5">
        <v>1.000000</v>
      </c>
    </row>
    <row r="623" spans="1:11">
      <c r="A623" s="22" t="str">
        <f>HYPERLINK("https://app.vivvix.com/360/KMI/IntelliDrive/ApplUI/Pages/CreativePages/CustomReportCreativeDetail.aspx?App=23&amp;ReportView=4&amp;Qid=1696098&amp;Row=615&amp;Col=1","No Title Assigned - #15271063418")</f>
        <v/>
      </c>
      <c r="B623" s="0" t="s">
        <v>605</v>
      </c>
      <c r="E623" s="0" t="s">
        <v>12</v>
      </c>
      <c r="F623" s="0" t="s">
        <v>12</v>
      </c>
      <c r="G623" s="0" t="s">
        <v>204</v>
      </c>
      <c r="I623" s="5">
        <v>1143.950200</v>
      </c>
      <c r="J623" s="5">
        <v>2.000000</v>
      </c>
    </row>
    <row r="624" spans="1:11">
      <c r="A624" s="22" t="str">
        <f>HYPERLINK("https://app.vivvix.com/360/KMI/IntelliDrive/ApplUI/Pages/CreativePages/CustomReportCreativeDetail.aspx?App=23&amp;ReportView=4&amp;Qid=1696098&amp;Row=616&amp;Col=1","No Title Assigned - #15271063549")</f>
        <v/>
      </c>
      <c r="B624" s="0" t="s">
        <v>606</v>
      </c>
      <c r="E624" s="0" t="s">
        <v>12</v>
      </c>
      <c r="F624" s="0" t="s">
        <v>12</v>
      </c>
      <c r="G624" s="0" t="s">
        <v>204</v>
      </c>
      <c r="I624" s="5">
        <v>571.975100</v>
      </c>
      <c r="J624" s="5">
        <v>1.000000</v>
      </c>
    </row>
    <row r="625" spans="1:11">
      <c r="A625" s="22" t="str">
        <f>HYPERLINK("https://app.vivvix.com/360/KMI/IntelliDrive/ApplUI/Pages/CreativePages/CustomReportCreativeDetail.aspx?App=23&amp;ReportView=4&amp;Qid=1696098&amp;Row=617&amp;Col=1","No Title Assigned - #15271093960")</f>
        <v/>
      </c>
      <c r="B625" s="0" t="s">
        <v>607</v>
      </c>
      <c r="E625" s="0" t="s">
        <v>12</v>
      </c>
      <c r="F625" s="0" t="s">
        <v>12</v>
      </c>
      <c r="G625" s="0" t="s">
        <v>204</v>
      </c>
      <c r="I625" s="5">
        <v>518.816300</v>
      </c>
      <c r="J625" s="5">
        <v>1.000000</v>
      </c>
    </row>
    <row r="626" spans="1:11">
      <c r="A626" s="22" t="str">
        <f>HYPERLINK("https://app.vivvix.com/360/KMI/IntelliDrive/ApplUI/Pages/CreativePages/CustomReportCreativeDetail.aspx?App=23&amp;ReportView=4&amp;Qid=1696098&amp;Row=618&amp;Col=1","No Title Assigned - #15271098446")</f>
        <v/>
      </c>
      <c r="B626" s="0" t="s">
        <v>608</v>
      </c>
      <c r="E626" s="0" t="s">
        <v>12</v>
      </c>
      <c r="F626" s="0" t="s">
        <v>12</v>
      </c>
      <c r="G626" s="0" t="s">
        <v>17</v>
      </c>
      <c r="I626" s="5">
        <v>5.307000</v>
      </c>
      <c r="J626" s="5">
        <v>1.000000</v>
      </c>
    </row>
    <row r="627" spans="1:11">
      <c r="A627" s="22" t="str">
        <f>HYPERLINK("https://app.vivvix.com/360/KMI/IntelliDrive/ApplUI/Pages/CreativePages/CustomReportCreativeDetail.aspx?App=23&amp;ReportView=4&amp;Qid=1696098&amp;Row=619&amp;Col=1","No Title Assigned - #15271106369")</f>
        <v/>
      </c>
      <c r="B627" s="0" t="s">
        <v>609</v>
      </c>
      <c r="E627" s="0" t="s">
        <v>12</v>
      </c>
      <c r="F627" s="0" t="s">
        <v>12</v>
      </c>
      <c r="G627" s="0" t="s">
        <v>204</v>
      </c>
      <c r="I627" s="5">
        <v>191.145800</v>
      </c>
      <c r="J627" s="5">
        <v>6.000000</v>
      </c>
    </row>
    <row r="628" spans="1:11">
      <c r="A628" s="22" t="str">
        <f>HYPERLINK("https://app.vivvix.com/360/KMI/IntelliDrive/ApplUI/Pages/CreativePages/CustomReportCreativeDetail.aspx?App=23&amp;ReportView=4&amp;Qid=1696098&amp;Row=620&amp;Col=1","No Title Assigned - #15271106370")</f>
        <v/>
      </c>
      <c r="B628" s="0" t="s">
        <v>610</v>
      </c>
      <c r="E628" s="0" t="s">
        <v>12</v>
      </c>
      <c r="F628" s="0" t="s">
        <v>12</v>
      </c>
      <c r="G628" s="0" t="s">
        <v>204</v>
      </c>
      <c r="I628" s="5">
        <v>3918.050700</v>
      </c>
      <c r="J628" s="5">
        <v>16.000000</v>
      </c>
    </row>
    <row r="629" spans="1:11">
      <c r="A629" s="22" t="str">
        <f>HYPERLINK("https://app.vivvix.com/360/KMI/IntelliDrive/ApplUI/Pages/CreativePages/CustomReportCreativeDetail.aspx?App=23&amp;ReportView=4&amp;Qid=1696098&amp;Row=621&amp;Col=1","No Title Assigned - #15271115491")</f>
        <v/>
      </c>
      <c r="B629" s="0" t="s">
        <v>611</v>
      </c>
      <c r="E629" s="0" t="s">
        <v>12</v>
      </c>
      <c r="F629" s="0" t="s">
        <v>12</v>
      </c>
      <c r="G629" s="0" t="s">
        <v>204</v>
      </c>
      <c r="I629" s="5">
        <v>827.034100</v>
      </c>
      <c r="J629" s="5">
        <v>1.000000</v>
      </c>
    </row>
    <row r="630" spans="1:11">
      <c r="A630" s="22" t="str">
        <f>HYPERLINK("https://app.vivvix.com/360/KMI/IntelliDrive/ApplUI/Pages/CreativePages/CustomReportCreativeDetail.aspx?App=23&amp;ReportView=4&amp;Qid=1696098&amp;Row=622&amp;Col=1","No Title Assigned - #15271173691")</f>
        <v/>
      </c>
      <c r="B630" s="0" t="s">
        <v>612</v>
      </c>
      <c r="E630" s="0" t="s">
        <v>12</v>
      </c>
      <c r="F630" s="0" t="s">
        <v>12</v>
      </c>
      <c r="G630" s="0" t="s">
        <v>204</v>
      </c>
      <c r="I630" s="5">
        <v>172.146600</v>
      </c>
      <c r="J630" s="5">
        <v>2.000000</v>
      </c>
    </row>
    <row r="631" spans="1:11">
      <c r="A631" s="22" t="str">
        <f>HYPERLINK("https://app.vivvix.com/360/KMI/IntelliDrive/ApplUI/Pages/CreativePages/CustomReportCreativeDetail.aspx?App=23&amp;ReportView=4&amp;Qid=1696098&amp;Row=623&amp;Col=1","No Title Assigned - #15271190840")</f>
        <v/>
      </c>
      <c r="B631" s="0" t="s">
        <v>613</v>
      </c>
      <c r="E631" s="0" t="s">
        <v>12</v>
      </c>
      <c r="F631" s="0" t="s">
        <v>12</v>
      </c>
      <c r="G631" s="0" t="s">
        <v>204</v>
      </c>
      <c r="I631" s="5">
        <v>3329.050300</v>
      </c>
      <c r="J631" s="5">
        <v>1.000000</v>
      </c>
    </row>
    <row r="632" spans="1:11">
      <c r="A632" s="22" t="str">
        <f>HYPERLINK("https://app.vivvix.com/360/KMI/IntelliDrive/ApplUI/Pages/CreativePages/CustomReportCreativeDetail.aspx?App=23&amp;ReportView=4&amp;Qid=1696098&amp;Row=624&amp;Col=1","No Title Assigned - #15271286791")</f>
        <v/>
      </c>
      <c r="B632" s="0" t="s">
        <v>614</v>
      </c>
      <c r="E632" s="0" t="s">
        <v>12</v>
      </c>
      <c r="F632" s="0" t="s">
        <v>12</v>
      </c>
      <c r="G632" s="0" t="s">
        <v>204</v>
      </c>
      <c r="I632" s="5">
        <v>584.829000</v>
      </c>
      <c r="J632" s="5">
        <v>1.000000</v>
      </c>
    </row>
    <row r="633" spans="1:11">
      <c r="A633" s="22" t="str">
        <f>HYPERLINK("https://app.vivvix.com/360/KMI/IntelliDrive/ApplUI/Pages/CreativePages/CustomReportCreativeDetail.aspx?App=23&amp;ReportView=4&amp;Qid=1696098&amp;Row=625&amp;Col=1","No Title Assigned - #15271286808")</f>
        <v/>
      </c>
      <c r="B633" s="0" t="s">
        <v>615</v>
      </c>
      <c r="E633" s="0" t="s">
        <v>12</v>
      </c>
      <c r="F633" s="0" t="s">
        <v>12</v>
      </c>
      <c r="G633" s="0" t="s">
        <v>204</v>
      </c>
      <c r="I633" s="5">
        <v>584.829000</v>
      </c>
      <c r="J633" s="5">
        <v>1.000000</v>
      </c>
    </row>
    <row r="634" spans="1:11">
      <c r="A634" s="22" t="str">
        <f>HYPERLINK("https://app.vivvix.com/360/KMI/IntelliDrive/ApplUI/Pages/CreativePages/CustomReportCreativeDetail.aspx?App=23&amp;ReportView=4&amp;Qid=1696098&amp;Row=626&amp;Col=1","No Title Assigned - #15271294136")</f>
        <v/>
      </c>
      <c r="B634" s="0" t="s">
        <v>616</v>
      </c>
      <c r="E634" s="0" t="s">
        <v>12</v>
      </c>
      <c r="F634" s="0" t="s">
        <v>12</v>
      </c>
      <c r="G634" s="0" t="s">
        <v>204</v>
      </c>
      <c r="I634" s="5">
        <v>670.475800</v>
      </c>
      <c r="J634" s="5">
        <v>1.000000</v>
      </c>
    </row>
    <row r="635" spans="1:11">
      <c r="A635" s="22" t="str">
        <f>HYPERLINK("https://app.vivvix.com/360/KMI/IntelliDrive/ApplUI/Pages/CreativePages/CustomReportCreativeDetail.aspx?App=23&amp;ReportView=4&amp;Qid=1696098&amp;Row=627&amp;Col=1","No Title Assigned - #15271352004")</f>
        <v/>
      </c>
      <c r="B635" s="0" t="s">
        <v>617</v>
      </c>
      <c r="E635" s="0" t="s">
        <v>12</v>
      </c>
      <c r="F635" s="0" t="s">
        <v>12</v>
      </c>
      <c r="G635" s="0" t="s">
        <v>204</v>
      </c>
      <c r="I635" s="5">
        <v>29753.085900</v>
      </c>
      <c r="J635" s="5">
        <v>1.000000</v>
      </c>
    </row>
    <row r="636" spans="1:11">
      <c r="A636" s="22" t="str">
        <f>HYPERLINK("https://app.vivvix.com/360/KMI/IntelliDrive/ApplUI/Pages/CreativePages/CustomReportCreativeDetail.aspx?App=23&amp;ReportView=4&amp;Qid=1696098&amp;Row=628&amp;Col=1","No Title Assigned - #15271380024")</f>
        <v/>
      </c>
      <c r="B636" s="0" t="s">
        <v>618</v>
      </c>
      <c r="E636" s="0" t="s">
        <v>12</v>
      </c>
      <c r="F636" s="0" t="s">
        <v>12</v>
      </c>
      <c r="G636" s="0" t="s">
        <v>17</v>
      </c>
      <c r="I636" s="5">
        <v>5.307000</v>
      </c>
      <c r="J636" s="5">
        <v>1.000000</v>
      </c>
    </row>
    <row r="637" spans="1:11">
      <c r="A637" s="22" t="str">
        <f>HYPERLINK("https://app.vivvix.com/360/KMI/IntelliDrive/ApplUI/Pages/CreativePages/CustomReportCreativeDetail.aspx?App=23&amp;ReportView=4&amp;Qid=1696098&amp;Row=629&amp;Col=1","No Title Assigned - #15271380025")</f>
        <v/>
      </c>
      <c r="B637" s="0" t="s">
        <v>619</v>
      </c>
      <c r="E637" s="0" t="s">
        <v>12</v>
      </c>
      <c r="F637" s="0" t="s">
        <v>12</v>
      </c>
      <c r="G637" s="0" t="s">
        <v>17</v>
      </c>
      <c r="I637" s="5">
        <v>15.921000</v>
      </c>
      <c r="J637" s="5">
        <v>3.000000</v>
      </c>
    </row>
    <row r="638" spans="1:11">
      <c r="A638" s="22" t="str">
        <f>HYPERLINK("https://app.vivvix.com/360/KMI/IntelliDrive/ApplUI/Pages/CreativePages/CustomReportCreativeDetail.aspx?App=23&amp;ReportView=4&amp;Qid=1696098&amp;Row=630&amp;Col=1","No Title Assigned - #15271396048")</f>
        <v/>
      </c>
      <c r="B638" s="0" t="s">
        <v>620</v>
      </c>
      <c r="E638" s="0" t="s">
        <v>12</v>
      </c>
      <c r="F638" s="0" t="s">
        <v>12</v>
      </c>
      <c r="G638" s="0" t="s">
        <v>17</v>
      </c>
      <c r="I638" s="5">
        <v>10.614000</v>
      </c>
      <c r="J638" s="5">
        <v>2.000000</v>
      </c>
    </row>
    <row r="639" spans="1:11">
      <c r="A639" s="22" t="str">
        <f>HYPERLINK("https://app.vivvix.com/360/KMI/IntelliDrive/ApplUI/Pages/CreativePages/CustomReportCreativeDetail.aspx?App=23&amp;ReportView=4&amp;Qid=1696098&amp;Row=631&amp;Col=1","No Title Assigned - #15271422719")</f>
        <v/>
      </c>
      <c r="B639" s="0" t="s">
        <v>621</v>
      </c>
      <c r="E639" s="0" t="s">
        <v>12</v>
      </c>
      <c r="F639" s="0" t="s">
        <v>12</v>
      </c>
      <c r="G639" s="0" t="s">
        <v>17</v>
      </c>
      <c r="I639" s="5">
        <v>862.600000</v>
      </c>
      <c r="J639" s="5">
        <v>124.000000</v>
      </c>
    </row>
    <row r="640" spans="1:11">
      <c r="A640" s="22" t="str">
        <f>HYPERLINK("https://app.vivvix.com/360/KMI/IntelliDrive/ApplUI/Pages/CreativePages/CustomReportCreativeDetail.aspx?App=23&amp;ReportView=4&amp;Qid=1696098&amp;Row=632&amp;Col=1","No Title Assigned - #15271431782")</f>
        <v/>
      </c>
      <c r="B640" s="0" t="s">
        <v>622</v>
      </c>
      <c r="E640" s="0" t="s">
        <v>12</v>
      </c>
      <c r="F640" s="0" t="s">
        <v>12</v>
      </c>
      <c r="G640" s="0" t="s">
        <v>204</v>
      </c>
      <c r="I640" s="5">
        <v>86.073300</v>
      </c>
      <c r="J640" s="5">
        <v>1.000000</v>
      </c>
    </row>
    <row r="641" spans="1:11">
      <c r="A641" s="22" t="str">
        <f>HYPERLINK("https://app.vivvix.com/360/KMI/IntelliDrive/ApplUI/Pages/CreativePages/CustomReportCreativeDetail.aspx?App=23&amp;ReportView=4&amp;Qid=1696098&amp;Row=633&amp;Col=1","No Title Assigned - #15271431783")</f>
        <v/>
      </c>
      <c r="B641" s="0" t="s">
        <v>623</v>
      </c>
      <c r="E641" s="0" t="s">
        <v>12</v>
      </c>
      <c r="F641" s="0" t="s">
        <v>12</v>
      </c>
      <c r="G641" s="0" t="s">
        <v>204</v>
      </c>
      <c r="I641" s="5">
        <v>86.073300</v>
      </c>
      <c r="J641" s="5">
        <v>1.000000</v>
      </c>
    </row>
    <row r="642" spans="1:11">
      <c r="A642" s="22" t="str">
        <f>HYPERLINK("https://app.vivvix.com/360/KMI/IntelliDrive/ApplUI/Pages/CreativePages/CustomReportCreativeDetail.aspx?App=23&amp;ReportView=4&amp;Qid=1696098&amp;Row=634&amp;Col=1","No Title Assigned - #15271450454")</f>
        <v/>
      </c>
      <c r="B642" s="0" t="s">
        <v>624</v>
      </c>
      <c r="E642" s="0" t="s">
        <v>12</v>
      </c>
      <c r="F642" s="0" t="s">
        <v>12</v>
      </c>
      <c r="G642" s="0" t="s">
        <v>204</v>
      </c>
      <c r="I642" s="5">
        <v>232.098200</v>
      </c>
      <c r="J642" s="5">
        <v>1.000000</v>
      </c>
    </row>
    <row r="643" spans="1:11">
      <c r="A643" s="22" t="str">
        <f>HYPERLINK("https://app.vivvix.com/360/KMI/IntelliDrive/ApplUI/Pages/CreativePages/CustomReportCreativeDetail.aspx?App=23&amp;ReportView=4&amp;Qid=1696098&amp;Row=635&amp;Col=1","No Title Assigned - #15271450455")</f>
        <v/>
      </c>
      <c r="B643" s="0" t="s">
        <v>625</v>
      </c>
      <c r="E643" s="0" t="s">
        <v>12</v>
      </c>
      <c r="F643" s="0" t="s">
        <v>12</v>
      </c>
      <c r="G643" s="0" t="s">
        <v>204</v>
      </c>
      <c r="I643" s="5">
        <v>232.098200</v>
      </c>
      <c r="J643" s="5">
        <v>1.000000</v>
      </c>
    </row>
    <row r="644" spans="1:11">
      <c r="A644" s="22" t="str">
        <f>HYPERLINK("https://app.vivvix.com/360/KMI/IntelliDrive/ApplUI/Pages/CreativePages/CustomReportCreativeDetail.aspx?App=23&amp;ReportView=4&amp;Qid=1696098&amp;Row=636&amp;Col=1","No Title Assigned - #15271458025")</f>
        <v/>
      </c>
      <c r="B644" s="0" t="s">
        <v>626</v>
      </c>
      <c r="E644" s="0" t="s">
        <v>12</v>
      </c>
      <c r="F644" s="0" t="s">
        <v>12</v>
      </c>
      <c r="G644" s="0" t="s">
        <v>204</v>
      </c>
      <c r="I644" s="5">
        <v>232.098200</v>
      </c>
      <c r="J644" s="5">
        <v>1.000000</v>
      </c>
    </row>
    <row r="645" spans="1:11">
      <c r="A645" s="22" t="str">
        <f>HYPERLINK("https://app.vivvix.com/360/KMI/IntelliDrive/ApplUI/Pages/CreativePages/CustomReportCreativeDetail.aspx?App=23&amp;ReportView=4&amp;Qid=1696098&amp;Row=637&amp;Col=1","No Title Assigned - #15271505174")</f>
        <v/>
      </c>
      <c r="B645" s="0" t="s">
        <v>627</v>
      </c>
      <c r="E645" s="0" t="s">
        <v>12</v>
      </c>
      <c r="F645" s="0" t="s">
        <v>12</v>
      </c>
      <c r="G645" s="0" t="s">
        <v>17</v>
      </c>
      <c r="I645" s="5">
        <v>68.216000</v>
      </c>
      <c r="J645" s="5">
        <v>9.000000</v>
      </c>
    </row>
    <row r="646" spans="1:11">
      <c r="A646" s="22" t="str">
        <f>HYPERLINK("https://app.vivvix.com/360/KMI/IntelliDrive/ApplUI/Pages/CreativePages/CustomReportCreativeDetail.aspx?App=23&amp;ReportView=4&amp;Qid=1696098&amp;Row=638&amp;Col=1","No Title Assigned - #15271536952")</f>
        <v/>
      </c>
      <c r="B646" s="0" t="s">
        <v>628</v>
      </c>
      <c r="E646" s="0" t="s">
        <v>12</v>
      </c>
      <c r="F646" s="0" t="s">
        <v>12</v>
      </c>
      <c r="G646" s="0" t="s">
        <v>245</v>
      </c>
      <c r="I646" s="5">
        <v>885.085100</v>
      </c>
      <c r="J646" s="5">
        <v>1.000000</v>
      </c>
    </row>
    <row r="647" spans="1:11">
      <c r="A647" s="22" t="str">
        <f>HYPERLINK("https://app.vivvix.com/360/KMI/IntelliDrive/ApplUI/Pages/CreativePages/CustomReportCreativeDetail.aspx?App=23&amp;ReportView=4&amp;Qid=1696098&amp;Row=639&amp;Col=1","No Title Assigned - #15271541979")</f>
        <v/>
      </c>
      <c r="B647" s="0" t="s">
        <v>629</v>
      </c>
      <c r="E647" s="0" t="s">
        <v>12</v>
      </c>
      <c r="F647" s="0" t="s">
        <v>12</v>
      </c>
      <c r="G647" s="0" t="s">
        <v>17</v>
      </c>
      <c r="I647" s="5">
        <v>97.077000</v>
      </c>
      <c r="J647" s="5">
        <v>12.000000</v>
      </c>
    </row>
    <row r="648" spans="1:11">
      <c r="A648" s="22" t="str">
        <f>HYPERLINK("https://app.vivvix.com/360/KMI/IntelliDrive/ApplUI/Pages/CreativePages/CustomReportCreativeDetail.aspx?App=23&amp;ReportView=4&amp;Qid=1696098&amp;Row=640&amp;Col=1","No Title Assigned - #15271556524")</f>
        <v/>
      </c>
      <c r="B648" s="0" t="s">
        <v>630</v>
      </c>
      <c r="E648" s="0" t="s">
        <v>12</v>
      </c>
      <c r="F648" s="0" t="s">
        <v>12</v>
      </c>
      <c r="G648" s="0" t="s">
        <v>204</v>
      </c>
      <c r="I648" s="5">
        <v>218.499000</v>
      </c>
      <c r="J648" s="5">
        <v>1.000000</v>
      </c>
    </row>
    <row r="649" spans="1:11">
      <c r="A649" s="22" t="str">
        <f>HYPERLINK("https://app.vivvix.com/360/KMI/IntelliDrive/ApplUI/Pages/CreativePages/CustomReportCreativeDetail.aspx?App=23&amp;ReportView=4&amp;Qid=1696098&amp;Row=641&amp;Col=1","No Title Assigned - #15271556531")</f>
        <v/>
      </c>
      <c r="B649" s="0" t="s">
        <v>631</v>
      </c>
      <c r="E649" s="0" t="s">
        <v>12</v>
      </c>
      <c r="F649" s="0" t="s">
        <v>12</v>
      </c>
      <c r="G649" s="0" t="s">
        <v>204</v>
      </c>
      <c r="I649" s="5">
        <v>218.499000</v>
      </c>
      <c r="J649" s="5">
        <v>1.000000</v>
      </c>
    </row>
    <row r="650" spans="1:11">
      <c r="A650" s="22" t="str">
        <f>HYPERLINK("https://app.vivvix.com/360/KMI/IntelliDrive/ApplUI/Pages/CreativePages/CustomReportCreativeDetail.aspx?App=23&amp;ReportView=4&amp;Qid=1696098&amp;Row=642&amp;Col=1","No Title Assigned - #15271610071")</f>
        <v/>
      </c>
      <c r="B650" s="0" t="s">
        <v>632</v>
      </c>
      <c r="E650" s="0" t="s">
        <v>12</v>
      </c>
      <c r="F650" s="0" t="s">
        <v>12</v>
      </c>
      <c r="G650" s="0" t="s">
        <v>17</v>
      </c>
      <c r="I650" s="5">
        <v>43.057000</v>
      </c>
      <c r="J650" s="5">
        <v>7.000000</v>
      </c>
    </row>
    <row r="651" spans="1:11">
      <c r="A651" s="22" t="str">
        <f>HYPERLINK("https://app.vivvix.com/360/KMI/IntelliDrive/ApplUI/Pages/CreativePages/CustomReportCreativeDetail.aspx?App=23&amp;ReportView=4&amp;Qid=1696098&amp;Row=643&amp;Col=1","No Title Assigned - #15271610512")</f>
        <v/>
      </c>
      <c r="B651" s="0" t="s">
        <v>633</v>
      </c>
      <c r="E651" s="0" t="s">
        <v>12</v>
      </c>
      <c r="F651" s="0" t="s">
        <v>12</v>
      </c>
      <c r="G651" s="0" t="s">
        <v>204</v>
      </c>
      <c r="I651" s="5">
        <v>6217.632800</v>
      </c>
      <c r="J651" s="5">
        <v>1.000000</v>
      </c>
    </row>
    <row r="652" spans="1:11">
      <c r="A652" s="22" t="str">
        <f>HYPERLINK("https://app.vivvix.com/360/KMI/IntelliDrive/ApplUI/Pages/CreativePages/CustomReportCreativeDetail.aspx?App=23&amp;ReportView=4&amp;Qid=1696098&amp;Row=644&amp;Col=1","No Title Assigned - #15271680639")</f>
        <v/>
      </c>
      <c r="B652" s="0" t="s">
        <v>634</v>
      </c>
      <c r="E652" s="0" t="s">
        <v>12</v>
      </c>
      <c r="F652" s="0" t="s">
        <v>12</v>
      </c>
      <c r="G652" s="0" t="s">
        <v>204</v>
      </c>
      <c r="I652" s="5">
        <v>1103.100200</v>
      </c>
      <c r="J652" s="5">
        <v>2.000000</v>
      </c>
    </row>
    <row r="653" spans="1:11">
      <c r="A653" s="22" t="str">
        <f>HYPERLINK("https://app.vivvix.com/360/KMI/IntelliDrive/ApplUI/Pages/CreativePages/CustomReportCreativeDetail.aspx?App=23&amp;ReportView=4&amp;Qid=1696098&amp;Row=645&amp;Col=1","No Title Assigned - #15271708833")</f>
        <v/>
      </c>
      <c r="B653" s="0" t="s">
        <v>635</v>
      </c>
      <c r="E653" s="0" t="s">
        <v>12</v>
      </c>
      <c r="F653" s="0" t="s">
        <v>12</v>
      </c>
      <c r="G653" s="0" t="s">
        <v>204</v>
      </c>
      <c r="I653" s="5">
        <v>150.576200</v>
      </c>
      <c r="J653" s="5">
        <v>1.000000</v>
      </c>
    </row>
    <row r="654" spans="1:11">
      <c r="A654" s="22" t="str">
        <f>HYPERLINK("https://app.vivvix.com/360/KMI/IntelliDrive/ApplUI/Pages/CreativePages/CustomReportCreativeDetail.aspx?App=23&amp;ReportView=4&amp;Qid=1696098&amp;Row=646&amp;Col=1","No Title Assigned - #15271717228")</f>
        <v/>
      </c>
      <c r="B654" s="0" t="s">
        <v>636</v>
      </c>
      <c r="E654" s="0" t="s">
        <v>12</v>
      </c>
      <c r="F654" s="0" t="s">
        <v>12</v>
      </c>
      <c r="G654" s="0" t="s">
        <v>204</v>
      </c>
      <c r="I654" s="5">
        <v>473.010900</v>
      </c>
      <c r="J654" s="5">
        <v>1.000000</v>
      </c>
    </row>
    <row r="655" spans="1:11">
      <c r="A655" s="22" t="str">
        <f>HYPERLINK("https://app.vivvix.com/360/KMI/IntelliDrive/ApplUI/Pages/CreativePages/CustomReportCreativeDetail.aspx?App=23&amp;ReportView=4&amp;Qid=1696098&amp;Row=647&amp;Col=1","No Title Assigned - #15271721023")</f>
        <v/>
      </c>
      <c r="B655" s="0" t="s">
        <v>637</v>
      </c>
      <c r="E655" s="0" t="s">
        <v>12</v>
      </c>
      <c r="F655" s="0" t="s">
        <v>12</v>
      </c>
      <c r="G655" s="0" t="s">
        <v>204</v>
      </c>
      <c r="I655" s="5">
        <v>1407.342700</v>
      </c>
      <c r="J655" s="5">
        <v>1.000000</v>
      </c>
    </row>
    <row r="656" spans="1:11">
      <c r="A656" s="22" t="str">
        <f>HYPERLINK("https://app.vivvix.com/360/KMI/IntelliDrive/ApplUI/Pages/CreativePages/CustomReportCreativeDetail.aspx?App=23&amp;ReportView=4&amp;Qid=1696098&amp;Row=648&amp;Col=1","No Title Assigned - #15271746954")</f>
        <v/>
      </c>
      <c r="B656" s="0" t="s">
        <v>638</v>
      </c>
      <c r="E656" s="0" t="s">
        <v>12</v>
      </c>
      <c r="F656" s="0" t="s">
        <v>12</v>
      </c>
      <c r="G656" s="0" t="s">
        <v>204</v>
      </c>
      <c r="I656" s="5">
        <v>493.715500</v>
      </c>
      <c r="J656" s="5">
        <v>1.000000</v>
      </c>
    </row>
    <row r="657" spans="1:11">
      <c r="A657" s="22" t="str">
        <f>HYPERLINK("https://app.vivvix.com/360/KMI/IntelliDrive/ApplUI/Pages/CreativePages/CustomReportCreativeDetail.aspx?App=23&amp;ReportView=4&amp;Qid=1696098&amp;Row=649&amp;Col=1","No Title Assigned - #15271778035")</f>
        <v/>
      </c>
      <c r="B657" s="0" t="s">
        <v>639</v>
      </c>
      <c r="E657" s="0" t="s">
        <v>12</v>
      </c>
      <c r="F657" s="0" t="s">
        <v>12</v>
      </c>
      <c r="G657" s="0" t="s">
        <v>204</v>
      </c>
      <c r="I657" s="5">
        <v>717.907700</v>
      </c>
      <c r="J657" s="5">
        <v>8.000000</v>
      </c>
    </row>
    <row r="658" spans="1:11">
      <c r="A658" s="22" t="str">
        <f>HYPERLINK("https://app.vivvix.com/360/KMI/IntelliDrive/ApplUI/Pages/CreativePages/CustomReportCreativeDetail.aspx?App=23&amp;ReportView=4&amp;Qid=1696098&amp;Row=650&amp;Col=1","No Title Assigned - #15271782536")</f>
        <v/>
      </c>
      <c r="B658" s="0" t="s">
        <v>640</v>
      </c>
      <c r="E658" s="0" t="s">
        <v>12</v>
      </c>
      <c r="F658" s="0" t="s">
        <v>12</v>
      </c>
      <c r="G658" s="0" t="s">
        <v>204</v>
      </c>
      <c r="I658" s="5">
        <v>96.186500</v>
      </c>
      <c r="J658" s="5">
        <v>1.000000</v>
      </c>
    </row>
    <row r="659" spans="1:11">
      <c r="A659" s="22" t="str">
        <f>HYPERLINK("https://app.vivvix.com/360/KMI/IntelliDrive/ApplUI/Pages/CreativePages/CustomReportCreativeDetail.aspx?App=23&amp;ReportView=4&amp;Qid=1696098&amp;Row=651&amp;Col=1","No Title Assigned - #15271929415")</f>
        <v/>
      </c>
      <c r="B659" s="0" t="s">
        <v>641</v>
      </c>
      <c r="E659" s="0" t="s">
        <v>12</v>
      </c>
      <c r="F659" s="0" t="s">
        <v>12</v>
      </c>
      <c r="G659" s="0" t="s">
        <v>204</v>
      </c>
      <c r="I659" s="5">
        <v>90.949900</v>
      </c>
      <c r="J659" s="5">
        <v>1.000000</v>
      </c>
    </row>
    <row r="660" spans="1:11">
      <c r="A660" s="22" t="str">
        <f>HYPERLINK("https://app.vivvix.com/360/KMI/IntelliDrive/ApplUI/Pages/CreativePages/CustomReportCreativeDetail.aspx?App=23&amp;ReportView=4&amp;Qid=1696098&amp;Row=652&amp;Col=1","No Title Assigned - #15271954205")</f>
        <v/>
      </c>
      <c r="B660" s="0" t="s">
        <v>642</v>
      </c>
      <c r="E660" s="0" t="s">
        <v>12</v>
      </c>
      <c r="F660" s="0" t="s">
        <v>12</v>
      </c>
      <c r="G660" s="0" t="s">
        <v>204</v>
      </c>
      <c r="I660" s="5">
        <v>4860.794400</v>
      </c>
      <c r="J660" s="5">
        <v>1.000000</v>
      </c>
    </row>
    <row r="661" spans="1:11">
      <c r="A661" s="22" t="str">
        <f>HYPERLINK("https://app.vivvix.com/360/KMI/IntelliDrive/ApplUI/Pages/CreativePages/CustomReportCreativeDetail.aspx?App=23&amp;ReportView=4&amp;Qid=1696098&amp;Row=653&amp;Col=1","No Title Assigned - #15271960601")</f>
        <v/>
      </c>
      <c r="B661" s="0" t="s">
        <v>643</v>
      </c>
      <c r="E661" s="0" t="s">
        <v>12</v>
      </c>
      <c r="F661" s="0" t="s">
        <v>12</v>
      </c>
      <c r="G661" s="0" t="s">
        <v>204</v>
      </c>
      <c r="I661" s="5">
        <v>252.684600</v>
      </c>
      <c r="J661" s="5">
        <v>1.000000</v>
      </c>
    </row>
    <row r="662" spans="1:11">
      <c r="A662" s="22" t="str">
        <f>HYPERLINK("https://app.vivvix.com/360/KMI/IntelliDrive/ApplUI/Pages/CreativePages/CustomReportCreativeDetail.aspx?App=23&amp;ReportView=4&amp;Qid=1696098&amp;Row=654&amp;Col=1","No Title Assigned - #15271960672")</f>
        <v/>
      </c>
      <c r="B662" s="0" t="s">
        <v>644</v>
      </c>
      <c r="E662" s="0" t="s">
        <v>12</v>
      </c>
      <c r="F662" s="0" t="s">
        <v>12</v>
      </c>
      <c r="G662" s="0" t="s">
        <v>204</v>
      </c>
      <c r="I662" s="5">
        <v>252.684600</v>
      </c>
      <c r="J662" s="5">
        <v>1.000000</v>
      </c>
    </row>
    <row r="663" spans="1:11">
      <c r="A663" s="22" t="str">
        <f>HYPERLINK("https://app.vivvix.com/360/KMI/IntelliDrive/ApplUI/Pages/CreativePages/CustomReportCreativeDetail.aspx?App=23&amp;ReportView=4&amp;Qid=1696098&amp;Row=655&amp;Col=1","No Title Assigned - #15271960683")</f>
        <v/>
      </c>
      <c r="B663" s="0" t="s">
        <v>645</v>
      </c>
      <c r="E663" s="0" t="s">
        <v>12</v>
      </c>
      <c r="F663" s="0" t="s">
        <v>12</v>
      </c>
      <c r="G663" s="0" t="s">
        <v>204</v>
      </c>
      <c r="I663" s="5">
        <v>252.684600</v>
      </c>
      <c r="J663" s="5">
        <v>1.000000</v>
      </c>
    </row>
    <row r="664" spans="1:11">
      <c r="A664" s="22" t="str">
        <f>HYPERLINK("https://app.vivvix.com/360/KMI/IntelliDrive/ApplUI/Pages/CreativePages/CustomReportCreativeDetail.aspx?App=23&amp;ReportView=4&amp;Qid=1696098&amp;Row=656&amp;Col=1","No Title Assigned - #15272010489")</f>
        <v/>
      </c>
      <c r="B664" s="0" t="s">
        <v>646</v>
      </c>
      <c r="E664" s="0" t="s">
        <v>12</v>
      </c>
      <c r="F664" s="0" t="s">
        <v>12</v>
      </c>
      <c r="G664" s="0" t="s">
        <v>204</v>
      </c>
      <c r="I664" s="5">
        <v>251.172900</v>
      </c>
      <c r="J664" s="5">
        <v>1.000000</v>
      </c>
    </row>
    <row r="665" spans="1:11">
      <c r="A665" s="22" t="str">
        <f>HYPERLINK("https://app.vivvix.com/360/KMI/IntelliDrive/ApplUI/Pages/CreativePages/CustomReportCreativeDetail.aspx?App=23&amp;ReportView=4&amp;Qid=1696098&amp;Row=657&amp;Col=1","No Title Assigned - #15272010490")</f>
        <v/>
      </c>
      <c r="B665" s="0" t="s">
        <v>647</v>
      </c>
      <c r="E665" s="0" t="s">
        <v>12</v>
      </c>
      <c r="F665" s="0" t="s">
        <v>12</v>
      </c>
      <c r="G665" s="0" t="s">
        <v>204</v>
      </c>
      <c r="I665" s="5">
        <v>502.345800</v>
      </c>
      <c r="J665" s="5">
        <v>2.000000</v>
      </c>
    </row>
    <row r="666" spans="1:11">
      <c r="A666" s="22" t="str">
        <f>HYPERLINK("https://app.vivvix.com/360/KMI/IntelliDrive/ApplUI/Pages/CreativePages/CustomReportCreativeDetail.aspx?App=23&amp;ReportView=4&amp;Qid=1696098&amp;Row=658&amp;Col=1","No Title Assigned - #15272010491")</f>
        <v/>
      </c>
      <c r="B666" s="0" t="s">
        <v>648</v>
      </c>
      <c r="E666" s="0" t="s">
        <v>12</v>
      </c>
      <c r="F666" s="0" t="s">
        <v>12</v>
      </c>
      <c r="G666" s="0" t="s">
        <v>204</v>
      </c>
      <c r="I666" s="5">
        <v>251.172900</v>
      </c>
      <c r="J666" s="5">
        <v>1.000000</v>
      </c>
    </row>
    <row r="667" spans="1:11">
      <c r="A667" s="22" t="str">
        <f>HYPERLINK("https://app.vivvix.com/360/KMI/IntelliDrive/ApplUI/Pages/CreativePages/CustomReportCreativeDetail.aspx?App=23&amp;ReportView=4&amp;Qid=1696098&amp;Row=659&amp;Col=1","No Title Assigned - #15272010526")</f>
        <v/>
      </c>
      <c r="B667" s="0" t="s">
        <v>649</v>
      </c>
      <c r="E667" s="0" t="s">
        <v>12</v>
      </c>
      <c r="F667" s="0" t="s">
        <v>12</v>
      </c>
      <c r="G667" s="0" t="s">
        <v>204</v>
      </c>
      <c r="I667" s="5">
        <v>232.098200</v>
      </c>
      <c r="J667" s="5">
        <v>1.000000</v>
      </c>
    </row>
    <row r="668" spans="1:11">
      <c r="A668" s="22" t="str">
        <f>HYPERLINK("https://app.vivvix.com/360/KMI/IntelliDrive/ApplUI/Pages/CreativePages/CustomReportCreativeDetail.aspx?App=23&amp;ReportView=4&amp;Qid=1696098&amp;Row=660&amp;Col=1","No Title Assigned - #15272033555")</f>
        <v/>
      </c>
      <c r="B668" s="0" t="s">
        <v>650</v>
      </c>
      <c r="E668" s="0" t="s">
        <v>12</v>
      </c>
      <c r="F668" s="0" t="s">
        <v>12</v>
      </c>
      <c r="G668" s="0" t="s">
        <v>204</v>
      </c>
      <c r="I668" s="5">
        <v>491.510700</v>
      </c>
      <c r="J668" s="5">
        <v>3.000000</v>
      </c>
    </row>
    <row r="669" spans="1:11">
      <c r="A669" s="22" t="str">
        <f>HYPERLINK("https://app.vivvix.com/360/KMI/IntelliDrive/ApplUI/Pages/CreativePages/CustomReportCreativeDetail.aspx?App=23&amp;ReportView=4&amp;Qid=1696098&amp;Row=661&amp;Col=1","No Title Assigned - #15272033556")</f>
        <v/>
      </c>
      <c r="B669" s="0" t="s">
        <v>651</v>
      </c>
      <c r="E669" s="0" t="s">
        <v>12</v>
      </c>
      <c r="F669" s="0" t="s">
        <v>12</v>
      </c>
      <c r="G669" s="0" t="s">
        <v>204</v>
      </c>
      <c r="I669" s="5">
        <v>327.673800</v>
      </c>
      <c r="J669" s="5">
        <v>2.000000</v>
      </c>
    </row>
    <row r="670" spans="1:11">
      <c r="A670" s="22" t="str">
        <f>HYPERLINK("https://app.vivvix.com/360/KMI/IntelliDrive/ApplUI/Pages/CreativePages/CustomReportCreativeDetail.aspx?App=23&amp;ReportView=4&amp;Qid=1696098&amp;Row=662&amp;Col=1","No Title Assigned - #15272093058")</f>
        <v/>
      </c>
      <c r="B670" s="0" t="s">
        <v>652</v>
      </c>
      <c r="E670" s="0" t="s">
        <v>12</v>
      </c>
      <c r="F670" s="0" t="s">
        <v>12</v>
      </c>
      <c r="G670" s="0" t="s">
        <v>17</v>
      </c>
      <c r="I670" s="5">
        <v>26.535000</v>
      </c>
      <c r="J670" s="5">
        <v>5.000000</v>
      </c>
    </row>
    <row r="671" spans="1:11">
      <c r="A671" s="22" t="str">
        <f>HYPERLINK("https://app.vivvix.com/360/KMI/IntelliDrive/ApplUI/Pages/CreativePages/CustomReportCreativeDetail.aspx?App=23&amp;ReportView=4&amp;Qid=1696098&amp;Row=663&amp;Col=1","No Title Assigned - #15272106665")</f>
        <v/>
      </c>
      <c r="B671" s="0" t="s">
        <v>653</v>
      </c>
      <c r="E671" s="0" t="s">
        <v>12</v>
      </c>
      <c r="F671" s="0" t="s">
        <v>12</v>
      </c>
      <c r="G671" s="0" t="s">
        <v>204</v>
      </c>
      <c r="I671" s="5">
        <v>534.535800</v>
      </c>
      <c r="J671" s="5">
        <v>1.000000</v>
      </c>
    </row>
    <row r="672" spans="1:11">
      <c r="A672" s="22" t="str">
        <f>HYPERLINK("https://app.vivvix.com/360/KMI/IntelliDrive/ApplUI/Pages/CreativePages/CustomReportCreativeDetail.aspx?App=23&amp;ReportView=4&amp;Qid=1696098&amp;Row=664&amp;Col=1","No Title Assigned - #15272173330")</f>
        <v/>
      </c>
      <c r="B672" s="0" t="s">
        <v>654</v>
      </c>
      <c r="E672" s="0" t="s">
        <v>12</v>
      </c>
      <c r="F672" s="0" t="s">
        <v>12</v>
      </c>
      <c r="G672" s="0" t="s">
        <v>17</v>
      </c>
      <c r="I672" s="5">
        <v>10.614000</v>
      </c>
      <c r="J672" s="5">
        <v>2.000000</v>
      </c>
    </row>
    <row r="673" spans="1:11">
      <c r="A673" s="22" t="str">
        <f>HYPERLINK("https://app.vivvix.com/360/KMI/IntelliDrive/ApplUI/Pages/CreativePages/CustomReportCreativeDetail.aspx?App=23&amp;ReportView=4&amp;Qid=1696098&amp;Row=665&amp;Col=1","No Title Assigned - #15272231843")</f>
        <v/>
      </c>
      <c r="B673" s="0" t="s">
        <v>655</v>
      </c>
      <c r="E673" s="0" t="s">
        <v>12</v>
      </c>
      <c r="F673" s="0" t="s">
        <v>12</v>
      </c>
      <c r="G673" s="0" t="s">
        <v>204</v>
      </c>
      <c r="I673" s="5">
        <v>232.098200</v>
      </c>
      <c r="J673" s="5">
        <v>1.000000</v>
      </c>
    </row>
    <row r="674" spans="1:11">
      <c r="A674" s="22" t="str">
        <f>HYPERLINK("https://app.vivvix.com/360/KMI/IntelliDrive/ApplUI/Pages/CreativePages/CustomReportCreativeDetail.aspx?App=23&amp;ReportView=4&amp;Qid=1696098&amp;Row=666&amp;Col=1","No Title Assigned - #15272236800")</f>
        <v/>
      </c>
      <c r="B674" s="0" t="s">
        <v>656</v>
      </c>
      <c r="E674" s="0" t="s">
        <v>12</v>
      </c>
      <c r="F674" s="0" t="s">
        <v>12</v>
      </c>
      <c r="G674" s="0" t="s">
        <v>204</v>
      </c>
      <c r="I674" s="5">
        <v>1646.149700</v>
      </c>
      <c r="J674" s="5">
        <v>1.000000</v>
      </c>
    </row>
    <row r="675" spans="1:11">
      <c r="A675" s="22" t="str">
        <f>HYPERLINK("https://app.vivvix.com/360/KMI/IntelliDrive/ApplUI/Pages/CreativePages/CustomReportCreativeDetail.aspx?App=23&amp;ReportView=4&amp;Qid=1696098&amp;Row=667&amp;Col=1","No Title Assigned - #15272329833")</f>
        <v/>
      </c>
      <c r="B675" s="0" t="s">
        <v>657</v>
      </c>
      <c r="E675" s="0" t="s">
        <v>12</v>
      </c>
      <c r="F675" s="0" t="s">
        <v>12</v>
      </c>
      <c r="G675" s="0" t="s">
        <v>204</v>
      </c>
      <c r="I675" s="5">
        <v>6217.632800</v>
      </c>
      <c r="J675" s="5">
        <v>1.000000</v>
      </c>
    </row>
    <row r="676" spans="1:11">
      <c r="A676" s="22" t="str">
        <f>HYPERLINK("https://app.vivvix.com/360/KMI/IntelliDrive/ApplUI/Pages/CreativePages/CustomReportCreativeDetail.aspx?App=23&amp;ReportView=4&amp;Qid=1696098&amp;Row=668&amp;Col=1","No Title Assigned - #15272419054")</f>
        <v/>
      </c>
      <c r="B676" s="0" t="s">
        <v>658</v>
      </c>
      <c r="E676" s="0" t="s">
        <v>12</v>
      </c>
      <c r="F676" s="0" t="s">
        <v>12</v>
      </c>
      <c r="G676" s="0" t="s">
        <v>204</v>
      </c>
      <c r="I676" s="5">
        <v>450.105800</v>
      </c>
      <c r="J676" s="5">
        <v>1.000000</v>
      </c>
    </row>
    <row r="677" spans="1:11">
      <c r="A677" s="22" t="str">
        <f>HYPERLINK("https://app.vivvix.com/360/KMI/IntelliDrive/ApplUI/Pages/CreativePages/CustomReportCreativeDetail.aspx?App=23&amp;ReportView=4&amp;Qid=1696098&amp;Row=669&amp;Col=1","No Title Assigned - #15272425277")</f>
        <v/>
      </c>
      <c r="B677" s="0" t="s">
        <v>659</v>
      </c>
      <c r="E677" s="0" t="s">
        <v>12</v>
      </c>
      <c r="F677" s="0" t="s">
        <v>12</v>
      </c>
      <c r="G677" s="0" t="s">
        <v>204</v>
      </c>
      <c r="I677" s="5">
        <v>150.576200</v>
      </c>
      <c r="J677" s="5">
        <v>1.000000</v>
      </c>
    </row>
    <row r="678" spans="1:11">
      <c r="A678" s="22" t="str">
        <f>HYPERLINK("https://app.vivvix.com/360/KMI/IntelliDrive/ApplUI/Pages/CreativePages/CustomReportCreativeDetail.aspx?App=23&amp;ReportView=4&amp;Qid=1696098&amp;Row=670&amp;Col=1","No Title Assigned - #15272458831")</f>
        <v/>
      </c>
      <c r="B678" s="0" t="s">
        <v>660</v>
      </c>
      <c r="E678" s="0" t="s">
        <v>12</v>
      </c>
      <c r="F678" s="0" t="s">
        <v>12</v>
      </c>
      <c r="G678" s="0" t="s">
        <v>17</v>
      </c>
      <c r="I678" s="5">
        <v>303.457000</v>
      </c>
      <c r="J678" s="5">
        <v>34.000000</v>
      </c>
    </row>
    <row r="679" spans="1:11">
      <c r="A679" s="22" t="str">
        <f>HYPERLINK("https://app.vivvix.com/360/KMI/IntelliDrive/ApplUI/Pages/CreativePages/CustomReportCreativeDetail.aspx?App=23&amp;ReportView=4&amp;Qid=1696098&amp;Row=671&amp;Col=1","No Title Assigned - #15272460528")</f>
        <v/>
      </c>
      <c r="B679" s="0" t="s">
        <v>661</v>
      </c>
      <c r="E679" s="0" t="s">
        <v>12</v>
      </c>
      <c r="F679" s="0" t="s">
        <v>12</v>
      </c>
      <c r="G679" s="0" t="s">
        <v>204</v>
      </c>
      <c r="I679" s="5">
        <v>555.914800</v>
      </c>
      <c r="J679" s="5">
        <v>1.000000</v>
      </c>
    </row>
    <row r="680" spans="1:11">
      <c r="A680" s="22" t="str">
        <f>HYPERLINK("https://app.vivvix.com/360/KMI/IntelliDrive/ApplUI/Pages/CreativePages/CustomReportCreativeDetail.aspx?App=23&amp;ReportView=4&amp;Qid=1696098&amp;Row=672&amp;Col=1","No Title Assigned - #15272463274")</f>
        <v/>
      </c>
      <c r="B680" s="0" t="s">
        <v>662</v>
      </c>
      <c r="E680" s="0" t="s">
        <v>12</v>
      </c>
      <c r="F680" s="0" t="s">
        <v>12</v>
      </c>
      <c r="G680" s="0" t="s">
        <v>204</v>
      </c>
      <c r="I680" s="5">
        <v>756.195500</v>
      </c>
      <c r="J680" s="5">
        <v>1.000000</v>
      </c>
    </row>
    <row r="681" spans="1:11">
      <c r="A681" s="22" t="str">
        <f>HYPERLINK("https://app.vivvix.com/360/KMI/IntelliDrive/ApplUI/Pages/CreativePages/CustomReportCreativeDetail.aspx?App=23&amp;ReportView=4&amp;Qid=1696098&amp;Row=673&amp;Col=1","No Title Assigned - #15272513636")</f>
        <v/>
      </c>
      <c r="B681" s="0" t="s">
        <v>663</v>
      </c>
      <c r="E681" s="0" t="s">
        <v>12</v>
      </c>
      <c r="F681" s="0" t="s">
        <v>12</v>
      </c>
      <c r="G681" s="0" t="s">
        <v>204</v>
      </c>
      <c r="I681" s="5">
        <v>179.137700</v>
      </c>
      <c r="J681" s="5">
        <v>1.000000</v>
      </c>
    </row>
    <row r="682" spans="1:11">
      <c r="A682" s="22" t="str">
        <f>HYPERLINK("https://app.vivvix.com/360/KMI/IntelliDrive/ApplUI/Pages/CreativePages/CustomReportCreativeDetail.aspx?App=23&amp;ReportView=4&amp;Qid=1696098&amp;Row=674&amp;Col=1","No Title Assigned - #15272513659")</f>
        <v/>
      </c>
      <c r="B682" s="0" t="s">
        <v>664</v>
      </c>
      <c r="E682" s="0" t="s">
        <v>12</v>
      </c>
      <c r="F682" s="0" t="s">
        <v>12</v>
      </c>
      <c r="G682" s="0" t="s">
        <v>204</v>
      </c>
      <c r="I682" s="5">
        <v>358.275400</v>
      </c>
      <c r="J682" s="5">
        <v>2.000000</v>
      </c>
    </row>
    <row r="683" spans="1:11">
      <c r="A683" s="22" t="str">
        <f>HYPERLINK("https://app.vivvix.com/360/KMI/IntelliDrive/ApplUI/Pages/CreativePages/CustomReportCreativeDetail.aspx?App=23&amp;ReportView=4&amp;Qid=1696098&amp;Row=675&amp;Col=1","No Title Assigned - #15272516094")</f>
        <v/>
      </c>
      <c r="B683" s="0" t="s">
        <v>665</v>
      </c>
      <c r="E683" s="0" t="s">
        <v>12</v>
      </c>
      <c r="F683" s="0" t="s">
        <v>12</v>
      </c>
      <c r="G683" s="0" t="s">
        <v>17</v>
      </c>
      <c r="I683" s="5">
        <v>10.614000</v>
      </c>
      <c r="J683" s="5">
        <v>2.000000</v>
      </c>
    </row>
    <row r="684" spans="1:11">
      <c r="A684" s="22" t="str">
        <f>HYPERLINK("https://app.vivvix.com/360/KMI/IntelliDrive/ApplUI/Pages/CreativePages/CustomReportCreativeDetail.aspx?App=23&amp;ReportView=4&amp;Qid=1696098&amp;Row=676&amp;Col=1","No Title Assigned - #15272522169")</f>
        <v/>
      </c>
      <c r="B684" s="0" t="s">
        <v>666</v>
      </c>
      <c r="E684" s="0" t="s">
        <v>12</v>
      </c>
      <c r="F684" s="0" t="s">
        <v>12</v>
      </c>
      <c r="G684" s="0" t="s">
        <v>204</v>
      </c>
      <c r="I684" s="5">
        <v>564.608000</v>
      </c>
      <c r="J684" s="5">
        <v>1.000000</v>
      </c>
    </row>
    <row r="685" spans="1:11">
      <c r="A685" s="22" t="str">
        <f>HYPERLINK("https://app.vivvix.com/360/KMI/IntelliDrive/ApplUI/Pages/CreativePages/CustomReportCreativeDetail.aspx?App=23&amp;ReportView=4&amp;Qid=1696098&amp;Row=677&amp;Col=1","No Title Assigned - #15272522415")</f>
        <v/>
      </c>
      <c r="B685" s="0" t="s">
        <v>667</v>
      </c>
      <c r="E685" s="0" t="s">
        <v>12</v>
      </c>
      <c r="F685" s="0" t="s">
        <v>12</v>
      </c>
      <c r="G685" s="0" t="s">
        <v>245</v>
      </c>
      <c r="I685" s="5">
        <v>923.083400</v>
      </c>
      <c r="J685" s="5">
        <v>1.000000</v>
      </c>
    </row>
    <row r="686" spans="1:11">
      <c r="A686" s="22" t="str">
        <f>HYPERLINK("https://app.vivvix.com/360/KMI/IntelliDrive/ApplUI/Pages/CreativePages/CustomReportCreativeDetail.aspx?App=23&amp;ReportView=4&amp;Qid=1696098&amp;Row=678&amp;Col=1","No Title Assigned - #15272523166")</f>
        <v/>
      </c>
      <c r="B686" s="0" t="s">
        <v>668</v>
      </c>
      <c r="E686" s="0" t="s">
        <v>12</v>
      </c>
      <c r="F686" s="0" t="s">
        <v>12</v>
      </c>
      <c r="G686" s="0" t="s">
        <v>245</v>
      </c>
      <c r="I686" s="5">
        <v>843.458400</v>
      </c>
      <c r="J686" s="5">
        <v>1.000000</v>
      </c>
    </row>
    <row r="687" spans="1:11">
      <c r="A687" s="22" t="str">
        <f>HYPERLINK("https://app.vivvix.com/360/KMI/IntelliDrive/ApplUI/Pages/CreativePages/CustomReportCreativeDetail.aspx?App=23&amp;ReportView=4&amp;Qid=1696098&amp;Row=679&amp;Col=1","No Title Assigned - #15272548251")</f>
        <v/>
      </c>
      <c r="B687" s="0" t="s">
        <v>669</v>
      </c>
      <c r="E687" s="0" t="s">
        <v>12</v>
      </c>
      <c r="F687" s="0" t="s">
        <v>12</v>
      </c>
      <c r="G687" s="0" t="s">
        <v>17</v>
      </c>
      <c r="I687" s="5">
        <v>5.307000</v>
      </c>
      <c r="J687" s="5">
        <v>1.000000</v>
      </c>
    </row>
    <row r="688" spans="1:11">
      <c r="A688" s="22" t="str">
        <f>HYPERLINK("https://app.vivvix.com/360/KMI/IntelliDrive/ApplUI/Pages/CreativePages/CustomReportCreativeDetail.aspx?App=23&amp;ReportView=4&amp;Qid=1696098&amp;Row=680&amp;Col=1","No Title Assigned - #15272549946")</f>
        <v/>
      </c>
      <c r="B688" s="0" t="s">
        <v>670</v>
      </c>
      <c r="E688" s="0" t="s">
        <v>12</v>
      </c>
      <c r="F688" s="0" t="s">
        <v>12</v>
      </c>
      <c r="G688" s="0" t="s">
        <v>204</v>
      </c>
      <c r="I688" s="5">
        <v>432.050000</v>
      </c>
      <c r="J688" s="5">
        <v>1.000000</v>
      </c>
    </row>
    <row r="689" spans="1:11">
      <c r="A689" s="22" t="str">
        <f>HYPERLINK("https://app.vivvix.com/360/KMI/IntelliDrive/ApplUI/Pages/CreativePages/CustomReportCreativeDetail.aspx?App=23&amp;ReportView=4&amp;Qid=1696098&amp;Row=681&amp;Col=1","No Title Assigned - #15272587037")</f>
        <v/>
      </c>
      <c r="B689" s="0" t="s">
        <v>671</v>
      </c>
      <c r="E689" s="0" t="s">
        <v>12</v>
      </c>
      <c r="F689" s="0" t="s">
        <v>12</v>
      </c>
      <c r="G689" s="0" t="s">
        <v>204</v>
      </c>
      <c r="I689" s="5">
        <v>1076.260700</v>
      </c>
      <c r="J689" s="5">
        <v>1.000000</v>
      </c>
    </row>
    <row r="690" spans="1:11">
      <c r="A690" s="22" t="str">
        <f>HYPERLINK("https://app.vivvix.com/360/KMI/IntelliDrive/ApplUI/Pages/CreativePages/CustomReportCreativeDetail.aspx?App=23&amp;ReportView=4&amp;Qid=1696098&amp;Row=682&amp;Col=1","No Title Assigned - #15272595222")</f>
        <v/>
      </c>
      <c r="B690" s="0" t="s">
        <v>672</v>
      </c>
      <c r="E690" s="0" t="s">
        <v>12</v>
      </c>
      <c r="F690" s="0" t="s">
        <v>12</v>
      </c>
      <c r="G690" s="0" t="s">
        <v>204</v>
      </c>
      <c r="I690" s="5">
        <v>308.923900</v>
      </c>
      <c r="J690" s="5">
        <v>1.000000</v>
      </c>
    </row>
    <row r="691" spans="1:11">
      <c r="A691" s="22" t="str">
        <f>HYPERLINK("https://app.vivvix.com/360/KMI/IntelliDrive/ApplUI/Pages/CreativePages/CustomReportCreativeDetail.aspx?App=23&amp;ReportView=4&amp;Qid=1696098&amp;Row=683&amp;Col=1","No Title Assigned - #15272595226")</f>
        <v/>
      </c>
      <c r="B691" s="0" t="s">
        <v>673</v>
      </c>
      <c r="E691" s="0" t="s">
        <v>12</v>
      </c>
      <c r="F691" s="0" t="s">
        <v>12</v>
      </c>
      <c r="G691" s="0" t="s">
        <v>204</v>
      </c>
      <c r="I691" s="5">
        <v>308.923900</v>
      </c>
      <c r="J691" s="5">
        <v>1.000000</v>
      </c>
    </row>
    <row r="692" spans="1:11">
      <c r="A692" s="22" t="str">
        <f>HYPERLINK("https://app.vivvix.com/360/KMI/IntelliDrive/ApplUI/Pages/CreativePages/CustomReportCreativeDetail.aspx?App=23&amp;ReportView=4&amp;Qid=1696098&amp;Row=684&amp;Col=1","No Title Assigned - #15272605566")</f>
        <v/>
      </c>
      <c r="B692" s="0" t="s">
        <v>674</v>
      </c>
      <c r="E692" s="0" t="s">
        <v>12</v>
      </c>
      <c r="F692" s="0" t="s">
        <v>12</v>
      </c>
      <c r="G692" s="0" t="s">
        <v>204</v>
      </c>
      <c r="I692" s="5">
        <v>246.691400</v>
      </c>
      <c r="J692" s="5">
        <v>1.000000</v>
      </c>
    </row>
    <row r="693" spans="1:11">
      <c r="A693" s="22" t="str">
        <f>HYPERLINK("https://app.vivvix.com/360/KMI/IntelliDrive/ApplUI/Pages/CreativePages/CustomReportCreativeDetail.aspx?App=23&amp;ReportView=4&amp;Qid=1696098&amp;Row=685&amp;Col=1","No Title Assigned - #15272643813")</f>
        <v/>
      </c>
      <c r="B693" s="0" t="s">
        <v>675</v>
      </c>
      <c r="E693" s="0" t="s">
        <v>12</v>
      </c>
      <c r="F693" s="0" t="s">
        <v>12</v>
      </c>
      <c r="G693" s="0" t="s">
        <v>204</v>
      </c>
      <c r="I693" s="5">
        <v>191.653600</v>
      </c>
      <c r="J693" s="5">
        <v>1.000000</v>
      </c>
    </row>
    <row r="694" spans="1:11">
      <c r="A694" s="22" t="str">
        <f>HYPERLINK("https://app.vivvix.com/360/KMI/IntelliDrive/ApplUI/Pages/CreativePages/CustomReportCreativeDetail.aspx?App=23&amp;ReportView=4&amp;Qid=1696098&amp;Row=686&amp;Col=1","No Title Assigned - #15272643853")</f>
        <v/>
      </c>
      <c r="B694" s="0" t="s">
        <v>676</v>
      </c>
      <c r="E694" s="0" t="s">
        <v>12</v>
      </c>
      <c r="F694" s="0" t="s">
        <v>12</v>
      </c>
      <c r="G694" s="0" t="s">
        <v>204</v>
      </c>
      <c r="I694" s="5">
        <v>191.653600</v>
      </c>
      <c r="J694" s="5">
        <v>1.000000</v>
      </c>
    </row>
    <row r="695" spans="1:11">
      <c r="A695" s="22" t="str">
        <f>HYPERLINK("https://app.vivvix.com/360/KMI/IntelliDrive/ApplUI/Pages/CreativePages/CustomReportCreativeDetail.aspx?App=23&amp;ReportView=4&amp;Qid=1696098&amp;Row=687&amp;Col=1","No Title Assigned - #15272643861")</f>
        <v/>
      </c>
      <c r="B695" s="0" t="s">
        <v>677</v>
      </c>
      <c r="E695" s="0" t="s">
        <v>12</v>
      </c>
      <c r="F695" s="0" t="s">
        <v>12</v>
      </c>
      <c r="G695" s="0" t="s">
        <v>204</v>
      </c>
      <c r="I695" s="5">
        <v>191.653600</v>
      </c>
      <c r="J695" s="5">
        <v>1.000000</v>
      </c>
    </row>
    <row r="696" spans="1:11">
      <c r="A696" s="22" t="str">
        <f>HYPERLINK("https://app.vivvix.com/360/KMI/IntelliDrive/ApplUI/Pages/CreativePages/CustomReportCreativeDetail.aspx?App=23&amp;ReportView=4&amp;Qid=1696098&amp;Row=688&amp;Col=1","No Title Assigned - #15272643879")</f>
        <v/>
      </c>
      <c r="B696" s="0" t="s">
        <v>678</v>
      </c>
      <c r="E696" s="0" t="s">
        <v>12</v>
      </c>
      <c r="F696" s="0" t="s">
        <v>12</v>
      </c>
      <c r="G696" s="0" t="s">
        <v>204</v>
      </c>
      <c r="I696" s="5">
        <v>191.653600</v>
      </c>
      <c r="J696" s="5">
        <v>1.000000</v>
      </c>
    </row>
    <row r="697" spans="1:11">
      <c r="A697" s="22" t="str">
        <f>HYPERLINK("https://app.vivvix.com/360/KMI/IntelliDrive/ApplUI/Pages/CreativePages/CustomReportCreativeDetail.aspx?App=23&amp;ReportView=4&amp;Qid=1696098&amp;Row=689&amp;Col=1","No Title Assigned - #15272646265")</f>
        <v/>
      </c>
      <c r="B697" s="0" t="s">
        <v>679</v>
      </c>
      <c r="E697" s="0" t="s">
        <v>12</v>
      </c>
      <c r="F697" s="0" t="s">
        <v>12</v>
      </c>
      <c r="G697" s="0" t="s">
        <v>204</v>
      </c>
      <c r="I697" s="5">
        <v>17362.669900</v>
      </c>
      <c r="J697" s="5">
        <v>1.000000</v>
      </c>
    </row>
    <row r="698" spans="1:11">
      <c r="A698" s="22" t="str">
        <f>HYPERLINK("https://app.vivvix.com/360/KMI/IntelliDrive/ApplUI/Pages/CreativePages/CustomReportCreativeDetail.aspx?App=23&amp;ReportView=4&amp;Qid=1696098&amp;Row=690&amp;Col=1","No Title Assigned - #15272671163")</f>
        <v/>
      </c>
      <c r="B698" s="0" t="s">
        <v>680</v>
      </c>
      <c r="E698" s="0" t="s">
        <v>12</v>
      </c>
      <c r="F698" s="0" t="s">
        <v>12</v>
      </c>
      <c r="G698" s="0" t="s">
        <v>245</v>
      </c>
      <c r="I698" s="5">
        <v>811.907900</v>
      </c>
      <c r="J698" s="5">
        <v>1.000000</v>
      </c>
    </row>
    <row r="699" spans="1:11">
      <c r="A699" s="22" t="str">
        <f>HYPERLINK("https://app.vivvix.com/360/KMI/IntelliDrive/ApplUI/Pages/CreativePages/CustomReportCreativeDetail.aspx?App=23&amp;ReportView=4&amp;Qid=1696098&amp;Row=691&amp;Col=1","No Title Assigned - #15272745037")</f>
        <v/>
      </c>
      <c r="B699" s="0" t="s">
        <v>681</v>
      </c>
      <c r="E699" s="0" t="s">
        <v>12</v>
      </c>
      <c r="F699" s="0" t="s">
        <v>12</v>
      </c>
      <c r="G699" s="0" t="s">
        <v>204</v>
      </c>
      <c r="I699" s="5">
        <v>670.475800</v>
      </c>
      <c r="J699" s="5">
        <v>1.000000</v>
      </c>
    </row>
    <row r="700" spans="1:11">
      <c r="A700" s="22" t="str">
        <f>HYPERLINK("https://app.vivvix.com/360/KMI/IntelliDrive/ApplUI/Pages/CreativePages/CustomReportCreativeDetail.aspx?App=23&amp;ReportView=4&amp;Qid=1696098&amp;Row=692&amp;Col=1","No Title Assigned - #15272745235")</f>
        <v/>
      </c>
      <c r="B700" s="0" t="s">
        <v>682</v>
      </c>
      <c r="E700" s="0" t="s">
        <v>12</v>
      </c>
      <c r="F700" s="0" t="s">
        <v>12</v>
      </c>
      <c r="G700" s="0" t="s">
        <v>204</v>
      </c>
      <c r="I700" s="5">
        <v>827.034100</v>
      </c>
      <c r="J700" s="5">
        <v>1.000000</v>
      </c>
    </row>
    <row r="701" spans="1:11">
      <c r="A701" s="22" t="str">
        <f>HYPERLINK("https://app.vivvix.com/360/KMI/IntelliDrive/ApplUI/Pages/CreativePages/CustomReportCreativeDetail.aspx?App=23&amp;ReportView=4&amp;Qid=1696098&amp;Row=693&amp;Col=1","No Title Assigned - #15272752755")</f>
        <v/>
      </c>
      <c r="B701" s="0" t="s">
        <v>683</v>
      </c>
      <c r="E701" s="0" t="s">
        <v>12</v>
      </c>
      <c r="F701" s="0" t="s">
        <v>12</v>
      </c>
      <c r="G701" s="0" t="s">
        <v>204</v>
      </c>
      <c r="I701" s="5">
        <v>417.865100</v>
      </c>
      <c r="J701" s="5">
        <v>1.000000</v>
      </c>
    </row>
    <row r="702" spans="1:11">
      <c r="A702" s="22" t="str">
        <f>HYPERLINK("https://app.vivvix.com/360/KMI/IntelliDrive/ApplUI/Pages/CreativePages/CustomReportCreativeDetail.aspx?App=23&amp;ReportView=4&amp;Qid=1696098&amp;Row=694&amp;Col=1","No Title Assigned - #15272759614")</f>
        <v/>
      </c>
      <c r="B702" s="0" t="s">
        <v>684</v>
      </c>
      <c r="E702" s="0" t="s">
        <v>12</v>
      </c>
      <c r="F702" s="0" t="s">
        <v>12</v>
      </c>
      <c r="G702" s="0" t="s">
        <v>17</v>
      </c>
      <c r="I702" s="5">
        <v>82.553000</v>
      </c>
      <c r="J702" s="5">
        <v>11.000000</v>
      </c>
    </row>
    <row r="703" spans="1:11">
      <c r="A703" s="22" t="str">
        <f>HYPERLINK("https://app.vivvix.com/360/KMI/IntelliDrive/ApplUI/Pages/CreativePages/CustomReportCreativeDetail.aspx?App=23&amp;ReportView=4&amp;Qid=1696098&amp;Row=695&amp;Col=1","No Title Assigned - #15272760613")</f>
        <v/>
      </c>
      <c r="B703" s="0" t="s">
        <v>685</v>
      </c>
      <c r="E703" s="0" t="s">
        <v>12</v>
      </c>
      <c r="F703" s="0" t="s">
        <v>12</v>
      </c>
      <c r="G703" s="0" t="s">
        <v>204</v>
      </c>
      <c r="I703" s="5">
        <v>1352.484700</v>
      </c>
      <c r="J703" s="5">
        <v>1.000000</v>
      </c>
    </row>
    <row r="704" spans="1:11">
      <c r="A704" s="22" t="str">
        <f>HYPERLINK("https://app.vivvix.com/360/KMI/IntelliDrive/ApplUI/Pages/CreativePages/CustomReportCreativeDetail.aspx?App=23&amp;ReportView=4&amp;Qid=1696098&amp;Row=696&amp;Col=1","No Title Assigned - #15272809106")</f>
        <v/>
      </c>
      <c r="B704" s="0" t="s">
        <v>686</v>
      </c>
      <c r="E704" s="0" t="s">
        <v>12</v>
      </c>
      <c r="F704" s="0" t="s">
        <v>12</v>
      </c>
      <c r="G704" s="0" t="s">
        <v>204</v>
      </c>
      <c r="I704" s="5">
        <v>96.186500</v>
      </c>
      <c r="J704" s="5">
        <v>1.000000</v>
      </c>
    </row>
    <row r="705" spans="1:11">
      <c r="A705" s="22" t="str">
        <f>HYPERLINK("https://app.vivvix.com/360/KMI/IntelliDrive/ApplUI/Pages/CreativePages/CustomReportCreativeDetail.aspx?App=23&amp;ReportView=4&amp;Qid=1696098&amp;Row=697&amp;Col=1","No Title Assigned - #15272908310")</f>
        <v/>
      </c>
      <c r="B705" s="0" t="s">
        <v>687</v>
      </c>
      <c r="E705" s="0" t="s">
        <v>12</v>
      </c>
      <c r="F705" s="0" t="s">
        <v>12</v>
      </c>
      <c r="G705" s="0" t="s">
        <v>204</v>
      </c>
      <c r="I705" s="5">
        <v>379.962400</v>
      </c>
      <c r="J705" s="5">
        <v>1.000000</v>
      </c>
    </row>
    <row r="706" spans="1:11">
      <c r="A706" s="22" t="str">
        <f>HYPERLINK("https://app.vivvix.com/360/KMI/IntelliDrive/ApplUI/Pages/CreativePages/CustomReportCreativeDetail.aspx?App=23&amp;ReportView=4&amp;Qid=1696098&amp;Row=698&amp;Col=1","No Title Assigned - #15272908311")</f>
        <v/>
      </c>
      <c r="B706" s="0" t="s">
        <v>688</v>
      </c>
      <c r="E706" s="0" t="s">
        <v>12</v>
      </c>
      <c r="F706" s="0" t="s">
        <v>12</v>
      </c>
      <c r="G706" s="0" t="s">
        <v>204</v>
      </c>
      <c r="I706" s="5">
        <v>379.962400</v>
      </c>
      <c r="J706" s="5">
        <v>1.000000</v>
      </c>
    </row>
    <row r="707" spans="1:11">
      <c r="A707" s="22" t="str">
        <f>HYPERLINK("https://app.vivvix.com/360/KMI/IntelliDrive/ApplUI/Pages/CreativePages/CustomReportCreativeDetail.aspx?App=23&amp;ReportView=4&amp;Qid=1696098&amp;Row=699&amp;Col=1","No Title Assigned - #15273009916")</f>
        <v/>
      </c>
      <c r="B707" s="0" t="s">
        <v>689</v>
      </c>
      <c r="E707" s="0" t="s">
        <v>12</v>
      </c>
      <c r="F707" s="0" t="s">
        <v>12</v>
      </c>
      <c r="G707" s="0" t="s">
        <v>204</v>
      </c>
      <c r="I707" s="5">
        <v>827.034100</v>
      </c>
      <c r="J707" s="5">
        <v>1.000000</v>
      </c>
    </row>
    <row r="708" spans="1:11">
      <c r="A708" s="22" t="str">
        <f>HYPERLINK("https://app.vivvix.com/360/KMI/IntelliDrive/ApplUI/Pages/CreativePages/CustomReportCreativeDetail.aspx?App=23&amp;ReportView=4&amp;Qid=1696098&amp;Row=700&amp;Col=1","No Title Assigned - #15273025340")</f>
        <v/>
      </c>
      <c r="B708" s="0" t="s">
        <v>690</v>
      </c>
      <c r="E708" s="0" t="s">
        <v>12</v>
      </c>
      <c r="F708" s="0" t="s">
        <v>12</v>
      </c>
      <c r="G708" s="0" t="s">
        <v>204</v>
      </c>
      <c r="I708" s="5">
        <v>134.908700</v>
      </c>
      <c r="J708" s="5">
        <v>1.000000</v>
      </c>
    </row>
    <row r="709" spans="1:11">
      <c r="A709" s="22" t="str">
        <f>HYPERLINK("https://app.vivvix.com/360/KMI/IntelliDrive/ApplUI/Pages/CreativePages/CustomReportCreativeDetail.aspx?App=23&amp;ReportView=4&amp;Qid=1696098&amp;Row=701&amp;Col=1","No Title Assigned - #15273067301")</f>
        <v/>
      </c>
      <c r="B709" s="0" t="s">
        <v>691</v>
      </c>
      <c r="E709" s="0" t="s">
        <v>12</v>
      </c>
      <c r="F709" s="0" t="s">
        <v>12</v>
      </c>
      <c r="G709" s="0" t="s">
        <v>204</v>
      </c>
      <c r="I709" s="5">
        <v>670.475800</v>
      </c>
      <c r="J709" s="5">
        <v>1.000000</v>
      </c>
    </row>
    <row r="710" spans="1:11">
      <c r="A710" s="22" t="str">
        <f>HYPERLINK("https://app.vivvix.com/360/KMI/IntelliDrive/ApplUI/Pages/CreativePages/CustomReportCreativeDetail.aspx?App=23&amp;ReportView=4&amp;Qid=1696098&amp;Row=702&amp;Col=1","No Title Assigned - #15273067314")</f>
        <v/>
      </c>
      <c r="B710" s="0" t="s">
        <v>692</v>
      </c>
      <c r="E710" s="0" t="s">
        <v>12</v>
      </c>
      <c r="F710" s="0" t="s">
        <v>12</v>
      </c>
      <c r="G710" s="0" t="s">
        <v>204</v>
      </c>
      <c r="I710" s="5">
        <v>670.475800</v>
      </c>
      <c r="J710" s="5">
        <v>1.000000</v>
      </c>
    </row>
    <row r="711" spans="1:11">
      <c r="A711" s="22" t="str">
        <f>HYPERLINK("https://app.vivvix.com/360/KMI/IntelliDrive/ApplUI/Pages/CreativePages/CustomReportCreativeDetail.aspx?App=23&amp;ReportView=4&amp;Qid=1696098&amp;Row=703&amp;Col=1","No Title Assigned - #15273076580")</f>
        <v/>
      </c>
      <c r="B711" s="0" t="s">
        <v>693</v>
      </c>
      <c r="E711" s="0" t="s">
        <v>12</v>
      </c>
      <c r="F711" s="0" t="s">
        <v>12</v>
      </c>
      <c r="G711" s="0" t="s">
        <v>17</v>
      </c>
      <c r="I711" s="5">
        <v>5.307000</v>
      </c>
      <c r="J711" s="5">
        <v>1.000000</v>
      </c>
    </row>
    <row r="712" spans="1:11">
      <c r="A712" s="22" t="str">
        <f>HYPERLINK("https://app.vivvix.com/360/KMI/IntelliDrive/ApplUI/Pages/CreativePages/CustomReportCreativeDetail.aspx?App=23&amp;ReportView=4&amp;Qid=1696098&amp;Row=704&amp;Col=1","No Title Assigned - #15273122921")</f>
        <v/>
      </c>
      <c r="B712" s="0" t="s">
        <v>694</v>
      </c>
      <c r="E712" s="0" t="s">
        <v>12</v>
      </c>
      <c r="F712" s="0" t="s">
        <v>12</v>
      </c>
      <c r="G712" s="0" t="s">
        <v>204</v>
      </c>
      <c r="I712" s="5">
        <v>827.034100</v>
      </c>
      <c r="J712" s="5">
        <v>1.000000</v>
      </c>
    </row>
    <row r="713" spans="1:11">
      <c r="A713" s="22" t="str">
        <f>HYPERLINK("https://app.vivvix.com/360/KMI/IntelliDrive/ApplUI/Pages/CreativePages/CustomReportCreativeDetail.aspx?App=23&amp;ReportView=4&amp;Qid=1696098&amp;Row=705&amp;Col=1","No Title Assigned - #15273155555")</f>
        <v/>
      </c>
      <c r="B713" s="0" t="s">
        <v>695</v>
      </c>
      <c r="E713" s="0" t="s">
        <v>12</v>
      </c>
      <c r="F713" s="0" t="s">
        <v>12</v>
      </c>
      <c r="G713" s="0" t="s">
        <v>204</v>
      </c>
      <c r="I713" s="5">
        <v>164.970600</v>
      </c>
      <c r="J713" s="5">
        <v>1.000000</v>
      </c>
    </row>
    <row r="714" spans="1:11">
      <c r="A714" s="22" t="str">
        <f>HYPERLINK("https://app.vivvix.com/360/KMI/IntelliDrive/ApplUI/Pages/CreativePages/CustomReportCreativeDetail.aspx?App=23&amp;ReportView=4&amp;Qid=1696098&amp;Row=706&amp;Col=1","No Title Assigned - #15273155568")</f>
        <v/>
      </c>
      <c r="B714" s="0" t="s">
        <v>696</v>
      </c>
      <c r="E714" s="0" t="s">
        <v>12</v>
      </c>
      <c r="F714" s="0" t="s">
        <v>12</v>
      </c>
      <c r="G714" s="0" t="s">
        <v>204</v>
      </c>
      <c r="I714" s="5">
        <v>164.970600</v>
      </c>
      <c r="J714" s="5">
        <v>1.000000</v>
      </c>
    </row>
    <row r="715" spans="1:11">
      <c r="A715" s="22" t="str">
        <f>HYPERLINK("https://app.vivvix.com/360/KMI/IntelliDrive/ApplUI/Pages/CreativePages/CustomReportCreativeDetail.aspx?App=23&amp;ReportView=4&amp;Qid=1696098&amp;Row=707&amp;Col=1","No Title Assigned - #15273155569")</f>
        <v/>
      </c>
      <c r="B715" s="0" t="s">
        <v>697</v>
      </c>
      <c r="E715" s="0" t="s">
        <v>12</v>
      </c>
      <c r="F715" s="0" t="s">
        <v>12</v>
      </c>
      <c r="G715" s="0" t="s">
        <v>204</v>
      </c>
      <c r="I715" s="5">
        <v>164.970600</v>
      </c>
      <c r="J715" s="5">
        <v>1.000000</v>
      </c>
    </row>
    <row r="716" spans="1:11">
      <c r="A716" s="22" t="str">
        <f>HYPERLINK("https://app.vivvix.com/360/KMI/IntelliDrive/ApplUI/Pages/CreativePages/CustomReportCreativeDetail.aspx?App=23&amp;ReportView=4&amp;Qid=1696098&amp;Row=708&amp;Col=1","No Title Assigned - #15273155571")</f>
        <v/>
      </c>
      <c r="B716" s="0" t="s">
        <v>698</v>
      </c>
      <c r="E716" s="0" t="s">
        <v>12</v>
      </c>
      <c r="F716" s="0" t="s">
        <v>12</v>
      </c>
      <c r="G716" s="0" t="s">
        <v>204</v>
      </c>
      <c r="I716" s="5">
        <v>164.970600</v>
      </c>
      <c r="J716" s="5">
        <v>1.000000</v>
      </c>
    </row>
    <row r="717" spans="1:11">
      <c r="A717" s="22" t="str">
        <f>HYPERLINK("https://app.vivvix.com/360/KMI/IntelliDrive/ApplUI/Pages/CreativePages/CustomReportCreativeDetail.aspx?App=23&amp;ReportView=4&amp;Qid=1696098&amp;Row=709&amp;Col=1","No Title Assigned - #15273160716")</f>
        <v/>
      </c>
      <c r="B717" s="0" t="s">
        <v>699</v>
      </c>
      <c r="E717" s="0" t="s">
        <v>12</v>
      </c>
      <c r="F717" s="0" t="s">
        <v>12</v>
      </c>
      <c r="G717" s="0" t="s">
        <v>204</v>
      </c>
      <c r="I717" s="5">
        <v>90.949900</v>
      </c>
      <c r="J717" s="5">
        <v>1.000000</v>
      </c>
    </row>
    <row r="718" spans="1:11">
      <c r="A718" s="22" t="str">
        <f>HYPERLINK("https://app.vivvix.com/360/KMI/IntelliDrive/ApplUI/Pages/CreativePages/CustomReportCreativeDetail.aspx?App=23&amp;ReportView=4&amp;Qid=1696098&amp;Row=710&amp;Col=1","No Title Assigned - #15273160717")</f>
        <v/>
      </c>
      <c r="B718" s="0" t="s">
        <v>700</v>
      </c>
      <c r="E718" s="0" t="s">
        <v>12</v>
      </c>
      <c r="F718" s="0" t="s">
        <v>12</v>
      </c>
      <c r="G718" s="0" t="s">
        <v>204</v>
      </c>
      <c r="I718" s="5">
        <v>363.799600</v>
      </c>
      <c r="J718" s="5">
        <v>4.000000</v>
      </c>
    </row>
    <row r="719" spans="1:11">
      <c r="A719" s="22" t="str">
        <f>HYPERLINK("https://app.vivvix.com/360/KMI/IntelliDrive/ApplUI/Pages/CreativePages/CustomReportCreativeDetail.aspx?App=23&amp;ReportView=4&amp;Qid=1696098&amp;Row=711&amp;Col=1","No Title Assigned - #15273164094")</f>
        <v/>
      </c>
      <c r="B719" s="0" t="s">
        <v>701</v>
      </c>
      <c r="E719" s="0" t="s">
        <v>12</v>
      </c>
      <c r="F719" s="0" t="s">
        <v>12</v>
      </c>
      <c r="G719" s="0" t="s">
        <v>204</v>
      </c>
      <c r="I719" s="5">
        <v>246.691400</v>
      </c>
      <c r="J719" s="5">
        <v>1.000000</v>
      </c>
    </row>
    <row r="720" spans="1:11">
      <c r="A720" s="22" t="str">
        <f>HYPERLINK("https://app.vivvix.com/360/KMI/IntelliDrive/ApplUI/Pages/CreativePages/CustomReportCreativeDetail.aspx?App=23&amp;ReportView=4&amp;Qid=1696098&amp;Row=712&amp;Col=1","No Title Assigned - #15273243707")</f>
        <v/>
      </c>
      <c r="B720" s="0" t="s">
        <v>702</v>
      </c>
      <c r="E720" s="0" t="s">
        <v>12</v>
      </c>
      <c r="F720" s="0" t="s">
        <v>12</v>
      </c>
      <c r="G720" s="0" t="s">
        <v>204</v>
      </c>
      <c r="I720" s="5">
        <v>147.978900</v>
      </c>
      <c r="J720" s="5">
        <v>1.000000</v>
      </c>
    </row>
    <row r="721" spans="1:11">
      <c r="A721" s="22" t="str">
        <f>HYPERLINK("https://app.vivvix.com/360/KMI/IntelliDrive/ApplUI/Pages/CreativePages/CustomReportCreativeDetail.aspx?App=23&amp;ReportView=4&amp;Qid=1696098&amp;Row=713&amp;Col=1","No Title Assigned - #15273243774")</f>
        <v/>
      </c>
      <c r="B721" s="0" t="s">
        <v>703</v>
      </c>
      <c r="E721" s="0" t="s">
        <v>12</v>
      </c>
      <c r="F721" s="0" t="s">
        <v>12</v>
      </c>
      <c r="G721" s="0" t="s">
        <v>204</v>
      </c>
      <c r="I721" s="5">
        <v>147.978900</v>
      </c>
      <c r="J721" s="5">
        <v>1.000000</v>
      </c>
    </row>
    <row r="722" spans="1:11">
      <c r="A722" s="22" t="str">
        <f>HYPERLINK("https://app.vivvix.com/360/KMI/IntelliDrive/ApplUI/Pages/CreativePages/CustomReportCreativeDetail.aspx?App=23&amp;ReportView=4&amp;Qid=1696098&amp;Row=714&amp;Col=1","No Title Assigned - #15273243839")</f>
        <v/>
      </c>
      <c r="B722" s="0" t="s">
        <v>704</v>
      </c>
      <c r="E722" s="0" t="s">
        <v>12</v>
      </c>
      <c r="F722" s="0" t="s">
        <v>12</v>
      </c>
      <c r="G722" s="0" t="s">
        <v>204</v>
      </c>
      <c r="I722" s="5">
        <v>147.978900</v>
      </c>
      <c r="J722" s="5">
        <v>1.000000</v>
      </c>
    </row>
    <row r="723" spans="1:11">
      <c r="A723" s="22" t="str">
        <f>HYPERLINK("https://app.vivvix.com/360/KMI/IntelliDrive/ApplUI/Pages/CreativePages/CustomReportCreativeDetail.aspx?App=23&amp;ReportView=4&amp;Qid=1696098&amp;Row=715&amp;Col=1","No Title Assigned - #15273350956")</f>
        <v/>
      </c>
      <c r="B723" s="0" t="s">
        <v>705</v>
      </c>
      <c r="E723" s="0" t="s">
        <v>12</v>
      </c>
      <c r="F723" s="0" t="s">
        <v>12</v>
      </c>
      <c r="G723" s="0" t="s">
        <v>204</v>
      </c>
      <c r="I723" s="5">
        <v>520.973000</v>
      </c>
      <c r="J723" s="5">
        <v>1.000000</v>
      </c>
    </row>
    <row r="724" spans="1:11">
      <c r="A724" s="22" t="str">
        <f>HYPERLINK("https://app.vivvix.com/360/KMI/IntelliDrive/ApplUI/Pages/CreativePages/CustomReportCreativeDetail.aspx?App=23&amp;ReportView=4&amp;Qid=1696098&amp;Row=716&amp;Col=1","No Title Assigned - #15273361628")</f>
        <v/>
      </c>
      <c r="B724" s="0" t="s">
        <v>706</v>
      </c>
      <c r="E724" s="0" t="s">
        <v>12</v>
      </c>
      <c r="F724" s="0" t="s">
        <v>12</v>
      </c>
      <c r="G724" s="0" t="s">
        <v>204</v>
      </c>
      <c r="I724" s="5">
        <v>4113.870600</v>
      </c>
      <c r="J724" s="5">
        <v>1.000000</v>
      </c>
    </row>
    <row r="725" spans="1:11">
      <c r="A725" s="22" t="str">
        <f>HYPERLINK("https://app.vivvix.com/360/KMI/IntelliDrive/ApplUI/Pages/CreativePages/CustomReportCreativeDetail.aspx?App=23&amp;ReportView=4&amp;Qid=1696098&amp;Row=717&amp;Col=1","No Title Assigned - #15273371961")</f>
        <v/>
      </c>
      <c r="B725" s="0" t="s">
        <v>707</v>
      </c>
      <c r="E725" s="0" t="s">
        <v>12</v>
      </c>
      <c r="F725" s="0" t="s">
        <v>12</v>
      </c>
      <c r="G725" s="0" t="s">
        <v>204</v>
      </c>
      <c r="I725" s="5">
        <v>623.772300</v>
      </c>
      <c r="J725" s="5">
        <v>1.000000</v>
      </c>
    </row>
    <row r="726" spans="1:11">
      <c r="A726" s="22" t="str">
        <f>HYPERLINK("https://app.vivvix.com/360/KMI/IntelliDrive/ApplUI/Pages/CreativePages/CustomReportCreativeDetail.aspx?App=23&amp;ReportView=4&amp;Qid=1696098&amp;Row=718&amp;Col=1","No Title Assigned - #15273379316")</f>
        <v/>
      </c>
      <c r="B726" s="0" t="s">
        <v>708</v>
      </c>
      <c r="E726" s="0" t="s">
        <v>12</v>
      </c>
      <c r="F726" s="0" t="s">
        <v>12</v>
      </c>
      <c r="G726" s="0" t="s">
        <v>204</v>
      </c>
      <c r="I726" s="5">
        <v>134.908700</v>
      </c>
      <c r="J726" s="5">
        <v>1.000000</v>
      </c>
    </row>
    <row r="727" spans="1:11">
      <c r="A727" s="22" t="str">
        <f>HYPERLINK("https://app.vivvix.com/360/KMI/IntelliDrive/ApplUI/Pages/CreativePages/CustomReportCreativeDetail.aspx?App=23&amp;ReportView=4&amp;Qid=1696098&amp;Row=719&amp;Col=1","No Title Assigned - #15273379317")</f>
        <v/>
      </c>
      <c r="B727" s="0" t="s">
        <v>709</v>
      </c>
      <c r="E727" s="0" t="s">
        <v>12</v>
      </c>
      <c r="F727" s="0" t="s">
        <v>12</v>
      </c>
      <c r="G727" s="0" t="s">
        <v>204</v>
      </c>
      <c r="I727" s="5">
        <v>134.908700</v>
      </c>
      <c r="J727" s="5">
        <v>1.000000</v>
      </c>
    </row>
    <row r="728" spans="1:11">
      <c r="A728" s="22" t="str">
        <f>HYPERLINK("https://app.vivvix.com/360/KMI/IntelliDrive/ApplUI/Pages/CreativePages/CustomReportCreativeDetail.aspx?App=23&amp;ReportView=4&amp;Qid=1696098&amp;Row=720&amp;Col=1","No Title Assigned - #15273379318")</f>
        <v/>
      </c>
      <c r="B728" s="0" t="s">
        <v>710</v>
      </c>
      <c r="E728" s="0" t="s">
        <v>12</v>
      </c>
      <c r="F728" s="0" t="s">
        <v>12</v>
      </c>
      <c r="G728" s="0" t="s">
        <v>204</v>
      </c>
      <c r="I728" s="5">
        <v>134.908700</v>
      </c>
      <c r="J728" s="5">
        <v>1.000000</v>
      </c>
    </row>
    <row r="729" spans="1:11">
      <c r="A729" s="22" t="str">
        <f>HYPERLINK("https://app.vivvix.com/360/KMI/IntelliDrive/ApplUI/Pages/CreativePages/CustomReportCreativeDetail.aspx?App=23&amp;ReportView=4&amp;Qid=1696098&amp;Row=721&amp;Col=1","No Title Assigned - #15273510536")</f>
        <v/>
      </c>
      <c r="B729" s="0" t="s">
        <v>711</v>
      </c>
      <c r="E729" s="0" t="s">
        <v>12</v>
      </c>
      <c r="F729" s="0" t="s">
        <v>12</v>
      </c>
      <c r="G729" s="0" t="s">
        <v>204</v>
      </c>
      <c r="I729" s="5">
        <v>232.098200</v>
      </c>
      <c r="J729" s="5">
        <v>1.000000</v>
      </c>
    </row>
    <row r="730" spans="1:11">
      <c r="A730" s="22" t="str">
        <f>HYPERLINK("https://app.vivvix.com/360/KMI/IntelliDrive/ApplUI/Pages/CreativePages/CustomReportCreativeDetail.aspx?App=23&amp;ReportView=4&amp;Qid=1696098&amp;Row=722&amp;Col=1","No Title Assigned - #15273510545")</f>
        <v/>
      </c>
      <c r="B730" s="0" t="s">
        <v>712</v>
      </c>
      <c r="E730" s="0" t="s">
        <v>12</v>
      </c>
      <c r="F730" s="0" t="s">
        <v>12</v>
      </c>
      <c r="G730" s="0" t="s">
        <v>204</v>
      </c>
      <c r="I730" s="5">
        <v>232.098200</v>
      </c>
      <c r="J730" s="5">
        <v>1.000000</v>
      </c>
    </row>
    <row r="731" spans="1:11">
      <c r="A731" s="22" t="str">
        <f>HYPERLINK("https://app.vivvix.com/360/KMI/IntelliDrive/ApplUI/Pages/CreativePages/CustomReportCreativeDetail.aspx?App=23&amp;ReportView=4&amp;Qid=1696098&amp;Row=723&amp;Col=1","No Title Assigned - #15273513435")</f>
        <v/>
      </c>
      <c r="B731" s="0" t="s">
        <v>713</v>
      </c>
      <c r="E731" s="0" t="s">
        <v>12</v>
      </c>
      <c r="F731" s="0" t="s">
        <v>12</v>
      </c>
      <c r="G731" s="0" t="s">
        <v>204</v>
      </c>
      <c r="I731" s="5">
        <v>496.184500</v>
      </c>
      <c r="J731" s="5">
        <v>1.000000</v>
      </c>
    </row>
    <row r="732" spans="1:11">
      <c r="A732" s="22" t="str">
        <f>HYPERLINK("https://app.vivvix.com/360/KMI/IntelliDrive/ApplUI/Pages/CreativePages/CustomReportCreativeDetail.aspx?App=23&amp;ReportView=4&amp;Qid=1696098&amp;Row=724&amp;Col=1","No Title Assigned - #15273547503")</f>
        <v/>
      </c>
      <c r="B732" s="0" t="s">
        <v>714</v>
      </c>
      <c r="E732" s="0" t="s">
        <v>12</v>
      </c>
      <c r="F732" s="0" t="s">
        <v>715</v>
      </c>
      <c r="G732" s="0" t="s">
        <v>245</v>
      </c>
      <c r="J732" s="5">
        <v>1.000000</v>
      </c>
    </row>
    <row r="733" spans="1:11">
      <c r="A733" s="22" t="str">
        <f>HYPERLINK("https://app.vivvix.com/360/KMI/IntelliDrive/ApplUI/Pages/CreativePages/CustomReportCreativeDetail.aspx?App=23&amp;ReportView=4&amp;Qid=1696098&amp;Row=725&amp;Col=1","No Title Assigned - #15273566917")</f>
        <v/>
      </c>
      <c r="B733" s="0" t="s">
        <v>716</v>
      </c>
      <c r="E733" s="0" t="s">
        <v>12</v>
      </c>
      <c r="F733" s="0" t="s">
        <v>12</v>
      </c>
      <c r="G733" s="0" t="s">
        <v>204</v>
      </c>
      <c r="I733" s="5">
        <v>6217.632800</v>
      </c>
      <c r="J733" s="5">
        <v>1.000000</v>
      </c>
    </row>
    <row r="734" spans="1:11">
      <c r="A734" s="22" t="str">
        <f>HYPERLINK("https://app.vivvix.com/360/KMI/IntelliDrive/ApplUI/Pages/CreativePages/CustomReportCreativeDetail.aspx?App=23&amp;ReportView=4&amp;Qid=1696098&amp;Row=726&amp;Col=1","No Title Assigned - #15273567474")</f>
        <v/>
      </c>
      <c r="B734" s="0" t="s">
        <v>717</v>
      </c>
      <c r="E734" s="0" t="s">
        <v>12</v>
      </c>
      <c r="F734" s="0" t="s">
        <v>12</v>
      </c>
      <c r="G734" s="0" t="s">
        <v>204</v>
      </c>
      <c r="I734" s="5">
        <v>2011.427400</v>
      </c>
      <c r="J734" s="5">
        <v>3.000000</v>
      </c>
    </row>
    <row r="735" spans="1:11">
      <c r="A735" s="22" t="str">
        <f>HYPERLINK("https://app.vivvix.com/360/KMI/IntelliDrive/ApplUI/Pages/CreativePages/CustomReportCreativeDetail.aspx?App=23&amp;ReportView=4&amp;Qid=1696098&amp;Row=727&amp;Col=1","No Title Assigned - #15273573189")</f>
        <v/>
      </c>
      <c r="B735" s="0" t="s">
        <v>718</v>
      </c>
      <c r="E735" s="0" t="s">
        <v>12</v>
      </c>
      <c r="F735" s="0" t="s">
        <v>12</v>
      </c>
      <c r="G735" s="0" t="s">
        <v>204</v>
      </c>
      <c r="I735" s="5">
        <v>670.475800</v>
      </c>
      <c r="J735" s="5">
        <v>1.000000</v>
      </c>
    </row>
    <row r="736" spans="1:11">
      <c r="A736" s="22" t="str">
        <f>HYPERLINK("https://app.vivvix.com/360/KMI/IntelliDrive/ApplUI/Pages/CreativePages/CustomReportCreativeDetail.aspx?App=23&amp;ReportView=4&amp;Qid=1696098&amp;Row=728&amp;Col=1","No Title Assigned - #15273573249")</f>
        <v/>
      </c>
      <c r="B736" s="0" t="s">
        <v>719</v>
      </c>
      <c r="E736" s="0" t="s">
        <v>12</v>
      </c>
      <c r="F736" s="0" t="s">
        <v>12</v>
      </c>
      <c r="G736" s="0" t="s">
        <v>204</v>
      </c>
      <c r="I736" s="5">
        <v>670.475800</v>
      </c>
      <c r="J736" s="5">
        <v>1.000000</v>
      </c>
    </row>
    <row r="737" spans="1:11">
      <c r="A737" s="22" t="str">
        <f>HYPERLINK("https://app.vivvix.com/360/KMI/IntelliDrive/ApplUI/Pages/CreativePages/CustomReportCreativeDetail.aspx?App=23&amp;ReportView=4&amp;Qid=1696098&amp;Row=729&amp;Col=1","No Title Assigned - #15273573256")</f>
        <v/>
      </c>
      <c r="B737" s="0" t="s">
        <v>720</v>
      </c>
      <c r="E737" s="0" t="s">
        <v>12</v>
      </c>
      <c r="F737" s="0" t="s">
        <v>12</v>
      </c>
      <c r="G737" s="0" t="s">
        <v>204</v>
      </c>
      <c r="I737" s="5">
        <v>670.475800</v>
      </c>
      <c r="J737" s="5">
        <v>1.000000</v>
      </c>
    </row>
    <row r="738" spans="1:11">
      <c r="A738" s="22" t="str">
        <f>HYPERLINK("https://app.vivvix.com/360/KMI/IntelliDrive/ApplUI/Pages/CreativePages/CustomReportCreativeDetail.aspx?App=23&amp;ReportView=4&amp;Qid=1696098&amp;Row=730&amp;Col=1","No Title Assigned - #15273584299")</f>
        <v/>
      </c>
      <c r="B738" s="0" t="s">
        <v>721</v>
      </c>
      <c r="E738" s="0" t="s">
        <v>12</v>
      </c>
      <c r="F738" s="0" t="s">
        <v>12</v>
      </c>
      <c r="G738" s="0" t="s">
        <v>204</v>
      </c>
      <c r="I738" s="5">
        <v>551.404200</v>
      </c>
      <c r="J738" s="5">
        <v>3.000000</v>
      </c>
    </row>
    <row r="739" spans="1:11">
      <c r="A739" s="22" t="str">
        <f>HYPERLINK("https://app.vivvix.com/360/KMI/IntelliDrive/ApplUI/Pages/CreativePages/CustomReportCreativeDetail.aspx?App=23&amp;ReportView=4&amp;Qid=1696098&amp;Row=731&amp;Col=1","No Title Assigned - #15273584307")</f>
        <v/>
      </c>
      <c r="B739" s="0" t="s">
        <v>722</v>
      </c>
      <c r="E739" s="0" t="s">
        <v>12</v>
      </c>
      <c r="F739" s="0" t="s">
        <v>12</v>
      </c>
      <c r="G739" s="0" t="s">
        <v>204</v>
      </c>
      <c r="I739" s="5">
        <v>150.576200</v>
      </c>
      <c r="J739" s="5">
        <v>1.000000</v>
      </c>
    </row>
    <row r="740" spans="1:11">
      <c r="A740" s="22" t="str">
        <f>HYPERLINK("https://app.vivvix.com/360/KMI/IntelliDrive/ApplUI/Pages/CreativePages/CustomReportCreativeDetail.aspx?App=23&amp;ReportView=4&amp;Qid=1696098&amp;Row=732&amp;Col=1","No Title Assigned - #15273659863")</f>
        <v/>
      </c>
      <c r="B740" s="0" t="s">
        <v>723</v>
      </c>
      <c r="E740" s="0" t="s">
        <v>12</v>
      </c>
      <c r="F740" s="0" t="s">
        <v>12</v>
      </c>
      <c r="G740" s="0" t="s">
        <v>204</v>
      </c>
      <c r="I740" s="5">
        <v>2449.865700</v>
      </c>
      <c r="J740" s="5">
        <v>1.000000</v>
      </c>
    </row>
    <row r="741" spans="1:11">
      <c r="A741" s="22" t="str">
        <f>HYPERLINK("https://app.vivvix.com/360/KMI/IntelliDrive/ApplUI/Pages/CreativePages/CustomReportCreativeDetail.aspx?App=23&amp;ReportView=4&amp;Qid=1696098&amp;Row=733&amp;Col=1","No Title Assigned - #15273667081")</f>
        <v/>
      </c>
      <c r="B741" s="0" t="s">
        <v>724</v>
      </c>
      <c r="E741" s="0" t="s">
        <v>12</v>
      </c>
      <c r="F741" s="0" t="s">
        <v>12</v>
      </c>
      <c r="G741" s="0" t="s">
        <v>204</v>
      </c>
      <c r="I741" s="5">
        <v>797.485800</v>
      </c>
      <c r="J741" s="5">
        <v>1.000000</v>
      </c>
    </row>
    <row r="742" spans="1:11">
      <c r="A742" s="22" t="str">
        <f>HYPERLINK("https://app.vivvix.com/360/KMI/IntelliDrive/ApplUI/Pages/CreativePages/CustomReportCreativeDetail.aspx?App=23&amp;ReportView=4&amp;Qid=1696098&amp;Row=734&amp;Col=1","No Title Assigned - #15273688310")</f>
        <v/>
      </c>
      <c r="B742" s="0" t="s">
        <v>725</v>
      </c>
      <c r="E742" s="0" t="s">
        <v>12</v>
      </c>
      <c r="F742" s="0" t="s">
        <v>12</v>
      </c>
      <c r="G742" s="0" t="s">
        <v>204</v>
      </c>
      <c r="I742" s="5">
        <v>200.414000</v>
      </c>
      <c r="J742" s="5">
        <v>1.000000</v>
      </c>
    </row>
    <row r="743" spans="1:11">
      <c r="A743" s="22" t="str">
        <f>HYPERLINK("https://app.vivvix.com/360/KMI/IntelliDrive/ApplUI/Pages/CreativePages/CustomReportCreativeDetail.aspx?App=23&amp;ReportView=4&amp;Qid=1696098&amp;Row=735&amp;Col=1","No Title Assigned - #15273722725")</f>
        <v/>
      </c>
      <c r="B743" s="0" t="s">
        <v>726</v>
      </c>
      <c r="E743" s="0" t="s">
        <v>12</v>
      </c>
      <c r="F743" s="0" t="s">
        <v>12</v>
      </c>
      <c r="G743" s="0" t="s">
        <v>204</v>
      </c>
      <c r="I743" s="5">
        <v>350.308100</v>
      </c>
      <c r="J743" s="5">
        <v>1.000000</v>
      </c>
    </row>
    <row r="744" spans="1:11">
      <c r="A744" s="22" t="str">
        <f>HYPERLINK("https://app.vivvix.com/360/KMI/IntelliDrive/ApplUI/Pages/CreativePages/CustomReportCreativeDetail.aspx?App=23&amp;ReportView=4&amp;Qid=1696098&amp;Row=736&amp;Col=1","No Title Assigned - #15273722727")</f>
        <v/>
      </c>
      <c r="B744" s="0" t="s">
        <v>727</v>
      </c>
      <c r="E744" s="0" t="s">
        <v>12</v>
      </c>
      <c r="F744" s="0" t="s">
        <v>12</v>
      </c>
      <c r="G744" s="0" t="s">
        <v>204</v>
      </c>
      <c r="I744" s="5">
        <v>350.308100</v>
      </c>
      <c r="J744" s="5">
        <v>1.000000</v>
      </c>
    </row>
    <row r="745" spans="1:11">
      <c r="A745" s="22" t="str">
        <f>HYPERLINK("https://app.vivvix.com/360/KMI/IntelliDrive/ApplUI/Pages/CreativePages/CustomReportCreativeDetail.aspx?App=23&amp;ReportView=4&amp;Qid=1696098&amp;Row=737&amp;Col=1","No Title Assigned - #15273728975")</f>
        <v/>
      </c>
      <c r="B745" s="0" t="s">
        <v>728</v>
      </c>
      <c r="E745" s="0" t="s">
        <v>12</v>
      </c>
      <c r="F745" s="0" t="s">
        <v>12</v>
      </c>
      <c r="G745" s="0" t="s">
        <v>204</v>
      </c>
      <c r="I745" s="5">
        <v>4784.423800</v>
      </c>
      <c r="J745" s="5">
        <v>1.000000</v>
      </c>
    </row>
    <row r="746" spans="1:11">
      <c r="A746" s="22" t="str">
        <f>HYPERLINK("https://app.vivvix.com/360/KMI/IntelliDrive/ApplUI/Pages/CreativePages/CustomReportCreativeDetail.aspx?App=23&amp;ReportView=4&amp;Qid=1696098&amp;Row=738&amp;Col=1","No Title Assigned - #15273799644")</f>
        <v/>
      </c>
      <c r="B746" s="0" t="s">
        <v>729</v>
      </c>
      <c r="E746" s="0" t="s">
        <v>12</v>
      </c>
      <c r="F746" s="0" t="s">
        <v>12</v>
      </c>
      <c r="G746" s="0" t="s">
        <v>204</v>
      </c>
      <c r="I746" s="5">
        <v>254.537200</v>
      </c>
      <c r="J746" s="5">
        <v>1.000000</v>
      </c>
    </row>
    <row r="747" spans="1:11">
      <c r="A747" s="22" t="str">
        <f>HYPERLINK("https://app.vivvix.com/360/KMI/IntelliDrive/ApplUI/Pages/CreativePages/CustomReportCreativeDetail.aspx?App=23&amp;ReportView=4&amp;Qid=1696098&amp;Row=739&amp;Col=1","No Title Assigned - #15273799662")</f>
        <v/>
      </c>
      <c r="B747" s="0" t="s">
        <v>730</v>
      </c>
      <c r="E747" s="0" t="s">
        <v>12</v>
      </c>
      <c r="F747" s="0" t="s">
        <v>12</v>
      </c>
      <c r="G747" s="0" t="s">
        <v>204</v>
      </c>
      <c r="I747" s="5">
        <v>254.537200</v>
      </c>
      <c r="J747" s="5">
        <v>1.000000</v>
      </c>
    </row>
    <row r="748" spans="1:11">
      <c r="A748" s="22" t="str">
        <f>HYPERLINK("https://app.vivvix.com/360/KMI/IntelliDrive/ApplUI/Pages/CreativePages/CustomReportCreativeDetail.aspx?App=23&amp;ReportView=4&amp;Qid=1696098&amp;Row=740&amp;Col=1","No Title Assigned - #15273799693")</f>
        <v/>
      </c>
      <c r="B748" s="0" t="s">
        <v>731</v>
      </c>
      <c r="E748" s="0" t="s">
        <v>12</v>
      </c>
      <c r="F748" s="0" t="s">
        <v>12</v>
      </c>
      <c r="G748" s="0" t="s">
        <v>204</v>
      </c>
      <c r="I748" s="5">
        <v>254.537200</v>
      </c>
      <c r="J748" s="5">
        <v>1.000000</v>
      </c>
    </row>
    <row r="749" spans="1:11">
      <c r="A749" s="22" t="str">
        <f>HYPERLINK("https://app.vivvix.com/360/KMI/IntelliDrive/ApplUI/Pages/CreativePages/CustomReportCreativeDetail.aspx?App=23&amp;ReportView=4&amp;Qid=1696098&amp;Row=741&amp;Col=1","No Title Assigned - #15273802282")</f>
        <v/>
      </c>
      <c r="B749" s="0" t="s">
        <v>732</v>
      </c>
      <c r="E749" s="0" t="s">
        <v>12</v>
      </c>
      <c r="F749" s="0" t="s">
        <v>12</v>
      </c>
      <c r="G749" s="0" t="s">
        <v>204</v>
      </c>
      <c r="I749" s="5">
        <v>551.629500</v>
      </c>
      <c r="J749" s="5">
        <v>1.000000</v>
      </c>
    </row>
    <row r="750" spans="1:11">
      <c r="A750" s="22" t="str">
        <f>HYPERLINK("https://app.vivvix.com/360/KMI/IntelliDrive/ApplUI/Pages/CreativePages/CustomReportCreativeDetail.aspx?App=23&amp;ReportView=4&amp;Qid=1696098&amp;Row=742&amp;Col=1","No Title Assigned - #15273804699")</f>
        <v/>
      </c>
      <c r="B750" s="0" t="s">
        <v>733</v>
      </c>
      <c r="E750" s="0" t="s">
        <v>12</v>
      </c>
      <c r="F750" s="0" t="s">
        <v>12</v>
      </c>
      <c r="G750" s="0" t="s">
        <v>204</v>
      </c>
      <c r="I750" s="5">
        <v>593.316000</v>
      </c>
      <c r="J750" s="5">
        <v>1.000000</v>
      </c>
    </row>
    <row r="751" spans="1:11">
      <c r="A751" s="22" t="str">
        <f>HYPERLINK("https://app.vivvix.com/360/KMI/IntelliDrive/ApplUI/Pages/CreativePages/CustomReportCreativeDetail.aspx?App=23&amp;ReportView=4&amp;Qid=1696098&amp;Row=743&amp;Col=1","No Title Assigned - #15273806709")</f>
        <v/>
      </c>
      <c r="B751" s="0" t="s">
        <v>734</v>
      </c>
      <c r="E751" s="0" t="s">
        <v>12</v>
      </c>
      <c r="F751" s="0" t="s">
        <v>12</v>
      </c>
      <c r="G751" s="0" t="s">
        <v>204</v>
      </c>
      <c r="I751" s="5">
        <v>184.015300</v>
      </c>
      <c r="J751" s="5">
        <v>1.000000</v>
      </c>
    </row>
    <row r="752" spans="1:11">
      <c r="A752" s="22" t="str">
        <f>HYPERLINK("https://app.vivvix.com/360/KMI/IntelliDrive/ApplUI/Pages/CreativePages/CustomReportCreativeDetail.aspx?App=23&amp;ReportView=4&amp;Qid=1696098&amp;Row=744&amp;Col=1","No Title Assigned - #15273806745")</f>
        <v/>
      </c>
      <c r="B752" s="0" t="s">
        <v>735</v>
      </c>
      <c r="E752" s="0" t="s">
        <v>12</v>
      </c>
      <c r="F752" s="0" t="s">
        <v>12</v>
      </c>
      <c r="G752" s="0" t="s">
        <v>204</v>
      </c>
      <c r="I752" s="5">
        <v>184.015300</v>
      </c>
      <c r="J752" s="5">
        <v>1.000000</v>
      </c>
    </row>
    <row r="753" spans="1:11">
      <c r="A753" s="22" t="str">
        <f>HYPERLINK("https://app.vivvix.com/360/KMI/IntelliDrive/ApplUI/Pages/CreativePages/CustomReportCreativeDetail.aspx?App=23&amp;ReportView=4&amp;Qid=1696098&amp;Row=745&amp;Col=1","No Title Assigned - #15273807913")</f>
        <v/>
      </c>
      <c r="B753" s="0" t="s">
        <v>736</v>
      </c>
      <c r="E753" s="0" t="s">
        <v>12</v>
      </c>
      <c r="F753" s="0" t="s">
        <v>12</v>
      </c>
      <c r="G753" s="0" t="s">
        <v>204</v>
      </c>
      <c r="I753" s="5">
        <v>5601.374500</v>
      </c>
      <c r="J753" s="5">
        <v>1.000000</v>
      </c>
    </row>
    <row r="754" spans="1:11">
      <c r="A754" s="22" t="str">
        <f>HYPERLINK("https://app.vivvix.com/360/KMI/IntelliDrive/ApplUI/Pages/CreativePages/CustomReportCreativeDetail.aspx?App=23&amp;ReportView=4&amp;Qid=1696098&amp;Row=746&amp;Col=1","No Title Assigned - #15273815271")</f>
        <v/>
      </c>
      <c r="B754" s="0" t="s">
        <v>737</v>
      </c>
      <c r="E754" s="0" t="s">
        <v>12</v>
      </c>
      <c r="F754" s="0" t="s">
        <v>12</v>
      </c>
      <c r="G754" s="0" t="s">
        <v>204</v>
      </c>
      <c r="I754" s="5">
        <v>532.864100</v>
      </c>
      <c r="J754" s="5">
        <v>1.000000</v>
      </c>
    </row>
    <row r="755" spans="1:11">
      <c r="A755" s="22" t="str">
        <f>HYPERLINK("https://app.vivvix.com/360/KMI/IntelliDrive/ApplUI/Pages/CreativePages/CustomReportCreativeDetail.aspx?App=23&amp;ReportView=4&amp;Qid=1696098&amp;Row=747&amp;Col=1","No Title Assigned - #15273867612")</f>
        <v/>
      </c>
      <c r="B755" s="0" t="s">
        <v>738</v>
      </c>
      <c r="E755" s="0" t="s">
        <v>12</v>
      </c>
      <c r="F755" s="0" t="s">
        <v>12</v>
      </c>
      <c r="G755" s="0" t="s">
        <v>204</v>
      </c>
      <c r="I755" s="5">
        <v>200.414000</v>
      </c>
      <c r="J755" s="5">
        <v>1.000000</v>
      </c>
    </row>
    <row r="756" spans="1:11">
      <c r="A756" s="22" t="str">
        <f>HYPERLINK("https://app.vivvix.com/360/KMI/IntelliDrive/ApplUI/Pages/CreativePages/CustomReportCreativeDetail.aspx?App=23&amp;ReportView=4&amp;Qid=1696098&amp;Row=748&amp;Col=1","No Title Assigned - #15273873861")</f>
        <v/>
      </c>
      <c r="B756" s="0" t="s">
        <v>739</v>
      </c>
      <c r="E756" s="0" t="s">
        <v>12</v>
      </c>
      <c r="F756" s="0" t="s">
        <v>12</v>
      </c>
      <c r="G756" s="0" t="s">
        <v>204</v>
      </c>
      <c r="I756" s="5">
        <v>5644.463900</v>
      </c>
      <c r="J756" s="5">
        <v>1.000000</v>
      </c>
    </row>
    <row r="757" spans="1:11">
      <c r="A757" s="22" t="str">
        <f>HYPERLINK("https://app.vivvix.com/360/KMI/IntelliDrive/ApplUI/Pages/CreativePages/CustomReportCreativeDetail.aspx?App=23&amp;ReportView=4&amp;Qid=1696098&amp;Row=749&amp;Col=1","No Title Assigned - #15273896870")</f>
        <v/>
      </c>
      <c r="B757" s="0" t="s">
        <v>740</v>
      </c>
      <c r="E757" s="0" t="s">
        <v>12</v>
      </c>
      <c r="F757" s="0" t="s">
        <v>12</v>
      </c>
      <c r="G757" s="0" t="s">
        <v>204</v>
      </c>
      <c r="I757" s="5">
        <v>797.485800</v>
      </c>
      <c r="J757" s="5">
        <v>1.000000</v>
      </c>
    </row>
    <row r="758" spans="1:11">
      <c r="A758" s="22" t="str">
        <f>HYPERLINK("https://app.vivvix.com/360/KMI/IntelliDrive/ApplUI/Pages/CreativePages/CustomReportCreativeDetail.aspx?App=23&amp;ReportView=4&amp;Qid=1696098&amp;Row=750&amp;Col=1","No Title Assigned - #15273896927")</f>
        <v/>
      </c>
      <c r="B758" s="0" t="s">
        <v>741</v>
      </c>
      <c r="E758" s="0" t="s">
        <v>12</v>
      </c>
      <c r="F758" s="0" t="s">
        <v>12</v>
      </c>
      <c r="G758" s="0" t="s">
        <v>204</v>
      </c>
      <c r="I758" s="5">
        <v>580.892600</v>
      </c>
      <c r="J758" s="5">
        <v>1.000000</v>
      </c>
    </row>
    <row r="759" spans="1:11">
      <c r="A759" s="22" t="str">
        <f>HYPERLINK("https://app.vivvix.com/360/KMI/IntelliDrive/ApplUI/Pages/CreativePages/CustomReportCreativeDetail.aspx?App=23&amp;ReportView=4&amp;Qid=1696098&amp;Row=751&amp;Col=1","No Title Assigned - #15273954070")</f>
        <v/>
      </c>
      <c r="B759" s="0" t="s">
        <v>742</v>
      </c>
      <c r="E759" s="0" t="s">
        <v>12</v>
      </c>
      <c r="F759" s="0" t="s">
        <v>12</v>
      </c>
      <c r="G759" s="0" t="s">
        <v>204</v>
      </c>
      <c r="I759" s="5">
        <v>4915.556900</v>
      </c>
      <c r="J759" s="5">
        <v>7.000000</v>
      </c>
    </row>
    <row r="760" spans="1:11">
      <c r="A760" s="22" t="str">
        <f>HYPERLINK("https://app.vivvix.com/360/KMI/IntelliDrive/ApplUI/Pages/CreativePages/CustomReportCreativeDetail.aspx?App=23&amp;ReportView=4&amp;Qid=1696098&amp;Row=752&amp;Col=1","No Title Assigned - #15273975715")</f>
        <v/>
      </c>
      <c r="B760" s="0" t="s">
        <v>743</v>
      </c>
      <c r="E760" s="0" t="s">
        <v>12</v>
      </c>
      <c r="F760" s="0" t="s">
        <v>12</v>
      </c>
      <c r="G760" s="0" t="s">
        <v>204</v>
      </c>
      <c r="I760" s="5">
        <v>1947.219000</v>
      </c>
      <c r="J760" s="5">
        <v>2.000000</v>
      </c>
    </row>
    <row r="761" spans="1:11">
      <c r="A761" s="22" t="str">
        <f>HYPERLINK("https://app.vivvix.com/360/KMI/IntelliDrive/ApplUI/Pages/CreativePages/CustomReportCreativeDetail.aspx?App=23&amp;ReportView=4&amp;Qid=1696098&amp;Row=753&amp;Col=1","No Title Assigned - #15274028483")</f>
        <v/>
      </c>
      <c r="B761" s="0" t="s">
        <v>744</v>
      </c>
      <c r="E761" s="0" t="s">
        <v>12</v>
      </c>
      <c r="F761" s="0" t="s">
        <v>12</v>
      </c>
      <c r="G761" s="0" t="s">
        <v>204</v>
      </c>
      <c r="I761" s="5">
        <v>184.015300</v>
      </c>
      <c r="J761" s="5">
        <v>1.000000</v>
      </c>
    </row>
    <row r="762" spans="1:11">
      <c r="A762" s="22" t="str">
        <f>HYPERLINK("https://app.vivvix.com/360/KMI/IntelliDrive/ApplUI/Pages/CreativePages/CustomReportCreativeDetail.aspx?App=23&amp;ReportView=4&amp;Qid=1696098&amp;Row=754&amp;Col=1","No Title Assigned - #15274028490")</f>
        <v/>
      </c>
      <c r="B762" s="0" t="s">
        <v>745</v>
      </c>
      <c r="E762" s="0" t="s">
        <v>12</v>
      </c>
      <c r="F762" s="0" t="s">
        <v>12</v>
      </c>
      <c r="G762" s="0" t="s">
        <v>204</v>
      </c>
      <c r="I762" s="5">
        <v>184.015300</v>
      </c>
      <c r="J762" s="5">
        <v>1.000000</v>
      </c>
    </row>
    <row r="763" spans="1:11">
      <c r="A763" s="22" t="str">
        <f>HYPERLINK("https://app.vivvix.com/360/KMI/IntelliDrive/ApplUI/Pages/CreativePages/CustomReportCreativeDetail.aspx?App=23&amp;ReportView=4&amp;Qid=1696098&amp;Row=755&amp;Col=1","No Title Assigned - #15274042107")</f>
        <v/>
      </c>
      <c r="B763" s="0" t="s">
        <v>746</v>
      </c>
      <c r="E763" s="0" t="s">
        <v>12</v>
      </c>
      <c r="F763" s="0" t="s">
        <v>12</v>
      </c>
      <c r="G763" s="0" t="s">
        <v>204</v>
      </c>
      <c r="I763" s="5">
        <v>532.864100</v>
      </c>
      <c r="J763" s="5">
        <v>1.000000</v>
      </c>
    </row>
    <row r="764" spans="1:11">
      <c r="A764" s="22" t="str">
        <f>HYPERLINK("https://app.vivvix.com/360/KMI/IntelliDrive/ApplUI/Pages/CreativePages/CustomReportCreativeDetail.aspx?App=23&amp;ReportView=4&amp;Qid=1696098&amp;Row=756&amp;Col=1","No Title Assigned - #15274043733")</f>
        <v/>
      </c>
      <c r="B764" s="0" t="s">
        <v>747</v>
      </c>
      <c r="E764" s="0" t="s">
        <v>12</v>
      </c>
      <c r="F764" s="0" t="s">
        <v>12</v>
      </c>
      <c r="G764" s="0" t="s">
        <v>204</v>
      </c>
      <c r="I764" s="5">
        <v>328.224300</v>
      </c>
      <c r="J764" s="5">
        <v>1.000000</v>
      </c>
    </row>
    <row r="765" spans="1:11">
      <c r="A765" s="22" t="str">
        <f>HYPERLINK("https://app.vivvix.com/360/KMI/IntelliDrive/ApplUI/Pages/CreativePages/CustomReportCreativeDetail.aspx?App=23&amp;ReportView=4&amp;Qid=1696098&amp;Row=757&amp;Col=1","No Title Assigned - #15274043738")</f>
        <v/>
      </c>
      <c r="B765" s="0" t="s">
        <v>748</v>
      </c>
      <c r="E765" s="0" t="s">
        <v>12</v>
      </c>
      <c r="F765" s="0" t="s">
        <v>12</v>
      </c>
      <c r="G765" s="0" t="s">
        <v>204</v>
      </c>
      <c r="I765" s="5">
        <v>328.224300</v>
      </c>
      <c r="J765" s="5">
        <v>1.000000</v>
      </c>
    </row>
    <row r="766" spans="1:11">
      <c r="A766" s="22" t="str">
        <f>HYPERLINK("https://app.vivvix.com/360/KMI/IntelliDrive/ApplUI/Pages/CreativePages/CustomReportCreativeDetail.aspx?App=23&amp;ReportView=4&amp;Qid=1696098&amp;Row=758&amp;Col=1","No Title Assigned - #15274152951")</f>
        <v/>
      </c>
      <c r="B766" s="0" t="s">
        <v>749</v>
      </c>
      <c r="E766" s="0" t="s">
        <v>12</v>
      </c>
      <c r="F766" s="0" t="s">
        <v>12</v>
      </c>
      <c r="G766" s="0" t="s">
        <v>204</v>
      </c>
      <c r="I766" s="5">
        <v>1204.115400</v>
      </c>
      <c r="J766" s="5">
        <v>1.000000</v>
      </c>
    </row>
    <row r="767" spans="1:11">
      <c r="A767" s="22" t="str">
        <f>HYPERLINK("https://app.vivvix.com/360/KMI/IntelliDrive/ApplUI/Pages/CreativePages/CustomReportCreativeDetail.aspx?App=23&amp;ReportView=4&amp;Qid=1696098&amp;Row=759&amp;Col=1","No Title Assigned - #15274225152")</f>
        <v/>
      </c>
      <c r="B767" s="0" t="s">
        <v>750</v>
      </c>
      <c r="E767" s="0" t="s">
        <v>12</v>
      </c>
      <c r="F767" s="0" t="s">
        <v>12</v>
      </c>
      <c r="G767" s="0" t="s">
        <v>204</v>
      </c>
      <c r="I767" s="5">
        <v>532.864100</v>
      </c>
      <c r="J767" s="5">
        <v>1.000000</v>
      </c>
    </row>
    <row r="768" spans="1:11">
      <c r="A768" s="22" t="str">
        <f>HYPERLINK("https://app.vivvix.com/360/KMI/IntelliDrive/ApplUI/Pages/CreativePages/CustomReportCreativeDetail.aspx?App=23&amp;ReportView=4&amp;Qid=1696098&amp;Row=760&amp;Col=1","No Title Assigned - #15274291584")</f>
        <v/>
      </c>
      <c r="B768" s="0" t="s">
        <v>751</v>
      </c>
      <c r="E768" s="0" t="s">
        <v>12</v>
      </c>
      <c r="F768" s="0" t="s">
        <v>12</v>
      </c>
      <c r="G768" s="0" t="s">
        <v>204</v>
      </c>
      <c r="I768" s="5">
        <v>4899.731400</v>
      </c>
      <c r="J768" s="5">
        <v>2.000000</v>
      </c>
    </row>
    <row r="769" spans="1:11">
      <c r="A769" s="22" t="str">
        <f>HYPERLINK("https://app.vivvix.com/360/KMI/IntelliDrive/ApplUI/Pages/CreativePages/CustomReportCreativeDetail.aspx?App=23&amp;ReportView=4&amp;Qid=1696098&amp;Row=761&amp;Col=1","No Title Assigned - #15274319109")</f>
        <v/>
      </c>
      <c r="B769" s="0" t="s">
        <v>752</v>
      </c>
      <c r="E769" s="0" t="s">
        <v>12</v>
      </c>
      <c r="F769" s="0" t="s">
        <v>12</v>
      </c>
      <c r="G769" s="0" t="s">
        <v>204</v>
      </c>
      <c r="I769" s="5">
        <v>5601.374500</v>
      </c>
      <c r="J769" s="5">
        <v>1.000000</v>
      </c>
    </row>
    <row r="770" spans="1:11">
      <c r="A770" s="22" t="str">
        <f>HYPERLINK("https://app.vivvix.com/360/KMI/IntelliDrive/ApplUI/Pages/CreativePages/CustomReportCreativeDetail.aspx?App=23&amp;ReportView=4&amp;Qid=1696098&amp;Row=762&amp;Col=1","No Title Assigned - #15274351497")</f>
        <v/>
      </c>
      <c r="B770" s="0" t="s">
        <v>753</v>
      </c>
      <c r="E770" s="0" t="s">
        <v>12</v>
      </c>
      <c r="F770" s="0" t="s">
        <v>12</v>
      </c>
      <c r="G770" s="0" t="s">
        <v>204</v>
      </c>
      <c r="I770" s="5">
        <v>655.746300</v>
      </c>
      <c r="J770" s="5">
        <v>9.000000</v>
      </c>
    </row>
    <row r="771" spans="1:11">
      <c r="A771" s="22" t="str">
        <f>HYPERLINK("https://app.vivvix.com/360/KMI/IntelliDrive/ApplUI/Pages/CreativePages/CustomReportCreativeDetail.aspx?App=23&amp;ReportView=4&amp;Qid=1696098&amp;Row=763&amp;Col=1","No Title Assigned - #15274351576")</f>
        <v/>
      </c>
      <c r="B771" s="0" t="s">
        <v>754</v>
      </c>
      <c r="E771" s="0" t="s">
        <v>12</v>
      </c>
      <c r="F771" s="0" t="s">
        <v>12</v>
      </c>
      <c r="G771" s="0" t="s">
        <v>204</v>
      </c>
      <c r="I771" s="5">
        <v>145.721400</v>
      </c>
      <c r="J771" s="5">
        <v>2.000000</v>
      </c>
    </row>
    <row r="772" spans="1:11">
      <c r="A772" s="22" t="str">
        <f>HYPERLINK("https://app.vivvix.com/360/KMI/IntelliDrive/ApplUI/Pages/CreativePages/CustomReportCreativeDetail.aspx?App=23&amp;ReportView=4&amp;Qid=1696098&amp;Row=764&amp;Col=1","No Title Assigned - #15274489697")</f>
        <v/>
      </c>
      <c r="B772" s="0" t="s">
        <v>755</v>
      </c>
      <c r="E772" s="0" t="s">
        <v>12</v>
      </c>
      <c r="F772" s="0" t="s">
        <v>12</v>
      </c>
      <c r="G772" s="0" t="s">
        <v>245</v>
      </c>
      <c r="I772" s="5">
        <v>886.906600</v>
      </c>
      <c r="J772" s="5">
        <v>1.000000</v>
      </c>
    </row>
    <row r="773" spans="1:11">
      <c r="A773" s="22" t="str">
        <f>HYPERLINK("https://app.vivvix.com/360/KMI/IntelliDrive/ApplUI/Pages/CreativePages/CustomReportCreativeDetail.aspx?App=23&amp;ReportView=4&amp;Qid=1696098&amp;Row=765&amp;Col=1","No Title Assigned - #15274501737")</f>
        <v/>
      </c>
      <c r="B773" s="0" t="s">
        <v>756</v>
      </c>
      <c r="E773" s="0" t="s">
        <v>12</v>
      </c>
      <c r="F773" s="0" t="s">
        <v>12</v>
      </c>
      <c r="G773" s="0" t="s">
        <v>204</v>
      </c>
      <c r="I773" s="5">
        <v>234.969500</v>
      </c>
      <c r="J773" s="5">
        <v>1.000000</v>
      </c>
    </row>
    <row r="774" spans="1:11">
      <c r="A774" s="22" t="str">
        <f>HYPERLINK("https://app.vivvix.com/360/KMI/IntelliDrive/ApplUI/Pages/CreativePages/CustomReportCreativeDetail.aspx?App=23&amp;ReportView=4&amp;Qid=1696098&amp;Row=766&amp;Col=1","No Title Assigned - #15274551745")</f>
        <v/>
      </c>
      <c r="B774" s="0" t="s">
        <v>757</v>
      </c>
      <c r="E774" s="0" t="s">
        <v>12</v>
      </c>
      <c r="F774" s="0" t="s">
        <v>12</v>
      </c>
      <c r="G774" s="0" t="s">
        <v>204</v>
      </c>
      <c r="I774" s="5">
        <v>2449.865700</v>
      </c>
      <c r="J774" s="5">
        <v>1.000000</v>
      </c>
    </row>
    <row r="775" spans="1:11">
      <c r="A775" s="22" t="str">
        <f>HYPERLINK("https://app.vivvix.com/360/KMI/IntelliDrive/ApplUI/Pages/CreativePages/CustomReportCreativeDetail.aspx?App=23&amp;ReportView=4&amp;Qid=1696098&amp;Row=767&amp;Col=1","No Title Assigned - #15274647037")</f>
        <v/>
      </c>
      <c r="B775" s="0" t="s">
        <v>758</v>
      </c>
      <c r="E775" s="0" t="s">
        <v>12</v>
      </c>
      <c r="F775" s="0" t="s">
        <v>12</v>
      </c>
      <c r="G775" s="0" t="s">
        <v>204</v>
      </c>
      <c r="I775" s="5">
        <v>926.701400</v>
      </c>
      <c r="J775" s="5">
        <v>1.000000</v>
      </c>
    </row>
    <row r="776" spans="1:11">
      <c r="A776" s="22" t="str">
        <f>HYPERLINK("https://app.vivvix.com/360/KMI/IntelliDrive/ApplUI/Pages/CreativePages/CustomReportCreativeDetail.aspx?App=23&amp;ReportView=4&amp;Qid=1696098&amp;Row=768&amp;Col=1","No Title Assigned - #15274652731")</f>
        <v/>
      </c>
      <c r="B776" s="0" t="s">
        <v>759</v>
      </c>
      <c r="E776" s="0" t="s">
        <v>12</v>
      </c>
      <c r="F776" s="0" t="s">
        <v>12</v>
      </c>
      <c r="G776" s="0" t="s">
        <v>204</v>
      </c>
      <c r="I776" s="5">
        <v>1204.115400</v>
      </c>
      <c r="J776" s="5">
        <v>1.000000</v>
      </c>
    </row>
    <row r="777" spans="1:11">
      <c r="A777" s="22" t="str">
        <f>HYPERLINK("https://app.vivvix.com/360/KMI/IntelliDrive/ApplUI/Pages/CreativePages/CustomReportCreativeDetail.aspx?App=23&amp;ReportView=4&amp;Qid=1696098&amp;Row=769&amp;Col=1","No Title Assigned - #15274652733")</f>
        <v/>
      </c>
      <c r="B777" s="0" t="s">
        <v>760</v>
      </c>
      <c r="E777" s="0" t="s">
        <v>12</v>
      </c>
      <c r="F777" s="0" t="s">
        <v>12</v>
      </c>
      <c r="G777" s="0" t="s">
        <v>204</v>
      </c>
      <c r="I777" s="5">
        <v>1204.115400</v>
      </c>
      <c r="J777" s="5">
        <v>1.000000</v>
      </c>
    </row>
    <row r="778" spans="1:11">
      <c r="A778" s="22" t="str">
        <f>HYPERLINK("https://app.vivvix.com/360/KMI/IntelliDrive/ApplUI/Pages/CreativePages/CustomReportCreativeDetail.aspx?App=23&amp;ReportView=4&amp;Qid=1696098&amp;Row=770&amp;Col=1","No Title Assigned - #15274704981")</f>
        <v/>
      </c>
      <c r="B778" s="0" t="s">
        <v>761</v>
      </c>
      <c r="E778" s="0" t="s">
        <v>12</v>
      </c>
      <c r="F778" s="0" t="s">
        <v>12</v>
      </c>
      <c r="G778" s="0" t="s">
        <v>204</v>
      </c>
      <c r="I778" s="5">
        <v>532.864100</v>
      </c>
      <c r="J778" s="5">
        <v>1.000000</v>
      </c>
    </row>
    <row r="779" spans="1:11">
      <c r="A779" s="22" t="str">
        <f>HYPERLINK("https://app.vivvix.com/360/KMI/IntelliDrive/ApplUI/Pages/CreativePages/CustomReportCreativeDetail.aspx?App=23&amp;ReportView=4&amp;Qid=1696098&amp;Row=771&amp;Col=1","No Title Assigned - #15274709171")</f>
        <v/>
      </c>
      <c r="B779" s="0" t="s">
        <v>762</v>
      </c>
      <c r="E779" s="0" t="s">
        <v>12</v>
      </c>
      <c r="F779" s="0" t="s">
        <v>12</v>
      </c>
      <c r="G779" s="0" t="s">
        <v>204</v>
      </c>
      <c r="I779" s="5">
        <v>163.160200</v>
      </c>
      <c r="J779" s="5">
        <v>1.000000</v>
      </c>
    </row>
    <row r="780" spans="1:11">
      <c r="A780" s="22" t="str">
        <f>HYPERLINK("https://app.vivvix.com/360/KMI/IntelliDrive/ApplUI/Pages/CreativePages/CustomReportCreativeDetail.aspx?App=23&amp;ReportView=4&amp;Qid=1696098&amp;Row=772&amp;Col=1","No Title Assigned - #15274720931")</f>
        <v/>
      </c>
      <c r="B780" s="0" t="s">
        <v>763</v>
      </c>
      <c r="E780" s="0" t="s">
        <v>12</v>
      </c>
      <c r="F780" s="0" t="s">
        <v>12</v>
      </c>
      <c r="G780" s="0" t="s">
        <v>17</v>
      </c>
      <c r="I780" s="5">
        <v>413.942000</v>
      </c>
      <c r="J780" s="5">
        <v>54.000000</v>
      </c>
    </row>
    <row r="781" spans="1:11">
      <c r="A781" s="22" t="str">
        <f>HYPERLINK("https://app.vivvix.com/360/KMI/IntelliDrive/ApplUI/Pages/CreativePages/CustomReportCreativeDetail.aspx?App=23&amp;ReportView=4&amp;Qid=1696098&amp;Row=773&amp;Col=1","No Title Assigned - #15274774260")</f>
        <v/>
      </c>
      <c r="B781" s="0" t="s">
        <v>764</v>
      </c>
      <c r="E781" s="0" t="s">
        <v>12</v>
      </c>
      <c r="F781" s="0" t="s">
        <v>12</v>
      </c>
      <c r="G781" s="0" t="s">
        <v>204</v>
      </c>
      <c r="I781" s="5">
        <v>473.838700</v>
      </c>
      <c r="J781" s="5">
        <v>1.000000</v>
      </c>
    </row>
    <row r="782" spans="1:11">
      <c r="A782" s="22" t="str">
        <f>HYPERLINK("https://app.vivvix.com/360/KMI/IntelliDrive/ApplUI/Pages/CreativePages/CustomReportCreativeDetail.aspx?App=23&amp;ReportView=4&amp;Qid=1696098&amp;Row=774&amp;Col=1","No Title Assigned - #15274794338")</f>
        <v/>
      </c>
      <c r="B782" s="0" t="s">
        <v>765</v>
      </c>
      <c r="E782" s="0" t="s">
        <v>12</v>
      </c>
      <c r="F782" s="0" t="s">
        <v>12</v>
      </c>
      <c r="G782" s="0" t="s">
        <v>204</v>
      </c>
      <c r="I782" s="5">
        <v>705.036600</v>
      </c>
      <c r="J782" s="5">
        <v>1.000000</v>
      </c>
    </row>
    <row r="783" spans="1:11">
      <c r="A783" s="22" t="str">
        <f>HYPERLINK("https://app.vivvix.com/360/KMI/IntelliDrive/ApplUI/Pages/CreativePages/CustomReportCreativeDetail.aspx?App=23&amp;ReportView=4&amp;Qid=1696098&amp;Row=775&amp;Col=1","No Title Assigned - #15274815660")</f>
        <v/>
      </c>
      <c r="B783" s="0" t="s">
        <v>766</v>
      </c>
      <c r="E783" s="0" t="s">
        <v>12</v>
      </c>
      <c r="F783" s="0" t="s">
        <v>12</v>
      </c>
      <c r="G783" s="0" t="s">
        <v>204</v>
      </c>
      <c r="I783" s="5">
        <v>669.849800</v>
      </c>
      <c r="J783" s="5">
        <v>1.000000</v>
      </c>
    </row>
    <row r="784" spans="1:11">
      <c r="A784" s="22" t="str">
        <f>HYPERLINK("https://app.vivvix.com/360/KMI/IntelliDrive/ApplUI/Pages/CreativePages/CustomReportCreativeDetail.aspx?App=23&amp;ReportView=4&amp;Qid=1696098&amp;Row=776&amp;Col=1","No Title Assigned - #15274854834")</f>
        <v/>
      </c>
      <c r="B784" s="0" t="s">
        <v>767</v>
      </c>
      <c r="E784" s="0" t="s">
        <v>12</v>
      </c>
      <c r="F784" s="0" t="s">
        <v>12</v>
      </c>
      <c r="G784" s="0" t="s">
        <v>204</v>
      </c>
      <c r="I784" s="5">
        <v>471.805500</v>
      </c>
      <c r="J784" s="5">
        <v>1.000000</v>
      </c>
    </row>
    <row r="785" spans="1:11">
      <c r="A785" s="22" t="str">
        <f>HYPERLINK("https://app.vivvix.com/360/KMI/IntelliDrive/ApplUI/Pages/CreativePages/CustomReportCreativeDetail.aspx?App=23&amp;ReportView=4&amp;Qid=1696098&amp;Row=777&amp;Col=1","No Title Assigned - #15274872303")</f>
        <v/>
      </c>
      <c r="B785" s="0" t="s">
        <v>768</v>
      </c>
      <c r="E785" s="0" t="s">
        <v>12</v>
      </c>
      <c r="F785" s="0" t="s">
        <v>12</v>
      </c>
      <c r="G785" s="0" t="s">
        <v>204</v>
      </c>
      <c r="I785" s="5">
        <v>528.984600</v>
      </c>
      <c r="J785" s="5">
        <v>1.000000</v>
      </c>
    </row>
    <row r="786" spans="1:11">
      <c r="A786" s="22" t="str">
        <f>HYPERLINK("https://app.vivvix.com/360/KMI/IntelliDrive/ApplUI/Pages/CreativePages/CustomReportCreativeDetail.aspx?App=23&amp;ReportView=4&amp;Qid=1696098&amp;Row=778&amp;Col=1","No Title Assigned - #15274915086")</f>
        <v/>
      </c>
      <c r="B786" s="0" t="s">
        <v>769</v>
      </c>
      <c r="E786" s="0" t="s">
        <v>12</v>
      </c>
      <c r="F786" s="0" t="s">
        <v>12</v>
      </c>
      <c r="G786" s="0" t="s">
        <v>204</v>
      </c>
      <c r="I786" s="5">
        <v>163.160200</v>
      </c>
      <c r="J786" s="5">
        <v>1.000000</v>
      </c>
    </row>
    <row r="787" spans="1:11">
      <c r="A787" s="22" t="str">
        <f>HYPERLINK("https://app.vivvix.com/360/KMI/IntelliDrive/ApplUI/Pages/CreativePages/CustomReportCreativeDetail.aspx?App=23&amp;ReportView=4&amp;Qid=1696098&amp;Row=779&amp;Col=1","No Title Assigned - #15274915097")</f>
        <v/>
      </c>
      <c r="B787" s="0" t="s">
        <v>770</v>
      </c>
      <c r="E787" s="0" t="s">
        <v>12</v>
      </c>
      <c r="F787" s="0" t="s">
        <v>12</v>
      </c>
      <c r="G787" s="0" t="s">
        <v>204</v>
      </c>
      <c r="I787" s="5">
        <v>163.160200</v>
      </c>
      <c r="J787" s="5">
        <v>1.000000</v>
      </c>
    </row>
    <row r="788" spans="1:11">
      <c r="A788" s="22" t="str">
        <f>HYPERLINK("https://app.vivvix.com/360/KMI/IntelliDrive/ApplUI/Pages/CreativePages/CustomReportCreativeDetail.aspx?App=23&amp;ReportView=4&amp;Qid=1696098&amp;Row=780&amp;Col=1","No Title Assigned - #15274915098")</f>
        <v/>
      </c>
      <c r="B788" s="0" t="s">
        <v>771</v>
      </c>
      <c r="E788" s="0" t="s">
        <v>12</v>
      </c>
      <c r="F788" s="0" t="s">
        <v>12</v>
      </c>
      <c r="G788" s="0" t="s">
        <v>204</v>
      </c>
      <c r="I788" s="5">
        <v>163.160200</v>
      </c>
      <c r="J788" s="5">
        <v>1.000000</v>
      </c>
    </row>
    <row r="789" spans="1:11">
      <c r="A789" s="22" t="str">
        <f>HYPERLINK("https://app.vivvix.com/360/KMI/IntelliDrive/ApplUI/Pages/CreativePages/CustomReportCreativeDetail.aspx?App=23&amp;ReportView=4&amp;Qid=1696098&amp;Row=781&amp;Col=1","No Title Assigned - #15274915242")</f>
        <v/>
      </c>
      <c r="B789" s="0" t="s">
        <v>772</v>
      </c>
      <c r="E789" s="0" t="s">
        <v>12</v>
      </c>
      <c r="F789" s="0" t="s">
        <v>12</v>
      </c>
      <c r="G789" s="0" t="s">
        <v>204</v>
      </c>
      <c r="I789" s="5">
        <v>5601.374500</v>
      </c>
      <c r="J789" s="5">
        <v>1.000000</v>
      </c>
    </row>
    <row r="790" spans="1:11">
      <c r="A790" s="22" t="str">
        <f>HYPERLINK("https://app.vivvix.com/360/KMI/IntelliDrive/ApplUI/Pages/CreativePages/CustomReportCreativeDetail.aspx?App=23&amp;ReportView=4&amp;Qid=1696098&amp;Row=782&amp;Col=1","No Title Assigned - #15274949356")</f>
        <v/>
      </c>
      <c r="B790" s="0" t="s">
        <v>773</v>
      </c>
      <c r="E790" s="0" t="s">
        <v>12</v>
      </c>
      <c r="F790" s="0" t="s">
        <v>12</v>
      </c>
      <c r="G790" s="0" t="s">
        <v>204</v>
      </c>
      <c r="I790" s="5">
        <v>532.864100</v>
      </c>
      <c r="J790" s="5">
        <v>1.000000</v>
      </c>
    </row>
    <row r="791" spans="1:11">
      <c r="A791" s="22" t="str">
        <f>HYPERLINK("https://app.vivvix.com/360/KMI/IntelliDrive/ApplUI/Pages/CreativePages/CustomReportCreativeDetail.aspx?App=23&amp;ReportView=4&amp;Qid=1696098&amp;Row=783&amp;Col=1","No Title Assigned - #15274949974")</f>
        <v/>
      </c>
      <c r="B791" s="0" t="s">
        <v>774</v>
      </c>
      <c r="E791" s="0" t="s">
        <v>12</v>
      </c>
      <c r="F791" s="0" t="s">
        <v>12</v>
      </c>
      <c r="G791" s="0" t="s">
        <v>17</v>
      </c>
      <c r="I791" s="5">
        <v>6.973000</v>
      </c>
      <c r="J791" s="5">
        <v>1.000000</v>
      </c>
    </row>
    <row r="792" spans="1:11">
      <c r="A792" s="22" t="str">
        <f>HYPERLINK("https://app.vivvix.com/360/KMI/IntelliDrive/ApplUI/Pages/CreativePages/CustomReportCreativeDetail.aspx?App=23&amp;ReportView=4&amp;Qid=1696098&amp;Row=784&amp;Col=1","No Title Assigned - #15274975397")</f>
        <v/>
      </c>
      <c r="B792" s="0" t="s">
        <v>775</v>
      </c>
      <c r="E792" s="0" t="s">
        <v>12</v>
      </c>
      <c r="F792" s="0" t="s">
        <v>12</v>
      </c>
      <c r="G792" s="0" t="s">
        <v>204</v>
      </c>
      <c r="I792" s="5">
        <v>13913.053200</v>
      </c>
      <c r="J792" s="5">
        <v>5.000000</v>
      </c>
    </row>
    <row r="793" spans="1:11">
      <c r="A793" s="22" t="str">
        <f>HYPERLINK("https://app.vivvix.com/360/KMI/IntelliDrive/ApplUI/Pages/CreativePages/CustomReportCreativeDetail.aspx?App=23&amp;ReportView=4&amp;Qid=1696098&amp;Row=785&amp;Col=1","No Title Assigned - #15274978205")</f>
        <v/>
      </c>
      <c r="B793" s="0" t="s">
        <v>776</v>
      </c>
      <c r="E793" s="0" t="s">
        <v>12</v>
      </c>
      <c r="F793" s="0" t="s">
        <v>12</v>
      </c>
      <c r="G793" s="0" t="s">
        <v>17</v>
      </c>
      <c r="I793" s="5">
        <v>189.206000</v>
      </c>
      <c r="J793" s="5">
        <v>27.000000</v>
      </c>
    </row>
    <row r="794" spans="1:11">
      <c r="A794" s="22" t="str">
        <f>HYPERLINK("https://app.vivvix.com/360/KMI/IntelliDrive/ApplUI/Pages/CreativePages/CustomReportCreativeDetail.aspx?App=23&amp;ReportView=4&amp;Qid=1696098&amp;Row=786&amp;Col=1","No Title Assigned - #15274978250")</f>
        <v/>
      </c>
      <c r="B794" s="0" t="s">
        <v>777</v>
      </c>
      <c r="E794" s="0" t="s">
        <v>12</v>
      </c>
      <c r="F794" s="0" t="s">
        <v>12</v>
      </c>
      <c r="G794" s="0" t="s">
        <v>204</v>
      </c>
      <c r="I794" s="5">
        <v>9975.398800</v>
      </c>
      <c r="J794" s="5">
        <v>6.000000</v>
      </c>
    </row>
    <row r="795" spans="1:11">
      <c r="A795" s="22" t="str">
        <f>HYPERLINK("https://app.vivvix.com/360/KMI/IntelliDrive/ApplUI/Pages/CreativePages/CustomReportCreativeDetail.aspx?App=23&amp;ReportView=4&amp;Qid=1696098&amp;Row=787&amp;Col=1","No Title Assigned - #15275036022")</f>
        <v/>
      </c>
      <c r="B795" s="0" t="s">
        <v>778</v>
      </c>
      <c r="E795" s="0" t="s">
        <v>12</v>
      </c>
      <c r="F795" s="0" t="s">
        <v>12</v>
      </c>
      <c r="G795" s="0" t="s">
        <v>204</v>
      </c>
      <c r="I795" s="5">
        <v>926.701400</v>
      </c>
      <c r="J795" s="5">
        <v>1.000000</v>
      </c>
    </row>
    <row r="796" spans="1:11">
      <c r="A796" s="22" t="str">
        <f>HYPERLINK("https://app.vivvix.com/360/KMI/IntelliDrive/ApplUI/Pages/CreativePages/CustomReportCreativeDetail.aspx?App=23&amp;ReportView=4&amp;Qid=1696098&amp;Row=788&amp;Col=1","No Title Assigned - #15275119811")</f>
        <v/>
      </c>
      <c r="B796" s="0" t="s">
        <v>779</v>
      </c>
      <c r="E796" s="0" t="s">
        <v>12</v>
      </c>
      <c r="F796" s="0" t="s">
        <v>12</v>
      </c>
      <c r="G796" s="0" t="s">
        <v>204</v>
      </c>
      <c r="I796" s="5">
        <v>63.688200</v>
      </c>
      <c r="J796" s="5">
        <v>1.000000</v>
      </c>
    </row>
    <row r="797" spans="1:11">
      <c r="A797" s="22" t="str">
        <f>HYPERLINK("https://app.vivvix.com/360/KMI/IntelliDrive/ApplUI/Pages/CreativePages/CustomReportCreativeDetail.aspx?App=23&amp;ReportView=4&amp;Qid=1696098&amp;Row=789&amp;Col=1","No Title Assigned - #15275119826")</f>
        <v/>
      </c>
      <c r="B797" s="0" t="s">
        <v>780</v>
      </c>
      <c r="E797" s="0" t="s">
        <v>12</v>
      </c>
      <c r="F797" s="0" t="s">
        <v>12</v>
      </c>
      <c r="G797" s="0" t="s">
        <v>204</v>
      </c>
      <c r="I797" s="5">
        <v>926.701400</v>
      </c>
      <c r="J797" s="5">
        <v>1.000000</v>
      </c>
    </row>
    <row r="798" spans="1:11">
      <c r="A798" s="22" t="str">
        <f>HYPERLINK("https://app.vivvix.com/360/KMI/IntelliDrive/ApplUI/Pages/CreativePages/CustomReportCreativeDetail.aspx?App=23&amp;ReportView=4&amp;Qid=1696098&amp;Row=790&amp;Col=1","No Title Assigned - #15275331383")</f>
        <v/>
      </c>
      <c r="B798" s="0" t="s">
        <v>781</v>
      </c>
      <c r="E798" s="0" t="s">
        <v>12</v>
      </c>
      <c r="F798" s="0" t="s">
        <v>12</v>
      </c>
      <c r="G798" s="0" t="s">
        <v>204</v>
      </c>
      <c r="I798" s="5">
        <v>575282.834200</v>
      </c>
      <c r="J798" s="5">
        <v>109.000000</v>
      </c>
    </row>
    <row r="799" spans="1:11">
      <c r="A799" s="22" t="str">
        <f>HYPERLINK("https://app.vivvix.com/360/KMI/IntelliDrive/ApplUI/Pages/CreativePages/CustomReportCreativeDetail.aspx?App=23&amp;ReportView=4&amp;Qid=1696098&amp;Row=791&amp;Col=1","No Title Assigned - #15275371958")</f>
        <v/>
      </c>
      <c r="B799" s="0" t="s">
        <v>782</v>
      </c>
      <c r="E799" s="0" t="s">
        <v>12</v>
      </c>
      <c r="F799" s="0" t="s">
        <v>12</v>
      </c>
      <c r="G799" s="0" t="s">
        <v>204</v>
      </c>
      <c r="I799" s="5">
        <v>957.827600</v>
      </c>
      <c r="J799" s="5">
        <v>1.000000</v>
      </c>
    </row>
    <row r="800" spans="1:11">
      <c r="A800" s="22" t="str">
        <f>HYPERLINK("https://app.vivvix.com/360/KMI/IntelliDrive/ApplUI/Pages/CreativePages/CustomReportCreativeDetail.aspx?App=23&amp;ReportView=4&amp;Qid=1696098&amp;Row=792&amp;Col=1","No Title Assigned - #15275392900")</f>
        <v/>
      </c>
      <c r="B800" s="0" t="s">
        <v>783</v>
      </c>
      <c r="E800" s="0" t="s">
        <v>12</v>
      </c>
      <c r="F800" s="0" t="s">
        <v>12</v>
      </c>
      <c r="G800" s="0" t="s">
        <v>204</v>
      </c>
      <c r="I800" s="5">
        <v>4784.423800</v>
      </c>
      <c r="J800" s="5">
        <v>1.000000</v>
      </c>
    </row>
    <row r="801" spans="1:11">
      <c r="A801" s="22" t="str">
        <f>HYPERLINK("https://app.vivvix.com/360/KMI/IntelliDrive/ApplUI/Pages/CreativePages/CustomReportCreativeDetail.aspx?App=23&amp;ReportView=4&amp;Qid=1696098&amp;Row=793&amp;Col=1","No Title Assigned - #15275406117")</f>
        <v/>
      </c>
      <c r="B801" s="0" t="s">
        <v>784</v>
      </c>
      <c r="E801" s="0" t="s">
        <v>12</v>
      </c>
      <c r="F801" s="0" t="s">
        <v>12</v>
      </c>
      <c r="G801" s="0" t="s">
        <v>204</v>
      </c>
      <c r="I801" s="5">
        <v>163.160200</v>
      </c>
      <c r="J801" s="5">
        <v>1.000000</v>
      </c>
    </row>
    <row r="802" spans="1:11">
      <c r="A802" s="22" t="str">
        <f>HYPERLINK("https://app.vivvix.com/360/KMI/IntelliDrive/ApplUI/Pages/CreativePages/CustomReportCreativeDetail.aspx?App=23&amp;ReportView=4&amp;Qid=1696098&amp;Row=794&amp;Col=1","No Title Assigned - #15275434001")</f>
        <v/>
      </c>
      <c r="B802" s="0" t="s">
        <v>785</v>
      </c>
      <c r="E802" s="0" t="s">
        <v>12</v>
      </c>
      <c r="F802" s="0" t="s">
        <v>12</v>
      </c>
      <c r="G802" s="0" t="s">
        <v>204</v>
      </c>
      <c r="I802" s="5">
        <v>6121.743200</v>
      </c>
      <c r="J802" s="5">
        <v>13.000000</v>
      </c>
    </row>
    <row r="803" spans="1:11">
      <c r="A803" s="22" t="str">
        <f>HYPERLINK("https://app.vivvix.com/360/KMI/IntelliDrive/ApplUI/Pages/CreativePages/CustomReportCreativeDetail.aspx?App=23&amp;ReportView=4&amp;Qid=1696098&amp;Row=795&amp;Col=1","No Title Assigned - #15275460841")</f>
        <v/>
      </c>
      <c r="B803" s="0" t="s">
        <v>786</v>
      </c>
      <c r="E803" s="0" t="s">
        <v>12</v>
      </c>
      <c r="F803" s="0" t="s">
        <v>12</v>
      </c>
      <c r="G803" s="0" t="s">
        <v>17</v>
      </c>
      <c r="I803" s="5">
        <v>56914.498000</v>
      </c>
      <c r="J803" s="5">
        <v>1067.000000</v>
      </c>
    </row>
    <row r="804" spans="1:11">
      <c r="A804" s="22" t="str">
        <f>HYPERLINK("https://app.vivvix.com/360/KMI/IntelliDrive/ApplUI/Pages/CreativePages/CustomReportCreativeDetail.aspx?App=23&amp;ReportView=4&amp;Qid=1696098&amp;Row=796&amp;Col=1","No Title Assigned - #15275461287")</f>
        <v/>
      </c>
      <c r="B804" s="0" t="s">
        <v>787</v>
      </c>
      <c r="E804" s="0" t="s">
        <v>12</v>
      </c>
      <c r="F804" s="0" t="s">
        <v>12</v>
      </c>
      <c r="G804" s="0" t="s">
        <v>17</v>
      </c>
      <c r="I804" s="5">
        <v>212597.099000</v>
      </c>
      <c r="J804" s="5">
        <v>900.000000</v>
      </c>
    </row>
    <row r="805" spans="1:11">
      <c r="A805" s="22" t="str">
        <f>HYPERLINK("https://app.vivvix.com/360/KMI/IntelliDrive/ApplUI/Pages/CreativePages/CustomReportCreativeDetail.aspx?App=23&amp;ReportView=4&amp;Qid=1696098&amp;Row=797&amp;Col=1","No Title Assigned - #15275489280")</f>
        <v/>
      </c>
      <c r="B805" s="0" t="s">
        <v>788</v>
      </c>
      <c r="E805" s="0" t="s">
        <v>12</v>
      </c>
      <c r="F805" s="0" t="s">
        <v>12</v>
      </c>
      <c r="G805" s="0" t="s">
        <v>204</v>
      </c>
      <c r="I805" s="5">
        <v>926.701400</v>
      </c>
      <c r="J805" s="5">
        <v>1.000000</v>
      </c>
    </row>
    <row r="806" spans="1:11">
      <c r="A806" s="22" t="str">
        <f>HYPERLINK("https://app.vivvix.com/360/KMI/IntelliDrive/ApplUI/Pages/CreativePages/CustomReportCreativeDetail.aspx?App=23&amp;ReportView=4&amp;Qid=1696098&amp;Row=798&amp;Col=1","No Title Assigned - #15275541880")</f>
        <v/>
      </c>
      <c r="B806" s="0" t="s">
        <v>789</v>
      </c>
      <c r="E806" s="0" t="s">
        <v>12</v>
      </c>
      <c r="F806" s="0" t="s">
        <v>12</v>
      </c>
      <c r="G806" s="0" t="s">
        <v>204</v>
      </c>
      <c r="I806" s="5">
        <v>234.969500</v>
      </c>
      <c r="J806" s="5">
        <v>1.000000</v>
      </c>
    </row>
    <row r="807" spans="1:11">
      <c r="A807" s="22" t="str">
        <f>HYPERLINK("https://app.vivvix.com/360/KMI/IntelliDrive/ApplUI/Pages/CreativePages/CustomReportCreativeDetail.aspx?App=23&amp;ReportView=4&amp;Qid=1696098&amp;Row=799&amp;Col=1","No Title Assigned - #15275545438")</f>
        <v/>
      </c>
      <c r="B807" s="0" t="s">
        <v>790</v>
      </c>
      <c r="E807" s="0" t="s">
        <v>12</v>
      </c>
      <c r="F807" s="0" t="s">
        <v>12</v>
      </c>
      <c r="G807" s="0" t="s">
        <v>204</v>
      </c>
      <c r="I807" s="5">
        <v>234.969500</v>
      </c>
      <c r="J807" s="5">
        <v>1.000000</v>
      </c>
    </row>
    <row r="808" spans="1:11">
      <c r="A808" s="22" t="str">
        <f>HYPERLINK("https://app.vivvix.com/360/KMI/IntelliDrive/ApplUI/Pages/CreativePages/CustomReportCreativeDetail.aspx?App=23&amp;ReportView=4&amp;Qid=1696098&amp;Row=800&amp;Col=1","No Title Assigned - #15275722100")</f>
        <v/>
      </c>
      <c r="B808" s="0" t="s">
        <v>791</v>
      </c>
      <c r="E808" s="0" t="s">
        <v>12</v>
      </c>
      <c r="F808" s="0" t="s">
        <v>12</v>
      </c>
      <c r="G808" s="0" t="s">
        <v>204</v>
      </c>
      <c r="I808" s="5">
        <v>3955.591000</v>
      </c>
      <c r="J808" s="5">
        <v>8.000000</v>
      </c>
    </row>
    <row r="809" spans="1:11">
      <c r="A809" s="22" t="str">
        <f>HYPERLINK("https://app.vivvix.com/360/KMI/IntelliDrive/ApplUI/Pages/CreativePages/CustomReportCreativeDetail.aspx?App=23&amp;ReportView=4&amp;Qid=1696098&amp;Row=801&amp;Col=1","No Title Assigned - #15275733703")</f>
        <v/>
      </c>
      <c r="B809" s="0" t="s">
        <v>792</v>
      </c>
      <c r="E809" s="0" t="s">
        <v>12</v>
      </c>
      <c r="F809" s="0" t="s">
        <v>12</v>
      </c>
      <c r="G809" s="0" t="s">
        <v>17</v>
      </c>
      <c r="I809" s="5">
        <v>70.237000</v>
      </c>
      <c r="J809" s="5">
        <v>9.000000</v>
      </c>
    </row>
    <row r="810" spans="1:11">
      <c r="A810" s="22" t="str">
        <f>HYPERLINK("https://app.vivvix.com/360/KMI/IntelliDrive/ApplUI/Pages/CreativePages/CustomReportCreativeDetail.aspx?App=23&amp;ReportView=4&amp;Qid=1696098&amp;Row=802&amp;Col=1","No Title Assigned - #15275740953")</f>
        <v/>
      </c>
      <c r="B810" s="0" t="s">
        <v>793</v>
      </c>
      <c r="E810" s="0" t="s">
        <v>12</v>
      </c>
      <c r="F810" s="0" t="s">
        <v>12</v>
      </c>
      <c r="G810" s="0" t="s">
        <v>204</v>
      </c>
      <c r="I810" s="5">
        <v>632.018200</v>
      </c>
      <c r="J810" s="5">
        <v>1.000000</v>
      </c>
    </row>
    <row r="811" spans="1:11">
      <c r="A811" s="22" t="str">
        <f>HYPERLINK("https://app.vivvix.com/360/KMI/IntelliDrive/ApplUI/Pages/CreativePages/CustomReportCreativeDetail.aspx?App=23&amp;ReportView=4&amp;Qid=1696098&amp;Row=803&amp;Col=1","No Title Assigned - #15275740956")</f>
        <v/>
      </c>
      <c r="B811" s="0" t="s">
        <v>794</v>
      </c>
      <c r="E811" s="0" t="s">
        <v>12</v>
      </c>
      <c r="F811" s="0" t="s">
        <v>12</v>
      </c>
      <c r="G811" s="0" t="s">
        <v>204</v>
      </c>
      <c r="I811" s="5">
        <v>632.018200</v>
      </c>
      <c r="J811" s="5">
        <v>1.000000</v>
      </c>
    </row>
    <row r="812" spans="1:11">
      <c r="A812" s="22" t="str">
        <f>HYPERLINK("https://app.vivvix.com/360/KMI/IntelliDrive/ApplUI/Pages/CreativePages/CustomReportCreativeDetail.aspx?App=23&amp;ReportView=4&amp;Qid=1696098&amp;Row=804&amp;Col=1","No Title Assigned - #15275755424")</f>
        <v/>
      </c>
      <c r="B812" s="0" t="s">
        <v>795</v>
      </c>
      <c r="E812" s="0" t="s">
        <v>12</v>
      </c>
      <c r="F812" s="0" t="s">
        <v>12</v>
      </c>
      <c r="G812" s="0" t="s">
        <v>204</v>
      </c>
      <c r="I812" s="5">
        <v>2449.865700</v>
      </c>
      <c r="J812" s="5">
        <v>1.000000</v>
      </c>
    </row>
    <row r="813" spans="1:11">
      <c r="A813" s="22" t="str">
        <f>HYPERLINK("https://app.vivvix.com/360/KMI/IntelliDrive/ApplUI/Pages/CreativePages/CustomReportCreativeDetail.aspx?App=23&amp;ReportView=4&amp;Qid=1696098&amp;Row=805&amp;Col=1","No Title Assigned - #15275757990")</f>
        <v/>
      </c>
      <c r="B813" s="0" t="s">
        <v>796</v>
      </c>
      <c r="E813" s="0" t="s">
        <v>12</v>
      </c>
      <c r="F813" s="0" t="s">
        <v>12</v>
      </c>
      <c r="G813" s="0" t="s">
        <v>204</v>
      </c>
      <c r="I813" s="5">
        <v>256.662000</v>
      </c>
      <c r="J813" s="5">
        <v>1.000000</v>
      </c>
    </row>
    <row r="814" spans="1:11">
      <c r="A814" s="22" t="str">
        <f>HYPERLINK("https://app.vivvix.com/360/KMI/IntelliDrive/ApplUI/Pages/CreativePages/CustomReportCreativeDetail.aspx?App=23&amp;ReportView=4&amp;Qid=1696098&amp;Row=806&amp;Col=1","No Title Assigned - #15275788523")</f>
        <v/>
      </c>
      <c r="B814" s="0" t="s">
        <v>797</v>
      </c>
      <c r="E814" s="0" t="s">
        <v>12</v>
      </c>
      <c r="F814" s="0" t="s">
        <v>12</v>
      </c>
      <c r="G814" s="0" t="s">
        <v>204</v>
      </c>
      <c r="I814" s="5">
        <v>1104.833300</v>
      </c>
      <c r="J814" s="5">
        <v>2.000000</v>
      </c>
    </row>
    <row r="815" spans="1:11">
      <c r="A815" s="22" t="str">
        <f>HYPERLINK("https://app.vivvix.com/360/KMI/IntelliDrive/ApplUI/Pages/CreativePages/CustomReportCreativeDetail.aspx?App=23&amp;ReportView=4&amp;Qid=1696098&amp;Row=807&amp;Col=1","No Title Assigned - #15275793581")</f>
        <v/>
      </c>
      <c r="B815" s="0" t="s">
        <v>798</v>
      </c>
      <c r="E815" s="0" t="s">
        <v>12</v>
      </c>
      <c r="F815" s="0" t="s">
        <v>12</v>
      </c>
      <c r="G815" s="0" t="s">
        <v>204</v>
      </c>
      <c r="I815" s="5">
        <v>2667.659100</v>
      </c>
      <c r="J815" s="5">
        <v>3.000000</v>
      </c>
    </row>
    <row r="816" spans="1:11">
      <c r="A816" s="22" t="str">
        <f>HYPERLINK("https://app.vivvix.com/360/KMI/IntelliDrive/ApplUI/Pages/CreativePages/CustomReportCreativeDetail.aspx?App=23&amp;ReportView=4&amp;Qid=1696098&amp;Row=808&amp;Col=1","No Title Assigned - #15275793586")</f>
        <v/>
      </c>
      <c r="B816" s="0" t="s">
        <v>799</v>
      </c>
      <c r="E816" s="0" t="s">
        <v>12</v>
      </c>
      <c r="F816" s="0" t="s">
        <v>12</v>
      </c>
      <c r="G816" s="0" t="s">
        <v>204</v>
      </c>
      <c r="I816" s="5">
        <v>889.219700</v>
      </c>
      <c r="J816" s="5">
        <v>1.000000</v>
      </c>
    </row>
    <row r="817" spans="1:11">
      <c r="A817" s="22" t="str">
        <f>HYPERLINK("https://app.vivvix.com/360/KMI/IntelliDrive/ApplUI/Pages/CreativePages/CustomReportCreativeDetail.aspx?App=23&amp;ReportView=4&amp;Qid=1696098&amp;Row=809&amp;Col=1","No Title Assigned - #15275814948")</f>
        <v/>
      </c>
      <c r="B817" s="0" t="s">
        <v>800</v>
      </c>
      <c r="E817" s="0" t="s">
        <v>12</v>
      </c>
      <c r="F817" s="0" t="s">
        <v>12</v>
      </c>
      <c r="G817" s="0" t="s">
        <v>204</v>
      </c>
      <c r="I817" s="5">
        <v>270.389700</v>
      </c>
      <c r="J817" s="5">
        <v>1.000000</v>
      </c>
    </row>
    <row r="818" spans="1:11">
      <c r="A818" s="22" t="str">
        <f>HYPERLINK("https://app.vivvix.com/360/KMI/IntelliDrive/ApplUI/Pages/CreativePages/CustomReportCreativeDetail.aspx?App=23&amp;ReportView=4&amp;Qid=1696098&amp;Row=810&amp;Col=1","No Title Assigned - #15275818525")</f>
        <v/>
      </c>
      <c r="B818" s="0" t="s">
        <v>801</v>
      </c>
      <c r="E818" s="0" t="s">
        <v>12</v>
      </c>
      <c r="F818" s="0" t="s">
        <v>12</v>
      </c>
      <c r="G818" s="0" t="s">
        <v>204</v>
      </c>
      <c r="I818" s="5">
        <v>270.389700</v>
      </c>
      <c r="J818" s="5">
        <v>1.000000</v>
      </c>
    </row>
    <row r="819" spans="1:11">
      <c r="A819" s="22" t="str">
        <f>HYPERLINK("https://app.vivvix.com/360/KMI/IntelliDrive/ApplUI/Pages/CreativePages/CustomReportCreativeDetail.aspx?App=23&amp;ReportView=4&amp;Qid=1696098&amp;Row=811&amp;Col=1","No Title Assigned - #15275824225")</f>
        <v/>
      </c>
      <c r="B819" s="0" t="s">
        <v>802</v>
      </c>
      <c r="E819" s="0" t="s">
        <v>12</v>
      </c>
      <c r="F819" s="0" t="s">
        <v>12</v>
      </c>
      <c r="G819" s="0" t="s">
        <v>204</v>
      </c>
      <c r="I819" s="5">
        <v>468.523500</v>
      </c>
      <c r="J819" s="5">
        <v>1.000000</v>
      </c>
    </row>
    <row r="820" spans="1:11">
      <c r="A820" s="22" t="str">
        <f>HYPERLINK("https://app.vivvix.com/360/KMI/IntelliDrive/ApplUI/Pages/CreativePages/CustomReportCreativeDetail.aspx?App=23&amp;ReportView=4&amp;Qid=1696098&amp;Row=812&amp;Col=1","No Title Assigned - #15275872370")</f>
        <v/>
      </c>
      <c r="B820" s="0" t="s">
        <v>803</v>
      </c>
      <c r="E820" s="0" t="s">
        <v>12</v>
      </c>
      <c r="F820" s="0" t="s">
        <v>12</v>
      </c>
      <c r="G820" s="0" t="s">
        <v>204</v>
      </c>
      <c r="I820" s="5">
        <v>2355.303000</v>
      </c>
      <c r="J820" s="5">
        <v>3.000000</v>
      </c>
    </row>
    <row r="821" spans="1:11">
      <c r="A821" s="22" t="str">
        <f>HYPERLINK("https://app.vivvix.com/360/KMI/IntelliDrive/ApplUI/Pages/CreativePages/CustomReportCreativeDetail.aspx?App=23&amp;ReportView=4&amp;Qid=1696098&amp;Row=813&amp;Col=1","No Title Assigned - #15275955054")</f>
        <v/>
      </c>
      <c r="B821" s="0" t="s">
        <v>804</v>
      </c>
      <c r="E821" s="0" t="s">
        <v>12</v>
      </c>
      <c r="F821" s="0" t="s">
        <v>12</v>
      </c>
      <c r="G821" s="0" t="s">
        <v>204</v>
      </c>
      <c r="I821" s="5">
        <v>571.860200</v>
      </c>
      <c r="J821" s="5">
        <v>1.000000</v>
      </c>
    </row>
    <row r="822" spans="1:11">
      <c r="A822" s="22" t="str">
        <f>HYPERLINK("https://app.vivvix.com/360/KMI/IntelliDrive/ApplUI/Pages/CreativePages/CustomReportCreativeDetail.aspx?App=23&amp;ReportView=4&amp;Qid=1696098&amp;Row=814&amp;Col=1","No Title Assigned - #15275955238")</f>
        <v/>
      </c>
      <c r="B822" s="0" t="s">
        <v>805</v>
      </c>
      <c r="E822" s="0" t="s">
        <v>12</v>
      </c>
      <c r="F822" s="0" t="s">
        <v>12</v>
      </c>
      <c r="G822" s="0" t="s">
        <v>204</v>
      </c>
      <c r="I822" s="5">
        <v>3885.607000</v>
      </c>
      <c r="J822" s="5">
        <v>2.000000</v>
      </c>
    </row>
    <row r="823" spans="1:11">
      <c r="A823" s="22" t="str">
        <f>HYPERLINK("https://app.vivvix.com/360/KMI/IntelliDrive/ApplUI/Pages/CreativePages/CustomReportCreativeDetail.aspx?App=23&amp;ReportView=4&amp;Qid=1696098&amp;Row=815&amp;Col=1","No Title Assigned - #15275955404")</f>
        <v/>
      </c>
      <c r="B823" s="0" t="s">
        <v>806</v>
      </c>
      <c r="E823" s="0" t="s">
        <v>12</v>
      </c>
      <c r="F823" s="0" t="s">
        <v>12</v>
      </c>
      <c r="G823" s="0" t="s">
        <v>204</v>
      </c>
      <c r="I823" s="5">
        <v>8725.884800</v>
      </c>
      <c r="J823" s="5">
        <v>1.000000</v>
      </c>
    </row>
    <row r="824" spans="1:11">
      <c r="A824" s="22" t="str">
        <f>HYPERLINK("https://app.vivvix.com/360/KMI/IntelliDrive/ApplUI/Pages/CreativePages/CustomReportCreativeDetail.aspx?App=23&amp;ReportView=4&amp;Qid=1696098&amp;Row=816&amp;Col=1","No Title Assigned - #15275955405")</f>
        <v/>
      </c>
      <c r="B824" s="0" t="s">
        <v>807</v>
      </c>
      <c r="E824" s="0" t="s">
        <v>12</v>
      </c>
      <c r="F824" s="0" t="s">
        <v>12</v>
      </c>
      <c r="G824" s="0" t="s">
        <v>204</v>
      </c>
      <c r="I824" s="5">
        <v>17451.769600</v>
      </c>
      <c r="J824" s="5">
        <v>2.000000</v>
      </c>
    </row>
    <row r="825" spans="1:11">
      <c r="A825" s="22" t="str">
        <f>HYPERLINK("https://app.vivvix.com/360/KMI/IntelliDrive/ApplUI/Pages/CreativePages/CustomReportCreativeDetail.aspx?App=23&amp;ReportView=4&amp;Qid=1696098&amp;Row=817&amp;Col=1","No Title Assigned - #15275962792")</f>
        <v/>
      </c>
      <c r="B825" s="0" t="s">
        <v>808</v>
      </c>
      <c r="E825" s="0" t="s">
        <v>12</v>
      </c>
      <c r="F825" s="0" t="s">
        <v>12</v>
      </c>
      <c r="G825" s="0" t="s">
        <v>204</v>
      </c>
      <c r="I825" s="5">
        <v>1960.274400</v>
      </c>
      <c r="J825" s="5">
        <v>4.000000</v>
      </c>
    </row>
    <row r="826" spans="1:11">
      <c r="A826" s="22" t="str">
        <f>HYPERLINK("https://app.vivvix.com/360/KMI/IntelliDrive/ApplUI/Pages/CreativePages/CustomReportCreativeDetail.aspx?App=23&amp;ReportView=4&amp;Qid=1696098&amp;Row=818&amp;Col=1","No Title Assigned - #15276001948")</f>
        <v/>
      </c>
      <c r="B826" s="0" t="s">
        <v>809</v>
      </c>
      <c r="E826" s="0" t="s">
        <v>12</v>
      </c>
      <c r="F826" s="0" t="s">
        <v>12</v>
      </c>
      <c r="G826" s="0" t="s">
        <v>204</v>
      </c>
      <c r="I826" s="5">
        <v>490.068600</v>
      </c>
      <c r="J826" s="5">
        <v>1.000000</v>
      </c>
    </row>
    <row r="827" spans="1:11">
      <c r="A827" s="22" t="str">
        <f>HYPERLINK("https://app.vivvix.com/360/KMI/IntelliDrive/ApplUI/Pages/CreativePages/CustomReportCreativeDetail.aspx?App=23&amp;ReportView=4&amp;Qid=1696098&amp;Row=819&amp;Col=1","No Title Assigned - #15276009981")</f>
        <v/>
      </c>
      <c r="B827" s="0" t="s">
        <v>810</v>
      </c>
      <c r="E827" s="0" t="s">
        <v>12</v>
      </c>
      <c r="F827" s="0" t="s">
        <v>12</v>
      </c>
      <c r="G827" s="0" t="s">
        <v>17</v>
      </c>
      <c r="I827" s="5">
        <v>39.540000</v>
      </c>
      <c r="J827" s="5">
        <v>5.000000</v>
      </c>
    </row>
    <row r="828" spans="1:11">
      <c r="A828" s="22" t="str">
        <f>HYPERLINK("https://app.vivvix.com/360/KMI/IntelliDrive/ApplUI/Pages/CreativePages/CustomReportCreativeDetail.aspx?App=23&amp;ReportView=4&amp;Qid=1696098&amp;Row=820&amp;Col=1","No Title Assigned - #15276049447")</f>
        <v/>
      </c>
      <c r="B828" s="0" t="s">
        <v>811</v>
      </c>
      <c r="E828" s="0" t="s">
        <v>12</v>
      </c>
      <c r="F828" s="0" t="s">
        <v>12</v>
      </c>
      <c r="G828" s="0" t="s">
        <v>245</v>
      </c>
      <c r="I828" s="5">
        <v>835.260000</v>
      </c>
      <c r="J828" s="5">
        <v>2.000000</v>
      </c>
    </row>
    <row r="829" spans="1:11">
      <c r="A829" s="22" t="str">
        <f>HYPERLINK("https://app.vivvix.com/360/KMI/IntelliDrive/ApplUI/Pages/CreativePages/CustomReportCreativeDetail.aspx?App=23&amp;ReportView=4&amp;Qid=1696098&amp;Row=821&amp;Col=1","No Title Assigned - #15276057247")</f>
        <v/>
      </c>
      <c r="B829" s="0" t="s">
        <v>812</v>
      </c>
      <c r="E829" s="0" t="s">
        <v>12</v>
      </c>
      <c r="F829" s="0" t="s">
        <v>12</v>
      </c>
      <c r="G829" s="0" t="s">
        <v>204</v>
      </c>
      <c r="I829" s="5">
        <v>11353.833900</v>
      </c>
      <c r="J829" s="5">
        <v>51.000000</v>
      </c>
    </row>
    <row r="830" spans="1:11">
      <c r="A830" s="22" t="str">
        <f>HYPERLINK("https://app.vivvix.com/360/KMI/IntelliDrive/ApplUI/Pages/CreativePages/CustomReportCreativeDetail.aspx?App=23&amp;ReportView=4&amp;Qid=1696098&amp;Row=822&amp;Col=1","No Title Assigned - #15276071914")</f>
        <v/>
      </c>
      <c r="B830" s="0" t="s">
        <v>813</v>
      </c>
      <c r="E830" s="0" t="s">
        <v>12</v>
      </c>
      <c r="F830" s="0" t="s">
        <v>12</v>
      </c>
      <c r="G830" s="0" t="s">
        <v>245</v>
      </c>
      <c r="I830" s="5">
        <v>589129.943800</v>
      </c>
      <c r="J830" s="5">
        <v>62.000000</v>
      </c>
    </row>
    <row r="831" spans="1:11">
      <c r="A831" s="22" t="str">
        <f>HYPERLINK("https://app.vivvix.com/360/KMI/IntelliDrive/ApplUI/Pages/CreativePages/CustomReportCreativeDetail.aspx?App=23&amp;ReportView=4&amp;Qid=1696098&amp;Row=823&amp;Col=1","No Title Assigned - #15276081484")</f>
        <v/>
      </c>
      <c r="B831" s="0" t="s">
        <v>814</v>
      </c>
      <c r="E831" s="0" t="s">
        <v>12</v>
      </c>
      <c r="F831" s="0" t="s">
        <v>12</v>
      </c>
      <c r="G831" s="0" t="s">
        <v>204</v>
      </c>
      <c r="I831" s="5">
        <v>221.095300</v>
      </c>
      <c r="J831" s="5">
        <v>1.000000</v>
      </c>
    </row>
    <row r="832" spans="1:11">
      <c r="A832" s="22" t="str">
        <f>HYPERLINK("https://app.vivvix.com/360/KMI/IntelliDrive/ApplUI/Pages/CreativePages/CustomReportCreativeDetail.aspx?App=23&amp;ReportView=4&amp;Qid=1696098&amp;Row=824&amp;Col=1","No Title Assigned - #15276081729")</f>
        <v/>
      </c>
      <c r="B832" s="0" t="s">
        <v>815</v>
      </c>
      <c r="E832" s="0" t="s">
        <v>12</v>
      </c>
      <c r="F832" s="0" t="s">
        <v>12</v>
      </c>
      <c r="G832" s="0" t="s">
        <v>204</v>
      </c>
      <c r="I832" s="5">
        <v>221.095300</v>
      </c>
      <c r="J832" s="5">
        <v>1.000000</v>
      </c>
    </row>
    <row r="833" spans="1:11">
      <c r="A833" s="22" t="str">
        <f>HYPERLINK("https://app.vivvix.com/360/KMI/IntelliDrive/ApplUI/Pages/CreativePages/CustomReportCreativeDetail.aspx?App=23&amp;ReportView=4&amp;Qid=1696098&amp;Row=825&amp;Col=1","No Title Assigned - #15276081730")</f>
        <v/>
      </c>
      <c r="B833" s="0" t="s">
        <v>816</v>
      </c>
      <c r="E833" s="0" t="s">
        <v>12</v>
      </c>
      <c r="F833" s="0" t="s">
        <v>12</v>
      </c>
      <c r="G833" s="0" t="s">
        <v>204</v>
      </c>
      <c r="I833" s="5">
        <v>221.095300</v>
      </c>
      <c r="J833" s="5">
        <v>1.000000</v>
      </c>
    </row>
    <row r="834" spans="1:11">
      <c r="A834" s="22" t="str">
        <f>HYPERLINK("https://app.vivvix.com/360/KMI/IntelliDrive/ApplUI/Pages/CreativePages/CustomReportCreativeDetail.aspx?App=23&amp;ReportView=4&amp;Qid=1696098&amp;Row=826&amp;Col=1","No Title Assigned - #15276083725")</f>
        <v/>
      </c>
      <c r="B834" s="0" t="s">
        <v>817</v>
      </c>
      <c r="E834" s="0" t="s">
        <v>12</v>
      </c>
      <c r="F834" s="0" t="s">
        <v>12</v>
      </c>
      <c r="G834" s="0" t="s">
        <v>204</v>
      </c>
      <c r="I834" s="5">
        <v>1470.205800</v>
      </c>
      <c r="J834" s="5">
        <v>3.000000</v>
      </c>
    </row>
    <row r="835" spans="1:11">
      <c r="A835" s="22" t="str">
        <f>HYPERLINK("https://app.vivvix.com/360/KMI/IntelliDrive/ApplUI/Pages/CreativePages/CustomReportCreativeDetail.aspx?App=23&amp;ReportView=4&amp;Qid=1696098&amp;Row=827&amp;Col=1","No Title Assigned - #15276111580")</f>
        <v/>
      </c>
      <c r="B835" s="0" t="s">
        <v>818</v>
      </c>
      <c r="E835" s="0" t="s">
        <v>12</v>
      </c>
      <c r="F835" s="0" t="s">
        <v>12</v>
      </c>
      <c r="G835" s="0" t="s">
        <v>204</v>
      </c>
      <c r="I835" s="5">
        <v>506.948800</v>
      </c>
      <c r="J835" s="5">
        <v>1.000000</v>
      </c>
    </row>
    <row r="836" spans="1:11">
      <c r="A836" s="22" t="str">
        <f>HYPERLINK("https://app.vivvix.com/360/KMI/IntelliDrive/ApplUI/Pages/CreativePages/CustomReportCreativeDetail.aspx?App=23&amp;ReportView=4&amp;Qid=1696098&amp;Row=828&amp;Col=1","No Title Assigned - #15276118391")</f>
        <v/>
      </c>
      <c r="B836" s="0" t="s">
        <v>819</v>
      </c>
      <c r="E836" s="0" t="s">
        <v>12</v>
      </c>
      <c r="F836" s="0" t="s">
        <v>12</v>
      </c>
      <c r="G836" s="0" t="s">
        <v>204</v>
      </c>
      <c r="I836" s="5">
        <v>5564.333500</v>
      </c>
      <c r="J836" s="5">
        <v>1.000000</v>
      </c>
    </row>
    <row r="837" spans="1:11">
      <c r="A837" s="22" t="str">
        <f>HYPERLINK("https://app.vivvix.com/360/KMI/IntelliDrive/ApplUI/Pages/CreativePages/CustomReportCreativeDetail.aspx?App=23&amp;ReportView=4&amp;Qid=1696098&amp;Row=829&amp;Col=1","No Title Assigned - #15276147204")</f>
        <v/>
      </c>
      <c r="B837" s="0" t="s">
        <v>820</v>
      </c>
      <c r="E837" s="0" t="s">
        <v>12</v>
      </c>
      <c r="F837" s="0" t="s">
        <v>12</v>
      </c>
      <c r="G837" s="0" t="s">
        <v>204</v>
      </c>
      <c r="I837" s="5">
        <v>77.530200</v>
      </c>
      <c r="J837" s="5">
        <v>1.000000</v>
      </c>
    </row>
    <row r="838" spans="1:11">
      <c r="A838" s="22" t="str">
        <f>HYPERLINK("https://app.vivvix.com/360/KMI/IntelliDrive/ApplUI/Pages/CreativePages/CustomReportCreativeDetail.aspx?App=23&amp;ReportView=4&amp;Qid=1696098&amp;Row=830&amp;Col=1","No Title Assigned - #15276147229")</f>
        <v/>
      </c>
      <c r="B838" s="0" t="s">
        <v>821</v>
      </c>
      <c r="E838" s="0" t="s">
        <v>12</v>
      </c>
      <c r="F838" s="0" t="s">
        <v>12</v>
      </c>
      <c r="G838" s="0" t="s">
        <v>204</v>
      </c>
      <c r="I838" s="5">
        <v>77.530200</v>
      </c>
      <c r="J838" s="5">
        <v>1.000000</v>
      </c>
    </row>
    <row r="839" spans="1:11">
      <c r="A839" s="22" t="str">
        <f>HYPERLINK("https://app.vivvix.com/360/KMI/IntelliDrive/ApplUI/Pages/CreativePages/CustomReportCreativeDetail.aspx?App=23&amp;ReportView=4&amp;Qid=1696098&amp;Row=831&amp;Col=1","No Title Assigned - #15276182316")</f>
        <v/>
      </c>
      <c r="B839" s="0" t="s">
        <v>822</v>
      </c>
      <c r="E839" s="0" t="s">
        <v>12</v>
      </c>
      <c r="F839" s="0" t="s">
        <v>12</v>
      </c>
      <c r="G839" s="0" t="s">
        <v>204</v>
      </c>
      <c r="I839" s="5">
        <v>280.714100</v>
      </c>
      <c r="J839" s="5">
        <v>1.000000</v>
      </c>
    </row>
    <row r="840" spans="1:11">
      <c r="A840" s="22" t="str">
        <f>HYPERLINK("https://app.vivvix.com/360/KMI/IntelliDrive/ApplUI/Pages/CreativePages/CustomReportCreativeDetail.aspx?App=23&amp;ReportView=4&amp;Qid=1696098&amp;Row=832&amp;Col=1","No Title Assigned - #15276191157")</f>
        <v/>
      </c>
      <c r="B840" s="0" t="s">
        <v>823</v>
      </c>
      <c r="E840" s="0" t="s">
        <v>12</v>
      </c>
      <c r="F840" s="0" t="s">
        <v>12</v>
      </c>
      <c r="G840" s="0" t="s">
        <v>204</v>
      </c>
      <c r="I840" s="5">
        <v>280.714100</v>
      </c>
      <c r="J840" s="5">
        <v>1.000000</v>
      </c>
    </row>
    <row r="841" spans="1:11">
      <c r="A841" s="22" t="str">
        <f>HYPERLINK("https://app.vivvix.com/360/KMI/IntelliDrive/ApplUI/Pages/CreativePages/CustomReportCreativeDetail.aspx?App=23&amp;ReportView=4&amp;Qid=1696098&amp;Row=833&amp;Col=1","No Title Assigned - #15276191190")</f>
        <v/>
      </c>
      <c r="B841" s="0" t="s">
        <v>824</v>
      </c>
      <c r="E841" s="0" t="s">
        <v>12</v>
      </c>
      <c r="F841" s="0" t="s">
        <v>12</v>
      </c>
      <c r="G841" s="0" t="s">
        <v>204</v>
      </c>
      <c r="I841" s="5">
        <v>280.714100</v>
      </c>
      <c r="J841" s="5">
        <v>1.000000</v>
      </c>
    </row>
    <row r="842" spans="1:11">
      <c r="A842" s="22" t="str">
        <f>HYPERLINK("https://app.vivvix.com/360/KMI/IntelliDrive/ApplUI/Pages/CreativePages/CustomReportCreativeDetail.aspx?App=23&amp;ReportView=4&amp;Qid=1696098&amp;Row=834&amp;Col=1","No Title Assigned - #15276196143")</f>
        <v/>
      </c>
      <c r="B842" s="0" t="s">
        <v>825</v>
      </c>
      <c r="E842" s="0" t="s">
        <v>12</v>
      </c>
      <c r="F842" s="0" t="s">
        <v>12</v>
      </c>
      <c r="G842" s="0" t="s">
        <v>204</v>
      </c>
      <c r="I842" s="5">
        <v>5529.624500</v>
      </c>
      <c r="J842" s="5">
        <v>1.000000</v>
      </c>
    </row>
    <row r="843" spans="1:11">
      <c r="A843" s="22" t="str">
        <f>HYPERLINK("https://app.vivvix.com/360/KMI/IntelliDrive/ApplUI/Pages/CreativePages/CustomReportCreativeDetail.aspx?App=23&amp;ReportView=4&amp;Qid=1696098&amp;Row=835&amp;Col=1","No Title Assigned - #15276196144")</f>
        <v/>
      </c>
      <c r="B843" s="0" t="s">
        <v>826</v>
      </c>
      <c r="E843" s="0" t="s">
        <v>12</v>
      </c>
      <c r="F843" s="0" t="s">
        <v>12</v>
      </c>
      <c r="G843" s="0" t="s">
        <v>204</v>
      </c>
      <c r="I843" s="5">
        <v>22118.498000</v>
      </c>
      <c r="J843" s="5">
        <v>4.000000</v>
      </c>
    </row>
    <row r="844" spans="1:11">
      <c r="A844" s="22" t="str">
        <f>HYPERLINK("https://app.vivvix.com/360/KMI/IntelliDrive/ApplUI/Pages/CreativePages/CustomReportCreativeDetail.aspx?App=23&amp;ReportView=4&amp;Qid=1696098&amp;Row=836&amp;Col=1","No Title Assigned - #15276196146")</f>
        <v/>
      </c>
      <c r="B844" s="0" t="s">
        <v>827</v>
      </c>
      <c r="E844" s="0" t="s">
        <v>12</v>
      </c>
      <c r="F844" s="0" t="s">
        <v>12</v>
      </c>
      <c r="G844" s="0" t="s">
        <v>204</v>
      </c>
      <c r="I844" s="5">
        <v>5529.624500</v>
      </c>
      <c r="J844" s="5">
        <v>1.000000</v>
      </c>
    </row>
    <row r="845" spans="1:11">
      <c r="A845" s="22" t="str">
        <f>HYPERLINK("https://app.vivvix.com/360/KMI/IntelliDrive/ApplUI/Pages/CreativePages/CustomReportCreativeDetail.aspx?App=23&amp;ReportView=4&amp;Qid=1696098&amp;Row=837&amp;Col=1","No Title Assigned - #15276242058")</f>
        <v/>
      </c>
      <c r="B845" s="0" t="s">
        <v>828</v>
      </c>
      <c r="E845" s="0" t="s">
        <v>12</v>
      </c>
      <c r="F845" s="0" t="s">
        <v>12</v>
      </c>
      <c r="G845" s="0" t="s">
        <v>204</v>
      </c>
      <c r="I845" s="5">
        <v>663.771000</v>
      </c>
      <c r="J845" s="5">
        <v>1.000000</v>
      </c>
    </row>
    <row r="846" spans="1:11">
      <c r="A846" s="22" t="str">
        <f>HYPERLINK("https://app.vivvix.com/360/KMI/IntelliDrive/ApplUI/Pages/CreativePages/CustomReportCreativeDetail.aspx?App=23&amp;ReportView=4&amp;Qid=1696098&amp;Row=838&amp;Col=1","No Title Assigned - #15276280134")</f>
        <v/>
      </c>
      <c r="B846" s="0" t="s">
        <v>829</v>
      </c>
      <c r="E846" s="0" t="s">
        <v>12</v>
      </c>
      <c r="F846" s="0" t="s">
        <v>12</v>
      </c>
      <c r="G846" s="0" t="s">
        <v>204</v>
      </c>
      <c r="I846" s="5">
        <v>769.584800</v>
      </c>
      <c r="J846" s="5">
        <v>1.000000</v>
      </c>
    </row>
    <row r="847" spans="1:11">
      <c r="A847" s="22" t="str">
        <f>HYPERLINK("https://app.vivvix.com/360/KMI/IntelliDrive/ApplUI/Pages/CreativePages/CustomReportCreativeDetail.aspx?App=23&amp;ReportView=4&amp;Qid=1696098&amp;Row=839&amp;Col=1","No Title Assigned - #15276309689")</f>
        <v/>
      </c>
      <c r="B847" s="0" t="s">
        <v>830</v>
      </c>
      <c r="E847" s="0" t="s">
        <v>12</v>
      </c>
      <c r="F847" s="0" t="s">
        <v>12</v>
      </c>
      <c r="G847" s="0" t="s">
        <v>204</v>
      </c>
      <c r="I847" s="5">
        <v>267.107100</v>
      </c>
      <c r="J847" s="5">
        <v>1.000000</v>
      </c>
    </row>
    <row r="848" spans="1:11">
      <c r="A848" s="22" t="str">
        <f>HYPERLINK("https://app.vivvix.com/360/KMI/IntelliDrive/ApplUI/Pages/CreativePages/CustomReportCreativeDetail.aspx?App=23&amp;ReportView=4&amp;Qid=1696098&amp;Row=840&amp;Col=1","No Title Assigned - #15276310071")</f>
        <v/>
      </c>
      <c r="B848" s="0" t="s">
        <v>831</v>
      </c>
      <c r="E848" s="0" t="s">
        <v>12</v>
      </c>
      <c r="F848" s="0" t="s">
        <v>12</v>
      </c>
      <c r="G848" s="0" t="s">
        <v>204</v>
      </c>
      <c r="I848" s="5">
        <v>490.068600</v>
      </c>
      <c r="J848" s="5">
        <v>1.000000</v>
      </c>
    </row>
    <row r="849" spans="1:11">
      <c r="A849" s="22" t="str">
        <f>HYPERLINK("https://app.vivvix.com/360/KMI/IntelliDrive/ApplUI/Pages/CreativePages/CustomReportCreativeDetail.aspx?App=23&amp;ReportView=4&amp;Qid=1696098&amp;Row=841&amp;Col=1","No Title Assigned - #15276310113")</f>
        <v/>
      </c>
      <c r="B849" s="0" t="s">
        <v>832</v>
      </c>
      <c r="E849" s="0" t="s">
        <v>12</v>
      </c>
      <c r="F849" s="0" t="s">
        <v>12</v>
      </c>
      <c r="G849" s="0" t="s">
        <v>204</v>
      </c>
      <c r="I849" s="5">
        <v>490.068600</v>
      </c>
      <c r="J849" s="5">
        <v>1.000000</v>
      </c>
    </row>
    <row r="850" spans="1:11">
      <c r="A850" s="22" t="str">
        <f>HYPERLINK("https://app.vivvix.com/360/KMI/IntelliDrive/ApplUI/Pages/CreativePages/CustomReportCreativeDetail.aspx?App=23&amp;ReportView=4&amp;Qid=1696098&amp;Row=842&amp;Col=1","No Title Assigned - #15276337826")</f>
        <v/>
      </c>
      <c r="B850" s="0" t="s">
        <v>833</v>
      </c>
      <c r="E850" s="0" t="s">
        <v>12</v>
      </c>
      <c r="F850" s="0" t="s">
        <v>12</v>
      </c>
      <c r="G850" s="0" t="s">
        <v>204</v>
      </c>
      <c r="I850" s="5">
        <v>415.525600</v>
      </c>
      <c r="J850" s="5">
        <v>1.000000</v>
      </c>
    </row>
    <row r="851" spans="1:11">
      <c r="A851" s="22" t="str">
        <f>HYPERLINK("https://app.vivvix.com/360/KMI/IntelliDrive/ApplUI/Pages/CreativePages/CustomReportCreativeDetail.aspx?App=23&amp;ReportView=4&amp;Qid=1696098&amp;Row=843&amp;Col=1","No Title Assigned - #15276340712")</f>
        <v/>
      </c>
      <c r="B851" s="0" t="s">
        <v>834</v>
      </c>
      <c r="E851" s="0" t="s">
        <v>12</v>
      </c>
      <c r="F851" s="0" t="s">
        <v>12</v>
      </c>
      <c r="G851" s="0" t="s">
        <v>204</v>
      </c>
      <c r="I851" s="5">
        <v>3237.164800</v>
      </c>
      <c r="J851" s="5">
        <v>1.000000</v>
      </c>
    </row>
    <row r="852" spans="1:11">
      <c r="A852" s="22" t="str">
        <f>HYPERLINK("https://app.vivvix.com/360/KMI/IntelliDrive/ApplUI/Pages/CreativePages/CustomReportCreativeDetail.aspx?App=23&amp;ReportView=4&amp;Qid=1696098&amp;Row=844&amp;Col=1","No Title Assigned - #15276385864")</f>
        <v/>
      </c>
      <c r="B852" s="0" t="s">
        <v>835</v>
      </c>
      <c r="E852" s="0" t="s">
        <v>12</v>
      </c>
      <c r="F852" s="0" t="s">
        <v>12</v>
      </c>
      <c r="G852" s="0" t="s">
        <v>204</v>
      </c>
      <c r="I852" s="5">
        <v>10380.103800</v>
      </c>
      <c r="J852" s="5">
        <v>4.000000</v>
      </c>
    </row>
    <row r="853" spans="1:11">
      <c r="A853" s="22" t="str">
        <f>HYPERLINK("https://app.vivvix.com/360/KMI/IntelliDrive/ApplUI/Pages/CreativePages/CustomReportCreativeDetail.aspx?App=23&amp;ReportView=4&amp;Qid=1696098&amp;Row=845&amp;Col=1","No Title Assigned - #15276397723")</f>
        <v/>
      </c>
      <c r="B853" s="0" t="s">
        <v>836</v>
      </c>
      <c r="E853" s="0" t="s">
        <v>12</v>
      </c>
      <c r="F853" s="0" t="s">
        <v>12</v>
      </c>
      <c r="G853" s="0" t="s">
        <v>204</v>
      </c>
      <c r="I853" s="5">
        <v>490.068600</v>
      </c>
      <c r="J853" s="5">
        <v>1.000000</v>
      </c>
    </row>
    <row r="854" spans="1:11">
      <c r="A854" s="22" t="str">
        <f>HYPERLINK("https://app.vivvix.com/360/KMI/IntelliDrive/ApplUI/Pages/CreativePages/CustomReportCreativeDetail.aspx?App=23&amp;ReportView=4&amp;Qid=1696098&amp;Row=846&amp;Col=1","No Title Assigned - #15276408374")</f>
        <v/>
      </c>
      <c r="B854" s="0" t="s">
        <v>837</v>
      </c>
      <c r="E854" s="0" t="s">
        <v>12</v>
      </c>
      <c r="F854" s="0" t="s">
        <v>12</v>
      </c>
      <c r="G854" s="0" t="s">
        <v>17</v>
      </c>
      <c r="I854" s="5">
        <v>15.816000</v>
      </c>
      <c r="J854" s="5">
        <v>2.000000</v>
      </c>
    </row>
    <row r="855" spans="1:11">
      <c r="A855" s="22" t="str">
        <f>HYPERLINK("https://app.vivvix.com/360/KMI/IntelliDrive/ApplUI/Pages/CreativePages/CustomReportCreativeDetail.aspx?App=23&amp;ReportView=4&amp;Qid=1696098&amp;Row=847&amp;Col=1","No Title Assigned - #15276474002")</f>
        <v/>
      </c>
      <c r="B855" s="0" t="s">
        <v>838</v>
      </c>
      <c r="E855" s="0" t="s">
        <v>12</v>
      </c>
      <c r="F855" s="0" t="s">
        <v>12</v>
      </c>
      <c r="G855" s="0" t="s">
        <v>204</v>
      </c>
      <c r="I855" s="5">
        <v>3237.164800</v>
      </c>
      <c r="J855" s="5">
        <v>1.000000</v>
      </c>
    </row>
    <row r="856" spans="1:11">
      <c r="A856" s="22" t="str">
        <f>HYPERLINK("https://app.vivvix.com/360/KMI/IntelliDrive/ApplUI/Pages/CreativePages/CustomReportCreativeDetail.aspx?App=23&amp;ReportView=4&amp;Qid=1696098&amp;Row=848&amp;Col=1","No Title Assigned - #15276474143")</f>
        <v/>
      </c>
      <c r="B856" s="0" t="s">
        <v>839</v>
      </c>
      <c r="E856" s="0" t="s">
        <v>12</v>
      </c>
      <c r="F856" s="0" t="s">
        <v>12</v>
      </c>
      <c r="G856" s="0" t="s">
        <v>204</v>
      </c>
      <c r="I856" s="5">
        <v>267.107100</v>
      </c>
      <c r="J856" s="5">
        <v>1.000000</v>
      </c>
    </row>
    <row r="857" spans="1:11">
      <c r="A857" s="22" t="str">
        <f>HYPERLINK("https://app.vivvix.com/360/KMI/IntelliDrive/ApplUI/Pages/CreativePages/CustomReportCreativeDetail.aspx?App=23&amp;ReportView=4&amp;Qid=1696098&amp;Row=849&amp;Col=1","No Title Assigned - #15276491807")</f>
        <v/>
      </c>
      <c r="B857" s="0" t="s">
        <v>840</v>
      </c>
      <c r="E857" s="0" t="s">
        <v>12</v>
      </c>
      <c r="F857" s="0" t="s">
        <v>12</v>
      </c>
      <c r="G857" s="0" t="s">
        <v>204</v>
      </c>
      <c r="I857" s="5">
        <v>33.982600</v>
      </c>
      <c r="J857" s="5">
        <v>1.000000</v>
      </c>
    </row>
    <row r="858" spans="1:11">
      <c r="A858" s="22" t="str">
        <f>HYPERLINK("https://app.vivvix.com/360/KMI/IntelliDrive/ApplUI/Pages/CreativePages/CustomReportCreativeDetail.aspx?App=23&amp;ReportView=4&amp;Qid=1696098&amp;Row=850&amp;Col=1","No Title Assigned - #15276491809")</f>
        <v/>
      </c>
      <c r="B858" s="0" t="s">
        <v>841</v>
      </c>
      <c r="E858" s="0" t="s">
        <v>12</v>
      </c>
      <c r="F858" s="0" t="s">
        <v>12</v>
      </c>
      <c r="G858" s="0" t="s">
        <v>204</v>
      </c>
      <c r="I858" s="5">
        <v>33.982600</v>
      </c>
      <c r="J858" s="5">
        <v>1.000000</v>
      </c>
    </row>
    <row r="859" spans="1:11">
      <c r="A859" s="22" t="str">
        <f>HYPERLINK("https://app.vivvix.com/360/KMI/IntelliDrive/ApplUI/Pages/CreativePages/CustomReportCreativeDetail.aspx?App=23&amp;ReportView=4&amp;Qid=1696098&amp;Row=851&amp;Col=1","No Title Assigned - #15276491810")</f>
        <v/>
      </c>
      <c r="B859" s="0" t="s">
        <v>842</v>
      </c>
      <c r="E859" s="0" t="s">
        <v>12</v>
      </c>
      <c r="F859" s="0" t="s">
        <v>12</v>
      </c>
      <c r="G859" s="0" t="s">
        <v>204</v>
      </c>
      <c r="I859" s="5">
        <v>33.982600</v>
      </c>
      <c r="J859" s="5">
        <v>1.000000</v>
      </c>
    </row>
    <row r="860" spans="1:11">
      <c r="A860" s="22" t="str">
        <f>HYPERLINK("https://app.vivvix.com/360/KMI/IntelliDrive/ApplUI/Pages/CreativePages/CustomReportCreativeDetail.aspx?App=23&amp;ReportView=4&amp;Qid=1696098&amp;Row=852&amp;Col=1","No Title Assigned - #15276498924")</f>
        <v/>
      </c>
      <c r="B860" s="0" t="s">
        <v>843</v>
      </c>
      <c r="E860" s="0" t="s">
        <v>12</v>
      </c>
      <c r="F860" s="0" t="s">
        <v>12</v>
      </c>
      <c r="G860" s="0" t="s">
        <v>204</v>
      </c>
      <c r="I860" s="5">
        <v>413.829400</v>
      </c>
      <c r="J860" s="5">
        <v>1.000000</v>
      </c>
    </row>
    <row r="861" spans="1:11">
      <c r="A861" s="22" t="str">
        <f>HYPERLINK("https://app.vivvix.com/360/KMI/IntelliDrive/ApplUI/Pages/CreativePages/CustomReportCreativeDetail.aspx?App=23&amp;ReportView=4&amp;Qid=1696098&amp;Row=853&amp;Col=1","No Title Assigned - #15276532262")</f>
        <v/>
      </c>
      <c r="B861" s="0" t="s">
        <v>844</v>
      </c>
      <c r="E861" s="0" t="s">
        <v>12</v>
      </c>
      <c r="F861" s="0" t="s">
        <v>12</v>
      </c>
      <c r="G861" s="0" t="s">
        <v>204</v>
      </c>
      <c r="I861" s="5">
        <v>412.923900</v>
      </c>
      <c r="J861" s="5">
        <v>1.000000</v>
      </c>
    </row>
    <row r="862" spans="1:11">
      <c r="A862" s="22" t="str">
        <f>HYPERLINK("https://app.vivvix.com/360/KMI/IntelliDrive/ApplUI/Pages/CreativePages/CustomReportCreativeDetail.aspx?App=23&amp;ReportView=4&amp;Qid=1696098&amp;Row=854&amp;Col=1","No Title Assigned - #15276532276")</f>
        <v/>
      </c>
      <c r="B862" s="0" t="s">
        <v>845</v>
      </c>
      <c r="E862" s="0" t="s">
        <v>12</v>
      </c>
      <c r="F862" s="0" t="s">
        <v>12</v>
      </c>
      <c r="G862" s="0" t="s">
        <v>204</v>
      </c>
      <c r="I862" s="5">
        <v>563.969000</v>
      </c>
      <c r="J862" s="5">
        <v>1.000000</v>
      </c>
    </row>
    <row r="863" spans="1:11">
      <c r="A863" s="22" t="str">
        <f>HYPERLINK("https://app.vivvix.com/360/KMI/IntelliDrive/ApplUI/Pages/CreativePages/CustomReportCreativeDetail.aspx?App=23&amp;ReportView=4&amp;Qid=1696098&amp;Row=855&amp;Col=1","No Title Assigned - #15276533598")</f>
        <v/>
      </c>
      <c r="B863" s="0" t="s">
        <v>846</v>
      </c>
      <c r="E863" s="0" t="s">
        <v>12</v>
      </c>
      <c r="F863" s="0" t="s">
        <v>12</v>
      </c>
      <c r="G863" s="0" t="s">
        <v>204</v>
      </c>
      <c r="I863" s="5">
        <v>5004.314000</v>
      </c>
      <c r="J863" s="5">
        <v>2.000000</v>
      </c>
    </row>
    <row r="864" spans="1:11">
      <c r="A864" s="22" t="str">
        <f>HYPERLINK("https://app.vivvix.com/360/KMI/IntelliDrive/ApplUI/Pages/CreativePages/CustomReportCreativeDetail.aspx?App=23&amp;ReportView=4&amp;Qid=1696098&amp;Row=856&amp;Col=1","No Title Assigned - #15276533617")</f>
        <v/>
      </c>
      <c r="B864" s="0" t="s">
        <v>847</v>
      </c>
      <c r="E864" s="0" t="s">
        <v>12</v>
      </c>
      <c r="F864" s="0" t="s">
        <v>12</v>
      </c>
      <c r="G864" s="0" t="s">
        <v>204</v>
      </c>
      <c r="I864" s="5">
        <v>2502.157000</v>
      </c>
      <c r="J864" s="5">
        <v>1.000000</v>
      </c>
    </row>
    <row r="865" spans="1:11">
      <c r="A865" s="22" t="str">
        <f>HYPERLINK("https://app.vivvix.com/360/KMI/IntelliDrive/ApplUI/Pages/CreativePages/CustomReportCreativeDetail.aspx?App=23&amp;ReportView=4&amp;Qid=1696098&amp;Row=857&amp;Col=1","No Title Assigned - #15276533716")</f>
        <v/>
      </c>
      <c r="B865" s="0" t="s">
        <v>848</v>
      </c>
      <c r="E865" s="0" t="s">
        <v>12</v>
      </c>
      <c r="F865" s="0" t="s">
        <v>12</v>
      </c>
      <c r="G865" s="0" t="s">
        <v>204</v>
      </c>
      <c r="I865" s="5">
        <v>2502.157000</v>
      </c>
      <c r="J865" s="5">
        <v>1.000000</v>
      </c>
    </row>
    <row r="866" spans="1:11">
      <c r="A866" s="22" t="str">
        <f>HYPERLINK("https://app.vivvix.com/360/KMI/IntelliDrive/ApplUI/Pages/CreativePages/CustomReportCreativeDetail.aspx?App=23&amp;ReportView=4&amp;Qid=1696098&amp;Row=858&amp;Col=1","No Title Assigned - #15276542838")</f>
        <v/>
      </c>
      <c r="B866" s="0" t="s">
        <v>849</v>
      </c>
      <c r="E866" s="0" t="s">
        <v>12</v>
      </c>
      <c r="F866" s="0" t="s">
        <v>12</v>
      </c>
      <c r="G866" s="0" t="s">
        <v>204</v>
      </c>
      <c r="I866" s="5">
        <v>33.982600</v>
      </c>
      <c r="J866" s="5">
        <v>1.000000</v>
      </c>
    </row>
    <row r="867" spans="1:11">
      <c r="A867" s="22" t="str">
        <f>HYPERLINK("https://app.vivvix.com/360/KMI/IntelliDrive/ApplUI/Pages/CreativePages/CustomReportCreativeDetail.aspx?App=23&amp;ReportView=4&amp;Qid=1696098&amp;Row=859&amp;Col=1","No Title Assigned - #15276547646")</f>
        <v/>
      </c>
      <c r="B867" s="0" t="s">
        <v>850</v>
      </c>
      <c r="E867" s="0" t="s">
        <v>12</v>
      </c>
      <c r="F867" s="0" t="s">
        <v>12</v>
      </c>
      <c r="G867" s="0" t="s">
        <v>204</v>
      </c>
      <c r="I867" s="5">
        <v>33.982600</v>
      </c>
      <c r="J867" s="5">
        <v>1.000000</v>
      </c>
    </row>
    <row r="868" spans="1:11">
      <c r="A868" s="22" t="str">
        <f>HYPERLINK("https://app.vivvix.com/360/KMI/IntelliDrive/ApplUI/Pages/CreativePages/CustomReportCreativeDetail.aspx?App=23&amp;ReportView=4&amp;Qid=1696098&amp;Row=860&amp;Col=1","No Title Assigned - #15276571176")</f>
        <v/>
      </c>
      <c r="B868" s="0" t="s">
        <v>851</v>
      </c>
      <c r="E868" s="0" t="s">
        <v>12</v>
      </c>
      <c r="F868" s="0" t="s">
        <v>12</v>
      </c>
      <c r="G868" s="0" t="s">
        <v>204</v>
      </c>
      <c r="I868" s="5">
        <v>510.007000</v>
      </c>
      <c r="J868" s="5">
        <v>1.000000</v>
      </c>
    </row>
    <row r="869" spans="1:11">
      <c r="A869" s="22" t="str">
        <f>HYPERLINK("https://app.vivvix.com/360/KMI/IntelliDrive/ApplUI/Pages/CreativePages/CustomReportCreativeDetail.aspx?App=23&amp;ReportView=4&amp;Qid=1696098&amp;Row=861&amp;Col=1","No Title Assigned - #15276571225")</f>
        <v/>
      </c>
      <c r="B869" s="0" t="s">
        <v>852</v>
      </c>
      <c r="E869" s="0" t="s">
        <v>12</v>
      </c>
      <c r="F869" s="0" t="s">
        <v>12</v>
      </c>
      <c r="G869" s="0" t="s">
        <v>204</v>
      </c>
      <c r="I869" s="5">
        <v>4666.971200</v>
      </c>
      <c r="J869" s="5">
        <v>1.000000</v>
      </c>
    </row>
    <row r="870" spans="1:11">
      <c r="A870" s="22" t="str">
        <f>HYPERLINK("https://app.vivvix.com/360/KMI/IntelliDrive/ApplUI/Pages/CreativePages/CustomReportCreativeDetail.aspx?App=23&amp;ReportView=4&amp;Qid=1696098&amp;Row=862&amp;Col=1","No Title Assigned - #15276598307")</f>
        <v/>
      </c>
      <c r="B870" s="0" t="s">
        <v>853</v>
      </c>
      <c r="E870" s="0" t="s">
        <v>12</v>
      </c>
      <c r="F870" s="0" t="s">
        <v>12</v>
      </c>
      <c r="G870" s="0" t="s">
        <v>204</v>
      </c>
      <c r="I870" s="5">
        <v>56.327400</v>
      </c>
      <c r="J870" s="5">
        <v>1.000000</v>
      </c>
    </row>
    <row r="871" spans="1:11">
      <c r="A871" s="22" t="str">
        <f>HYPERLINK("https://app.vivvix.com/360/KMI/IntelliDrive/ApplUI/Pages/CreativePages/CustomReportCreativeDetail.aspx?App=23&amp;ReportView=4&amp;Qid=1696098&amp;Row=863&amp;Col=1","No Title Assigned - #15276634837")</f>
        <v/>
      </c>
      <c r="B871" s="0" t="s">
        <v>854</v>
      </c>
      <c r="E871" s="0" t="s">
        <v>12</v>
      </c>
      <c r="F871" s="0" t="s">
        <v>12</v>
      </c>
      <c r="G871" s="0" t="s">
        <v>204</v>
      </c>
      <c r="I871" s="5">
        <v>2098.715600</v>
      </c>
      <c r="J871" s="5">
        <v>1.000000</v>
      </c>
    </row>
    <row r="872" spans="1:11">
      <c r="A872" s="22" t="str">
        <f>HYPERLINK("https://app.vivvix.com/360/KMI/IntelliDrive/ApplUI/Pages/CreativePages/CustomReportCreativeDetail.aspx?App=23&amp;ReportView=4&amp;Qid=1696098&amp;Row=864&amp;Col=1","No Title Assigned - #15276637070")</f>
        <v/>
      </c>
      <c r="B872" s="0" t="s">
        <v>855</v>
      </c>
      <c r="E872" s="0" t="s">
        <v>12</v>
      </c>
      <c r="F872" s="0" t="s">
        <v>12</v>
      </c>
      <c r="G872" s="0" t="s">
        <v>204</v>
      </c>
      <c r="I872" s="5">
        <v>2098.715600</v>
      </c>
      <c r="J872" s="5">
        <v>1.000000</v>
      </c>
    </row>
    <row r="873" spans="1:11">
      <c r="A873" s="22" t="str">
        <f>HYPERLINK("https://app.vivvix.com/360/KMI/IntelliDrive/ApplUI/Pages/CreativePages/CustomReportCreativeDetail.aspx?App=23&amp;ReportView=4&amp;Qid=1696098&amp;Row=865&amp;Col=1","No Title Assigned - #15276637214")</f>
        <v/>
      </c>
      <c r="B873" s="0" t="s">
        <v>856</v>
      </c>
      <c r="E873" s="0" t="s">
        <v>12</v>
      </c>
      <c r="F873" s="0" t="s">
        <v>12</v>
      </c>
      <c r="G873" s="0" t="s">
        <v>204</v>
      </c>
      <c r="I873" s="5">
        <v>4666.971200</v>
      </c>
      <c r="J873" s="5">
        <v>1.000000</v>
      </c>
    </row>
    <row r="874" spans="1:11">
      <c r="A874" s="22" t="str">
        <f>HYPERLINK("https://app.vivvix.com/360/KMI/IntelliDrive/ApplUI/Pages/CreativePages/CustomReportCreativeDetail.aspx?App=23&amp;ReportView=4&amp;Qid=1696098&amp;Row=866&amp;Col=1","No Title Assigned - #15276646365")</f>
        <v/>
      </c>
      <c r="B874" s="0" t="s">
        <v>857</v>
      </c>
      <c r="E874" s="0" t="s">
        <v>12</v>
      </c>
      <c r="F874" s="0" t="s">
        <v>12</v>
      </c>
      <c r="G874" s="0" t="s">
        <v>204</v>
      </c>
      <c r="I874" s="5">
        <v>33.982600</v>
      </c>
      <c r="J874" s="5">
        <v>1.000000</v>
      </c>
    </row>
    <row r="875" spans="1:11">
      <c r="A875" s="22" t="str">
        <f>HYPERLINK("https://app.vivvix.com/360/KMI/IntelliDrive/ApplUI/Pages/CreativePages/CustomReportCreativeDetail.aspx?App=23&amp;ReportView=4&amp;Qid=1696098&amp;Row=867&amp;Col=1","No Title Assigned - #15276647000")</f>
        <v/>
      </c>
      <c r="B875" s="0" t="s">
        <v>858</v>
      </c>
      <c r="E875" s="0" t="s">
        <v>12</v>
      </c>
      <c r="F875" s="0" t="s">
        <v>12</v>
      </c>
      <c r="G875" s="0" t="s">
        <v>204</v>
      </c>
      <c r="I875" s="5">
        <v>33.982600</v>
      </c>
      <c r="J875" s="5">
        <v>1.000000</v>
      </c>
    </row>
    <row r="876" spans="1:11">
      <c r="A876" s="22" t="str">
        <f>HYPERLINK("https://app.vivvix.com/360/KMI/IntelliDrive/ApplUI/Pages/CreativePages/CustomReportCreativeDetail.aspx?App=23&amp;ReportView=4&amp;Qid=1696098&amp;Row=868&amp;Col=1","No Title Assigned - #15276697420")</f>
        <v/>
      </c>
      <c r="B876" s="0" t="s">
        <v>859</v>
      </c>
      <c r="E876" s="0" t="s">
        <v>12</v>
      </c>
      <c r="F876" s="0" t="s">
        <v>12</v>
      </c>
      <c r="G876" s="0" t="s">
        <v>204</v>
      </c>
      <c r="I876" s="5">
        <v>513.188600</v>
      </c>
      <c r="J876" s="5">
        <v>1.000000</v>
      </c>
    </row>
    <row r="877" spans="1:11">
      <c r="A877" s="22" t="str">
        <f>HYPERLINK("https://app.vivvix.com/360/KMI/IntelliDrive/ApplUI/Pages/CreativePages/CustomReportCreativeDetail.aspx?App=23&amp;ReportView=4&amp;Qid=1696098&amp;Row=869&amp;Col=1","No Title Assigned - #15276748101")</f>
        <v/>
      </c>
      <c r="B877" s="0" t="s">
        <v>860</v>
      </c>
      <c r="E877" s="0" t="s">
        <v>12</v>
      </c>
      <c r="F877" s="0" t="s">
        <v>12</v>
      </c>
      <c r="G877" s="0" t="s">
        <v>204</v>
      </c>
      <c r="I877" s="5">
        <v>439.627500</v>
      </c>
      <c r="J877" s="5">
        <v>1.000000</v>
      </c>
    </row>
    <row r="878" spans="1:11">
      <c r="A878" s="22" t="str">
        <f>HYPERLINK("https://app.vivvix.com/360/KMI/IntelliDrive/ApplUI/Pages/CreativePages/CustomReportCreativeDetail.aspx?App=23&amp;ReportView=4&amp;Qid=1696098&amp;Row=870&amp;Col=1","No Title Assigned - #15276771165")</f>
        <v/>
      </c>
      <c r="B878" s="0" t="s">
        <v>861</v>
      </c>
      <c r="E878" s="0" t="s">
        <v>12</v>
      </c>
      <c r="F878" s="0" t="s">
        <v>12</v>
      </c>
      <c r="G878" s="0" t="s">
        <v>17</v>
      </c>
      <c r="I878" s="5">
        <v>7.908000</v>
      </c>
      <c r="J878" s="5">
        <v>1.000000</v>
      </c>
    </row>
    <row r="879" spans="1:11">
      <c r="A879" s="22" t="str">
        <f>HYPERLINK("https://app.vivvix.com/360/KMI/IntelliDrive/ApplUI/Pages/CreativePages/CustomReportCreativeDetail.aspx?App=23&amp;ReportView=4&amp;Qid=1696098&amp;Row=871&amp;Col=1","No Title Assigned - #15276789760")</f>
        <v/>
      </c>
      <c r="B879" s="0" t="s">
        <v>862</v>
      </c>
      <c r="E879" s="0" t="s">
        <v>12</v>
      </c>
      <c r="F879" s="0" t="s">
        <v>12</v>
      </c>
      <c r="G879" s="0" t="s">
        <v>204</v>
      </c>
      <c r="I879" s="5">
        <v>980.137200</v>
      </c>
      <c r="J879" s="5">
        <v>2.000000</v>
      </c>
    </row>
    <row r="880" spans="1:11">
      <c r="A880" s="22" t="str">
        <f>HYPERLINK("https://app.vivvix.com/360/KMI/IntelliDrive/ApplUI/Pages/CreativePages/CustomReportCreativeDetail.aspx?App=23&amp;ReportView=4&amp;Qid=1696098&amp;Row=872&amp;Col=1","No Title Assigned - #15276789876")</f>
        <v/>
      </c>
      <c r="B880" s="0" t="s">
        <v>863</v>
      </c>
      <c r="E880" s="0" t="s">
        <v>12</v>
      </c>
      <c r="F880" s="0" t="s">
        <v>12</v>
      </c>
      <c r="G880" s="0" t="s">
        <v>204</v>
      </c>
      <c r="I880" s="5">
        <v>490.068600</v>
      </c>
      <c r="J880" s="5">
        <v>1.000000</v>
      </c>
    </row>
    <row r="881" spans="1:11">
      <c r="A881" s="22" t="str">
        <f>HYPERLINK("https://app.vivvix.com/360/KMI/IntelliDrive/ApplUI/Pages/CreativePages/CustomReportCreativeDetail.aspx?App=23&amp;ReportView=4&amp;Qid=1696098&amp;Row=873&amp;Col=1","No Title Assigned - #15276804841")</f>
        <v/>
      </c>
      <c r="B881" s="0" t="s">
        <v>864</v>
      </c>
      <c r="E881" s="0" t="s">
        <v>12</v>
      </c>
      <c r="F881" s="0" t="s">
        <v>12</v>
      </c>
      <c r="G881" s="0" t="s">
        <v>245</v>
      </c>
      <c r="I881" s="5">
        <v>813.324600</v>
      </c>
      <c r="J881" s="5">
        <v>1.000000</v>
      </c>
    </row>
    <row r="882" spans="1:11">
      <c r="A882" s="22" t="str">
        <f>HYPERLINK("https://app.vivvix.com/360/KMI/IntelliDrive/ApplUI/Pages/CreativePages/CustomReportCreativeDetail.aspx?App=23&amp;ReportView=4&amp;Qid=1696098&amp;Row=874&amp;Col=1","No Title Assigned - #15276834790")</f>
        <v/>
      </c>
      <c r="B882" s="0" t="s">
        <v>865</v>
      </c>
      <c r="E882" s="0" t="s">
        <v>12</v>
      </c>
      <c r="F882" s="0" t="s">
        <v>12</v>
      </c>
      <c r="G882" s="0" t="s">
        <v>204</v>
      </c>
      <c r="I882" s="5">
        <v>383.747600</v>
      </c>
      <c r="J882" s="5">
        <v>1.000000</v>
      </c>
    </row>
    <row r="883" spans="1:11">
      <c r="A883" s="22" t="str">
        <f>HYPERLINK("https://app.vivvix.com/360/KMI/IntelliDrive/ApplUI/Pages/CreativePages/CustomReportCreativeDetail.aspx?App=23&amp;ReportView=4&amp;Qid=1696098&amp;Row=875&amp;Col=1","No Title Assigned - #15276847731")</f>
        <v/>
      </c>
      <c r="B883" s="0" t="s">
        <v>866</v>
      </c>
      <c r="E883" s="0" t="s">
        <v>12</v>
      </c>
      <c r="F883" s="0" t="s">
        <v>12</v>
      </c>
      <c r="G883" s="0" t="s">
        <v>204</v>
      </c>
      <c r="I883" s="5">
        <v>461.074400</v>
      </c>
      <c r="J883" s="5">
        <v>1.000000</v>
      </c>
    </row>
    <row r="884" spans="1:11">
      <c r="A884" s="22" t="str">
        <f>HYPERLINK("https://app.vivvix.com/360/KMI/IntelliDrive/ApplUI/Pages/CreativePages/CustomReportCreativeDetail.aspx?App=23&amp;ReportView=4&amp;Qid=1696098&amp;Row=876&amp;Col=1","No Title Assigned - #15276856945")</f>
        <v/>
      </c>
      <c r="B884" s="0" t="s">
        <v>867</v>
      </c>
      <c r="E884" s="0" t="s">
        <v>12</v>
      </c>
      <c r="F884" s="0" t="s">
        <v>12</v>
      </c>
      <c r="G884" s="0" t="s">
        <v>204</v>
      </c>
      <c r="I884" s="5">
        <v>33.982600</v>
      </c>
      <c r="J884" s="5">
        <v>1.000000</v>
      </c>
    </row>
    <row r="885" spans="1:11">
      <c r="A885" s="22" t="str">
        <f>HYPERLINK("https://app.vivvix.com/360/KMI/IntelliDrive/ApplUI/Pages/CreativePages/CustomReportCreativeDetail.aspx?App=23&amp;ReportView=4&amp;Qid=1696098&amp;Row=877&amp;Col=1","No Title Assigned - #15276858000")</f>
        <v/>
      </c>
      <c r="B885" s="0" t="s">
        <v>868</v>
      </c>
      <c r="E885" s="0" t="s">
        <v>12</v>
      </c>
      <c r="F885" s="0" t="s">
        <v>12</v>
      </c>
      <c r="G885" s="0" t="s">
        <v>204</v>
      </c>
      <c r="I885" s="5">
        <v>515.874100</v>
      </c>
      <c r="J885" s="5">
        <v>1.000000</v>
      </c>
    </row>
    <row r="886" spans="1:11">
      <c r="A886" s="22" t="str">
        <f>HYPERLINK("https://app.vivvix.com/360/KMI/IntelliDrive/ApplUI/Pages/CreativePages/CustomReportCreativeDetail.aspx?App=23&amp;ReportView=4&amp;Qid=1696098&amp;Row=878&amp;Col=1","No Title Assigned - #15276919906")</f>
        <v/>
      </c>
      <c r="B886" s="0" t="s">
        <v>869</v>
      </c>
      <c r="E886" s="0" t="s">
        <v>12</v>
      </c>
      <c r="F886" s="0" t="s">
        <v>12</v>
      </c>
      <c r="G886" s="0" t="s">
        <v>204</v>
      </c>
      <c r="I886" s="5">
        <v>416.032500</v>
      </c>
      <c r="J886" s="5">
        <v>1.000000</v>
      </c>
    </row>
    <row r="887" spans="1:11">
      <c r="A887" s="22" t="str">
        <f>HYPERLINK("https://app.vivvix.com/360/KMI/IntelliDrive/ApplUI/Pages/CreativePages/CustomReportCreativeDetail.aspx?App=23&amp;ReportView=4&amp;Qid=1696098&amp;Row=879&amp;Col=1","No Title Assigned - #15276920447")</f>
        <v/>
      </c>
      <c r="B887" s="0" t="s">
        <v>870</v>
      </c>
      <c r="E887" s="0" t="s">
        <v>12</v>
      </c>
      <c r="F887" s="0" t="s">
        <v>12</v>
      </c>
      <c r="G887" s="0" t="s">
        <v>204</v>
      </c>
      <c r="I887" s="5">
        <v>481.637200</v>
      </c>
      <c r="J887" s="5">
        <v>1.000000</v>
      </c>
    </row>
    <row r="888" spans="1:11">
      <c r="A888" s="22" t="str">
        <f>HYPERLINK("https://app.vivvix.com/360/KMI/IntelliDrive/ApplUI/Pages/CreativePages/CustomReportCreativeDetail.aspx?App=23&amp;ReportView=4&amp;Qid=1696098&amp;Row=880&amp;Col=1","No Title Assigned - #15276974630")</f>
        <v/>
      </c>
      <c r="B888" s="0" t="s">
        <v>871</v>
      </c>
      <c r="E888" s="0" t="s">
        <v>12</v>
      </c>
      <c r="F888" s="0" t="s">
        <v>12</v>
      </c>
      <c r="G888" s="0" t="s">
        <v>204</v>
      </c>
      <c r="I888" s="5">
        <v>457.297300</v>
      </c>
      <c r="J888" s="5">
        <v>1.000000</v>
      </c>
    </row>
    <row r="889" spans="1:11">
      <c r="A889" s="22" t="str">
        <f>HYPERLINK("https://app.vivvix.com/360/KMI/IntelliDrive/ApplUI/Pages/CreativePages/CustomReportCreativeDetail.aspx?App=23&amp;ReportView=4&amp;Qid=1696098&amp;Row=881&amp;Col=1","No Title Assigned - #15276985306")</f>
        <v/>
      </c>
      <c r="B889" s="0" t="s">
        <v>872</v>
      </c>
      <c r="E889" s="0" t="s">
        <v>12</v>
      </c>
      <c r="F889" s="0" t="s">
        <v>12</v>
      </c>
      <c r="G889" s="0" t="s">
        <v>204</v>
      </c>
      <c r="I889" s="5">
        <v>2265.199700</v>
      </c>
      <c r="J889" s="5">
        <v>2.000000</v>
      </c>
    </row>
    <row r="890" spans="1:11">
      <c r="A890" s="22" t="str">
        <f>HYPERLINK("https://app.vivvix.com/360/KMI/IntelliDrive/ApplUI/Pages/CreativePages/CustomReportCreativeDetail.aspx?App=23&amp;ReportView=4&amp;Qid=1696098&amp;Row=882&amp;Col=1","No Title Assigned - #15276992395")</f>
        <v/>
      </c>
      <c r="B890" s="0" t="s">
        <v>873</v>
      </c>
      <c r="E890" s="0" t="s">
        <v>12</v>
      </c>
      <c r="F890" s="0" t="s">
        <v>12</v>
      </c>
      <c r="G890" s="0" t="s">
        <v>204</v>
      </c>
      <c r="I890" s="5">
        <v>5529.624500</v>
      </c>
      <c r="J890" s="5">
        <v>1.000000</v>
      </c>
    </row>
    <row r="891" spans="1:11">
      <c r="A891" s="22" t="str">
        <f>HYPERLINK("https://app.vivvix.com/360/KMI/IntelliDrive/ApplUI/Pages/CreativePages/CustomReportCreativeDetail.aspx?App=23&amp;ReportView=4&amp;Qid=1696098&amp;Row=883&amp;Col=1","No Title Assigned - #15276992948")</f>
        <v/>
      </c>
      <c r="B891" s="0" t="s">
        <v>874</v>
      </c>
      <c r="E891" s="0" t="s">
        <v>12</v>
      </c>
      <c r="F891" s="0" t="s">
        <v>12</v>
      </c>
      <c r="G891" s="0" t="s">
        <v>204</v>
      </c>
      <c r="I891" s="5">
        <v>461.074400</v>
      </c>
      <c r="J891" s="5">
        <v>1.000000</v>
      </c>
    </row>
    <row r="892" spans="1:11">
      <c r="A892" s="22" t="str">
        <f>HYPERLINK("https://app.vivvix.com/360/KMI/IntelliDrive/ApplUI/Pages/CreativePages/CustomReportCreativeDetail.aspx?App=23&amp;ReportView=4&amp;Qid=1696098&amp;Row=884&amp;Col=1","No Title Assigned - #15277000135")</f>
        <v/>
      </c>
      <c r="B892" s="0" t="s">
        <v>875</v>
      </c>
      <c r="E892" s="0" t="s">
        <v>12</v>
      </c>
      <c r="F892" s="0" t="s">
        <v>12</v>
      </c>
      <c r="G892" s="0" t="s">
        <v>204</v>
      </c>
      <c r="I892" s="5">
        <v>416.055400</v>
      </c>
      <c r="J892" s="5">
        <v>1.000000</v>
      </c>
    </row>
    <row r="893" spans="1:11">
      <c r="A893" s="22" t="str">
        <f>HYPERLINK("https://app.vivvix.com/360/KMI/IntelliDrive/ApplUI/Pages/CreativePages/CustomReportCreativeDetail.aspx?App=23&amp;ReportView=4&amp;Qid=1696098&amp;Row=885&amp;Col=1","No Title Assigned - #15277106689")</f>
        <v/>
      </c>
      <c r="B893" s="0" t="s">
        <v>876</v>
      </c>
      <c r="E893" s="0" t="s">
        <v>12</v>
      </c>
      <c r="F893" s="0" t="s">
        <v>12</v>
      </c>
      <c r="G893" s="0" t="s">
        <v>204</v>
      </c>
      <c r="I893" s="5">
        <v>435.519600</v>
      </c>
      <c r="J893" s="5">
        <v>2.000000</v>
      </c>
    </row>
    <row r="894" spans="1:11">
      <c r="A894" s="22" t="str">
        <f>HYPERLINK("https://app.vivvix.com/360/KMI/IntelliDrive/ApplUI/Pages/CreativePages/CustomReportCreativeDetail.aspx?App=23&amp;ReportView=4&amp;Qid=1696098&amp;Row=886&amp;Col=1","No Title Assigned - #15277157377")</f>
        <v/>
      </c>
      <c r="B894" s="0" t="s">
        <v>877</v>
      </c>
      <c r="E894" s="0" t="s">
        <v>12</v>
      </c>
      <c r="F894" s="0" t="s">
        <v>12</v>
      </c>
      <c r="G894" s="0" t="s">
        <v>204</v>
      </c>
      <c r="I894" s="5">
        <v>268.865600</v>
      </c>
      <c r="J894" s="5">
        <v>1.000000</v>
      </c>
    </row>
    <row r="895" spans="1:11">
      <c r="A895" s="22" t="str">
        <f>HYPERLINK("https://app.vivvix.com/360/KMI/IntelliDrive/ApplUI/Pages/CreativePages/CustomReportCreativeDetail.aspx?App=23&amp;ReportView=4&amp;Qid=1696098&amp;Row=887&amp;Col=1","No Title Assigned - #15277213283")</f>
        <v/>
      </c>
      <c r="B895" s="0" t="s">
        <v>878</v>
      </c>
      <c r="E895" s="0" t="s">
        <v>12</v>
      </c>
      <c r="F895" s="0" t="s">
        <v>12</v>
      </c>
      <c r="G895" s="0" t="s">
        <v>204</v>
      </c>
      <c r="I895" s="5">
        <v>242.423100</v>
      </c>
      <c r="J895" s="5">
        <v>1.000000</v>
      </c>
    </row>
    <row r="896" spans="1:11">
      <c r="A896" s="22" t="str">
        <f>HYPERLINK("https://app.vivvix.com/360/KMI/IntelliDrive/ApplUI/Pages/CreativePages/CustomReportCreativeDetail.aspx?App=23&amp;ReportView=4&amp;Qid=1696098&amp;Row=888&amp;Col=1","No Title Assigned - #15277213301")</f>
        <v/>
      </c>
      <c r="B896" s="0" t="s">
        <v>879</v>
      </c>
      <c r="E896" s="0" t="s">
        <v>12</v>
      </c>
      <c r="F896" s="0" t="s">
        <v>12</v>
      </c>
      <c r="G896" s="0" t="s">
        <v>204</v>
      </c>
      <c r="I896" s="5">
        <v>242.423100</v>
      </c>
      <c r="J896" s="5">
        <v>1.000000</v>
      </c>
    </row>
    <row r="897" spans="1:11">
      <c r="A897" s="22" t="str">
        <f>HYPERLINK("https://app.vivvix.com/360/KMI/IntelliDrive/ApplUI/Pages/CreativePages/CustomReportCreativeDetail.aspx?App=23&amp;ReportView=4&amp;Qid=1696098&amp;Row=889&amp;Col=1","No Title Assigned - #15277267167")</f>
        <v/>
      </c>
      <c r="B897" s="0" t="s">
        <v>880</v>
      </c>
      <c r="E897" s="0" t="s">
        <v>12</v>
      </c>
      <c r="F897" s="0" t="s">
        <v>12</v>
      </c>
      <c r="G897" s="0" t="s">
        <v>204</v>
      </c>
      <c r="I897" s="5">
        <v>1104.631000</v>
      </c>
      <c r="J897" s="5">
        <v>2.000000</v>
      </c>
    </row>
    <row r="898" spans="1:11">
      <c r="A898" s="22" t="str">
        <f>HYPERLINK("https://app.vivvix.com/360/KMI/IntelliDrive/ApplUI/Pages/CreativePages/CustomReportCreativeDetail.aspx?App=23&amp;ReportView=4&amp;Qid=1696098&amp;Row=890&amp;Col=1","No Title Assigned - #15277267181")</f>
        <v/>
      </c>
      <c r="B898" s="0" t="s">
        <v>881</v>
      </c>
      <c r="E898" s="0" t="s">
        <v>12</v>
      </c>
      <c r="F898" s="0" t="s">
        <v>12</v>
      </c>
      <c r="G898" s="0" t="s">
        <v>204</v>
      </c>
      <c r="I898" s="5">
        <v>552.315500</v>
      </c>
      <c r="J898" s="5">
        <v>1.000000</v>
      </c>
    </row>
    <row r="899" spans="1:11">
      <c r="A899" s="22" t="str">
        <f>HYPERLINK("https://app.vivvix.com/360/KMI/IntelliDrive/ApplUI/Pages/CreativePages/CustomReportCreativeDetail.aspx?App=23&amp;ReportView=4&amp;Qid=1696098&amp;Row=891&amp;Col=1","No Title Assigned - #15277267189")</f>
        <v/>
      </c>
      <c r="B899" s="0" t="s">
        <v>882</v>
      </c>
      <c r="E899" s="0" t="s">
        <v>12</v>
      </c>
      <c r="F899" s="0" t="s">
        <v>12</v>
      </c>
      <c r="G899" s="0" t="s">
        <v>204</v>
      </c>
      <c r="I899" s="5">
        <v>552.315500</v>
      </c>
      <c r="J899" s="5">
        <v>1.000000</v>
      </c>
    </row>
    <row r="900" spans="1:11">
      <c r="A900" s="22" t="str">
        <f>HYPERLINK("https://app.vivvix.com/360/KMI/IntelliDrive/ApplUI/Pages/CreativePages/CustomReportCreativeDetail.aspx?App=23&amp;ReportView=4&amp;Qid=1696098&amp;Row=892&amp;Col=1","No Title Assigned - #15277268452")</f>
        <v/>
      </c>
      <c r="B900" s="0" t="s">
        <v>883</v>
      </c>
      <c r="E900" s="0" t="s">
        <v>12</v>
      </c>
      <c r="F900" s="0" t="s">
        <v>12</v>
      </c>
      <c r="G900" s="0" t="s">
        <v>204</v>
      </c>
      <c r="I900" s="5">
        <v>4666.971200</v>
      </c>
      <c r="J900" s="5">
        <v>1.000000</v>
      </c>
    </row>
    <row r="901" spans="1:11">
      <c r="A901" s="22" t="str">
        <f>HYPERLINK("https://app.vivvix.com/360/KMI/IntelliDrive/ApplUI/Pages/CreativePages/CustomReportCreativeDetail.aspx?App=23&amp;ReportView=4&amp;Qid=1696098&amp;Row=893&amp;Col=1","No Title Assigned - #15277276874")</f>
        <v/>
      </c>
      <c r="B901" s="0" t="s">
        <v>884</v>
      </c>
      <c r="E901" s="0" t="s">
        <v>12</v>
      </c>
      <c r="F901" s="0" t="s">
        <v>12</v>
      </c>
      <c r="G901" s="0" t="s">
        <v>204</v>
      </c>
      <c r="I901" s="5">
        <v>429.123100</v>
      </c>
      <c r="J901" s="5">
        <v>1.000000</v>
      </c>
    </row>
    <row r="902" spans="1:11">
      <c r="A902" s="22" t="str">
        <f>HYPERLINK("https://app.vivvix.com/360/KMI/IntelliDrive/ApplUI/Pages/CreativePages/CustomReportCreativeDetail.aspx?App=23&amp;ReportView=4&amp;Qid=1696098&amp;Row=894&amp;Col=1","No Title Assigned - #15277285622")</f>
        <v/>
      </c>
      <c r="B902" s="0" t="s">
        <v>885</v>
      </c>
      <c r="E902" s="0" t="s">
        <v>12</v>
      </c>
      <c r="F902" s="0" t="s">
        <v>12</v>
      </c>
      <c r="G902" s="0" t="s">
        <v>17</v>
      </c>
      <c r="I902" s="5">
        <v>42.431000</v>
      </c>
      <c r="J902" s="5">
        <v>5.000000</v>
      </c>
    </row>
    <row r="903" spans="1:11">
      <c r="A903" s="22" t="str">
        <f>HYPERLINK("https://app.vivvix.com/360/KMI/IntelliDrive/ApplUI/Pages/CreativePages/CustomReportCreativeDetail.aspx?App=23&amp;ReportView=4&amp;Qid=1696098&amp;Row=895&amp;Col=1","No Title Assigned - #15277286620")</f>
        <v/>
      </c>
      <c r="B903" s="0" t="s">
        <v>886</v>
      </c>
      <c r="E903" s="0" t="s">
        <v>12</v>
      </c>
      <c r="F903" s="0" t="s">
        <v>12</v>
      </c>
      <c r="G903" s="0" t="s">
        <v>204</v>
      </c>
      <c r="I903" s="5">
        <v>41491.540200</v>
      </c>
      <c r="J903" s="5">
        <v>13.000000</v>
      </c>
    </row>
    <row r="904" spans="1:11">
      <c r="A904" s="22" t="str">
        <f>HYPERLINK("https://app.vivvix.com/360/KMI/IntelliDrive/ApplUI/Pages/CreativePages/CustomReportCreativeDetail.aspx?App=23&amp;ReportView=4&amp;Qid=1696098&amp;Row=896&amp;Col=1","No Title Assigned - #15277297721")</f>
        <v/>
      </c>
      <c r="B904" s="0" t="s">
        <v>887</v>
      </c>
      <c r="E904" s="0" t="s">
        <v>12</v>
      </c>
      <c r="F904" s="0" t="s">
        <v>12</v>
      </c>
      <c r="G904" s="0" t="s">
        <v>204</v>
      </c>
      <c r="I904" s="5">
        <v>552.315500</v>
      </c>
      <c r="J904" s="5">
        <v>1.000000</v>
      </c>
    </row>
    <row r="905" spans="1:11">
      <c r="A905" s="22" t="str">
        <f>HYPERLINK("https://app.vivvix.com/360/KMI/IntelliDrive/ApplUI/Pages/CreativePages/CustomReportCreativeDetail.aspx?App=23&amp;ReportView=4&amp;Qid=1696098&amp;Row=897&amp;Col=1","No Title Assigned - #15277297768")</f>
        <v/>
      </c>
      <c r="B905" s="0" t="s">
        <v>888</v>
      </c>
      <c r="E905" s="0" t="s">
        <v>12</v>
      </c>
      <c r="F905" s="0" t="s">
        <v>12</v>
      </c>
      <c r="G905" s="0" t="s">
        <v>204</v>
      </c>
      <c r="I905" s="5">
        <v>552.315500</v>
      </c>
      <c r="J905" s="5">
        <v>1.000000</v>
      </c>
    </row>
    <row r="906" spans="1:11">
      <c r="A906" s="22" t="str">
        <f>HYPERLINK("https://app.vivvix.com/360/KMI/IntelliDrive/ApplUI/Pages/CreativePages/CustomReportCreativeDetail.aspx?App=23&amp;ReportView=4&amp;Qid=1696098&amp;Row=898&amp;Col=1","No Title Assigned - #15277320418")</f>
        <v/>
      </c>
      <c r="B906" s="0" t="s">
        <v>889</v>
      </c>
      <c r="E906" s="0" t="s">
        <v>12</v>
      </c>
      <c r="F906" s="0" t="s">
        <v>12</v>
      </c>
      <c r="G906" s="0" t="s">
        <v>204</v>
      </c>
      <c r="I906" s="5">
        <v>268.865600</v>
      </c>
      <c r="J906" s="5">
        <v>1.000000</v>
      </c>
    </row>
    <row r="907" spans="1:11">
      <c r="A907" s="22" t="str">
        <f>HYPERLINK("https://app.vivvix.com/360/KMI/IntelliDrive/ApplUI/Pages/CreativePages/CustomReportCreativeDetail.aspx?App=23&amp;ReportView=4&amp;Qid=1696098&amp;Row=899&amp;Col=1","No Title Assigned - #15277333577")</f>
        <v/>
      </c>
      <c r="B907" s="0" t="s">
        <v>890</v>
      </c>
      <c r="E907" s="0" t="s">
        <v>12</v>
      </c>
      <c r="F907" s="0" t="s">
        <v>12</v>
      </c>
      <c r="G907" s="0" t="s">
        <v>204</v>
      </c>
      <c r="I907" s="5">
        <v>33.982600</v>
      </c>
      <c r="J907" s="5">
        <v>1.000000</v>
      </c>
    </row>
    <row r="908" spans="1:11">
      <c r="A908" s="22" t="str">
        <f>HYPERLINK("https://app.vivvix.com/360/KMI/IntelliDrive/ApplUI/Pages/CreativePages/CustomReportCreativeDetail.aspx?App=23&amp;ReportView=4&amp;Qid=1696098&amp;Row=900&amp;Col=1","No Title Assigned - #15277339367")</f>
        <v/>
      </c>
      <c r="B908" s="0" t="s">
        <v>891</v>
      </c>
      <c r="E908" s="0" t="s">
        <v>12</v>
      </c>
      <c r="F908" s="0" t="s">
        <v>12</v>
      </c>
      <c r="G908" s="0" t="s">
        <v>204</v>
      </c>
      <c r="I908" s="5">
        <v>33.982600</v>
      </c>
      <c r="J908" s="5">
        <v>1.000000</v>
      </c>
    </row>
    <row r="909" spans="1:11">
      <c r="A909" s="22" t="str">
        <f>HYPERLINK("https://app.vivvix.com/360/KMI/IntelliDrive/ApplUI/Pages/CreativePages/CustomReportCreativeDetail.aspx?App=23&amp;ReportView=4&amp;Qid=1696098&amp;Row=901&amp;Col=1","No Title Assigned - #15277350260")</f>
        <v/>
      </c>
      <c r="B909" s="0" t="s">
        <v>892</v>
      </c>
      <c r="E909" s="0" t="s">
        <v>12</v>
      </c>
      <c r="F909" s="0" t="s">
        <v>12</v>
      </c>
      <c r="G909" s="0" t="s">
        <v>204</v>
      </c>
      <c r="I909" s="5">
        <v>427.193400</v>
      </c>
      <c r="J909" s="5">
        <v>1.000000</v>
      </c>
    </row>
    <row r="910" spans="1:11">
      <c r="A910" s="22" t="str">
        <f>HYPERLINK("https://app.vivvix.com/360/KMI/IntelliDrive/ApplUI/Pages/CreativePages/CustomReportCreativeDetail.aspx?App=23&amp;ReportView=4&amp;Qid=1696098&amp;Row=902&amp;Col=1","No Title Assigned - #15277355531")</f>
        <v/>
      </c>
      <c r="B910" s="0" t="s">
        <v>893</v>
      </c>
      <c r="E910" s="0" t="s">
        <v>12</v>
      </c>
      <c r="F910" s="0" t="s">
        <v>12</v>
      </c>
      <c r="G910" s="0" t="s">
        <v>204</v>
      </c>
      <c r="I910" s="5">
        <v>4666.971200</v>
      </c>
      <c r="J910" s="5">
        <v>1.000000</v>
      </c>
    </row>
    <row r="911" spans="1:11">
      <c r="A911" s="22" t="str">
        <f>HYPERLINK("https://app.vivvix.com/360/KMI/IntelliDrive/ApplUI/Pages/CreativePages/CustomReportCreativeDetail.aspx?App=23&amp;ReportView=4&amp;Qid=1696098&amp;Row=903&amp;Col=1","No Title Assigned - #15277383025")</f>
        <v/>
      </c>
      <c r="B911" s="0" t="s">
        <v>894</v>
      </c>
      <c r="E911" s="0" t="s">
        <v>12</v>
      </c>
      <c r="F911" s="0" t="s">
        <v>12</v>
      </c>
      <c r="G911" s="0" t="s">
        <v>204</v>
      </c>
      <c r="I911" s="5">
        <v>676.038300</v>
      </c>
      <c r="J911" s="5">
        <v>1.000000</v>
      </c>
    </row>
    <row r="912" spans="1:11">
      <c r="A912" s="22" t="str">
        <f>HYPERLINK("https://app.vivvix.com/360/KMI/IntelliDrive/ApplUI/Pages/CreativePages/CustomReportCreativeDetail.aspx?App=23&amp;ReportView=4&amp;Qid=1696098&amp;Row=904&amp;Col=1","No Title Assigned - #15277402868")</f>
        <v/>
      </c>
      <c r="B912" s="0" t="s">
        <v>895</v>
      </c>
      <c r="E912" s="0" t="s">
        <v>12</v>
      </c>
      <c r="F912" s="0" t="s">
        <v>12</v>
      </c>
      <c r="G912" s="0" t="s">
        <v>204</v>
      </c>
      <c r="I912" s="5">
        <v>544.790900</v>
      </c>
      <c r="J912" s="5">
        <v>1.000000</v>
      </c>
    </row>
    <row r="913" spans="1:11">
      <c r="A913" s="22" t="str">
        <f>HYPERLINK("https://app.vivvix.com/360/KMI/IntelliDrive/ApplUI/Pages/CreativePages/CustomReportCreativeDetail.aspx?App=23&amp;ReportView=4&amp;Qid=1696098&amp;Row=905&amp;Col=1","No Title Assigned - #15277403718")</f>
        <v/>
      </c>
      <c r="B913" s="0" t="s">
        <v>896</v>
      </c>
      <c r="E913" s="0" t="s">
        <v>12</v>
      </c>
      <c r="F913" s="0" t="s">
        <v>12</v>
      </c>
      <c r="G913" s="0" t="s">
        <v>204</v>
      </c>
      <c r="I913" s="5">
        <v>649.645700</v>
      </c>
      <c r="J913" s="5">
        <v>1.000000</v>
      </c>
    </row>
    <row r="914" spans="1:11">
      <c r="A914" s="22" t="str">
        <f>HYPERLINK("https://app.vivvix.com/360/KMI/IntelliDrive/ApplUI/Pages/CreativePages/CustomReportCreativeDetail.aspx?App=23&amp;ReportView=4&amp;Qid=1696098&amp;Row=906&amp;Col=1","No Title Assigned - #15277408562")</f>
        <v/>
      </c>
      <c r="B914" s="0" t="s">
        <v>897</v>
      </c>
      <c r="E914" s="0" t="s">
        <v>12</v>
      </c>
      <c r="F914" s="0" t="s">
        <v>12</v>
      </c>
      <c r="G914" s="0" t="s">
        <v>204</v>
      </c>
      <c r="I914" s="5">
        <v>461.074400</v>
      </c>
      <c r="J914" s="5">
        <v>1.000000</v>
      </c>
    </row>
    <row r="915" spans="1:11">
      <c r="A915" s="22" t="str">
        <f>HYPERLINK("https://app.vivvix.com/360/KMI/IntelliDrive/ApplUI/Pages/CreativePages/CustomReportCreativeDetail.aspx?App=23&amp;ReportView=4&amp;Qid=1696098&amp;Row=907&amp;Col=1","No Title Assigned - #15277409257")</f>
        <v/>
      </c>
      <c r="B915" s="0" t="s">
        <v>898</v>
      </c>
      <c r="E915" s="0" t="s">
        <v>12</v>
      </c>
      <c r="F915" s="0" t="s">
        <v>12</v>
      </c>
      <c r="G915" s="0" t="s">
        <v>204</v>
      </c>
      <c r="I915" s="5">
        <v>461.074400</v>
      </c>
      <c r="J915" s="5">
        <v>1.000000</v>
      </c>
    </row>
    <row r="916" spans="1:11">
      <c r="A916" s="22" t="str">
        <f>HYPERLINK("https://app.vivvix.com/360/KMI/IntelliDrive/ApplUI/Pages/CreativePages/CustomReportCreativeDetail.aspx?App=23&amp;ReportView=4&amp;Qid=1696098&amp;Row=908&amp;Col=1","No Title Assigned - #15277409338")</f>
        <v/>
      </c>
      <c r="B916" s="0" t="s">
        <v>899</v>
      </c>
      <c r="E916" s="0" t="s">
        <v>12</v>
      </c>
      <c r="F916" s="0" t="s">
        <v>12</v>
      </c>
      <c r="G916" s="0" t="s">
        <v>204</v>
      </c>
      <c r="I916" s="5">
        <v>461.074400</v>
      </c>
      <c r="J916" s="5">
        <v>1.000000</v>
      </c>
    </row>
    <row r="917" spans="1:11">
      <c r="A917" s="22" t="str">
        <f>HYPERLINK("https://app.vivvix.com/360/KMI/IntelliDrive/ApplUI/Pages/CreativePages/CustomReportCreativeDetail.aspx?App=23&amp;ReportView=4&amp;Qid=1696098&amp;Row=909&amp;Col=1","No Title Assigned - #15277418592")</f>
        <v/>
      </c>
      <c r="B917" s="0" t="s">
        <v>900</v>
      </c>
      <c r="E917" s="0" t="s">
        <v>12</v>
      </c>
      <c r="F917" s="0" t="s">
        <v>12</v>
      </c>
      <c r="G917" s="0" t="s">
        <v>204</v>
      </c>
      <c r="I917" s="5">
        <v>410.664600</v>
      </c>
      <c r="J917" s="5">
        <v>1.000000</v>
      </c>
    </row>
    <row r="918" spans="1:11">
      <c r="A918" s="22" t="str">
        <f>HYPERLINK("https://app.vivvix.com/360/KMI/IntelliDrive/ApplUI/Pages/CreativePages/CustomReportCreativeDetail.aspx?App=23&amp;ReportView=4&amp;Qid=1696098&amp;Row=910&amp;Col=1","No Title Assigned - #15277424139")</f>
        <v/>
      </c>
      <c r="B918" s="0" t="s">
        <v>901</v>
      </c>
      <c r="E918" s="0" t="s">
        <v>12</v>
      </c>
      <c r="F918" s="0" t="s">
        <v>12</v>
      </c>
      <c r="G918" s="0" t="s">
        <v>204</v>
      </c>
      <c r="I918" s="5">
        <v>427.193400</v>
      </c>
      <c r="J918" s="5">
        <v>1.000000</v>
      </c>
    </row>
    <row r="919" spans="1:11">
      <c r="A919" s="22" t="str">
        <f>HYPERLINK("https://app.vivvix.com/360/KMI/IntelliDrive/ApplUI/Pages/CreativePages/CustomReportCreativeDetail.aspx?App=23&amp;ReportView=4&amp;Qid=1696098&amp;Row=911&amp;Col=1","No Title Assigned - #15277463746")</f>
        <v/>
      </c>
      <c r="B919" s="0" t="s">
        <v>902</v>
      </c>
      <c r="E919" s="0" t="s">
        <v>12</v>
      </c>
      <c r="F919" s="0" t="s">
        <v>12</v>
      </c>
      <c r="G919" s="0" t="s">
        <v>204</v>
      </c>
      <c r="I919" s="5">
        <v>217.759800</v>
      </c>
      <c r="J919" s="5">
        <v>1.000000</v>
      </c>
    </row>
    <row r="920" spans="1:11">
      <c r="A920" s="22" t="str">
        <f>HYPERLINK("https://app.vivvix.com/360/KMI/IntelliDrive/ApplUI/Pages/CreativePages/CustomReportCreativeDetail.aspx?App=23&amp;ReportView=4&amp;Qid=1696098&amp;Row=912&amp;Col=1","No Title Assigned - #15277501163")</f>
        <v/>
      </c>
      <c r="B920" s="0" t="s">
        <v>903</v>
      </c>
      <c r="E920" s="0" t="s">
        <v>12</v>
      </c>
      <c r="F920" s="0" t="s">
        <v>12</v>
      </c>
      <c r="G920" s="0" t="s">
        <v>204</v>
      </c>
      <c r="I920" s="5">
        <v>8670.275600</v>
      </c>
      <c r="J920" s="5">
        <v>7.000000</v>
      </c>
    </row>
    <row r="921" spans="1:11">
      <c r="A921" s="22" t="str">
        <f>HYPERLINK("https://app.vivvix.com/360/KMI/IntelliDrive/ApplUI/Pages/CreativePages/CustomReportCreativeDetail.aspx?App=23&amp;ReportView=4&amp;Qid=1696098&amp;Row=913&amp;Col=1","No Title Assigned - #15277501249")</f>
        <v/>
      </c>
      <c r="B921" s="0" t="s">
        <v>904</v>
      </c>
      <c r="E921" s="0" t="s">
        <v>12</v>
      </c>
      <c r="F921" s="0" t="s">
        <v>12</v>
      </c>
      <c r="G921" s="0" t="s">
        <v>204</v>
      </c>
      <c r="I921" s="5">
        <v>1238.610800</v>
      </c>
      <c r="J921" s="5">
        <v>1.000000</v>
      </c>
    </row>
    <row r="922" spans="1:11">
      <c r="A922" s="22" t="str">
        <f>HYPERLINK("https://app.vivvix.com/360/KMI/IntelliDrive/ApplUI/Pages/CreativePages/CustomReportCreativeDetail.aspx?App=23&amp;ReportView=4&amp;Qid=1696098&amp;Row=914&amp;Col=1","No Title Assigned - #15277534199")</f>
        <v/>
      </c>
      <c r="B922" s="0" t="s">
        <v>905</v>
      </c>
      <c r="E922" s="0" t="s">
        <v>12</v>
      </c>
      <c r="F922" s="0" t="s">
        <v>12</v>
      </c>
      <c r="G922" s="0" t="s">
        <v>204</v>
      </c>
      <c r="I922" s="5">
        <v>8725.884800</v>
      </c>
      <c r="J922" s="5">
        <v>1.000000</v>
      </c>
    </row>
    <row r="923" spans="1:11">
      <c r="A923" s="22" t="str">
        <f>HYPERLINK("https://app.vivvix.com/360/KMI/IntelliDrive/ApplUI/Pages/CreativePages/CustomReportCreativeDetail.aspx?App=23&amp;ReportView=4&amp;Qid=1696098&amp;Row=915&amp;Col=1","No Title Assigned - #15277580066")</f>
        <v/>
      </c>
      <c r="B923" s="0" t="s">
        <v>906</v>
      </c>
      <c r="E923" s="0" t="s">
        <v>12</v>
      </c>
      <c r="F923" s="0" t="s">
        <v>12</v>
      </c>
      <c r="G923" s="0" t="s">
        <v>204</v>
      </c>
      <c r="I923" s="5">
        <v>630.267300</v>
      </c>
      <c r="J923" s="5">
        <v>1.000000</v>
      </c>
    </row>
    <row r="924" spans="1:11">
      <c r="A924" s="22" t="str">
        <f>HYPERLINK("https://app.vivvix.com/360/KMI/IntelliDrive/ApplUI/Pages/CreativePages/CustomReportCreativeDetail.aspx?App=23&amp;ReportView=4&amp;Qid=1696098&amp;Row=916&amp;Col=1","No Title Assigned - #15277580347")</f>
        <v/>
      </c>
      <c r="B924" s="0" t="s">
        <v>907</v>
      </c>
      <c r="E924" s="0" t="s">
        <v>12</v>
      </c>
      <c r="F924" s="0" t="s">
        <v>12</v>
      </c>
      <c r="G924" s="0" t="s">
        <v>204</v>
      </c>
      <c r="I924" s="5">
        <v>630.267300</v>
      </c>
      <c r="J924" s="5">
        <v>1.000000</v>
      </c>
    </row>
    <row r="925" spans="1:11">
      <c r="A925" s="22" t="str">
        <f>HYPERLINK("https://app.vivvix.com/360/KMI/IntelliDrive/ApplUI/Pages/CreativePages/CustomReportCreativeDetail.aspx?App=23&amp;ReportView=4&amp;Qid=1696098&amp;Row=917&amp;Col=1","No Title Assigned - #15277580375")</f>
        <v/>
      </c>
      <c r="B925" s="0" t="s">
        <v>908</v>
      </c>
      <c r="E925" s="0" t="s">
        <v>12</v>
      </c>
      <c r="F925" s="0" t="s">
        <v>12</v>
      </c>
      <c r="G925" s="0" t="s">
        <v>204</v>
      </c>
      <c r="I925" s="5">
        <v>630.267300</v>
      </c>
      <c r="J925" s="5">
        <v>1.000000</v>
      </c>
    </row>
    <row r="926" spans="1:11">
      <c r="A926" s="22" t="str">
        <f>HYPERLINK("https://app.vivvix.com/360/KMI/IntelliDrive/ApplUI/Pages/CreativePages/CustomReportCreativeDetail.aspx?App=23&amp;ReportView=4&amp;Qid=1696098&amp;Row=918&amp;Col=1","No Title Assigned - #15277581664")</f>
        <v/>
      </c>
      <c r="B926" s="0" t="s">
        <v>909</v>
      </c>
      <c r="E926" s="0" t="s">
        <v>12</v>
      </c>
      <c r="F926" s="0" t="s">
        <v>12</v>
      </c>
      <c r="G926" s="0" t="s">
        <v>204</v>
      </c>
      <c r="I926" s="5">
        <v>4666.971200</v>
      </c>
      <c r="J926" s="5">
        <v>1.000000</v>
      </c>
    </row>
    <row r="927" spans="1:11">
      <c r="A927" s="22" t="str">
        <f>HYPERLINK("https://app.vivvix.com/360/KMI/IntelliDrive/ApplUI/Pages/CreativePages/CustomReportCreativeDetail.aspx?App=23&amp;ReportView=4&amp;Qid=1696098&amp;Row=919&amp;Col=1","No Title Assigned - #15277588442")</f>
        <v/>
      </c>
      <c r="B927" s="0" t="s">
        <v>910</v>
      </c>
      <c r="E927" s="0" t="s">
        <v>12</v>
      </c>
      <c r="F927" s="0" t="s">
        <v>12</v>
      </c>
      <c r="G927" s="0" t="s">
        <v>204</v>
      </c>
      <c r="I927" s="5">
        <v>513.188600</v>
      </c>
      <c r="J927" s="5">
        <v>1.000000</v>
      </c>
    </row>
    <row r="928" spans="1:11">
      <c r="A928" s="22" t="str">
        <f>HYPERLINK("https://app.vivvix.com/360/KMI/IntelliDrive/ApplUI/Pages/CreativePages/CustomReportCreativeDetail.aspx?App=23&amp;ReportView=4&amp;Qid=1696098&amp;Row=920&amp;Col=1","No Title Assigned - #15277634680")</f>
        <v/>
      </c>
      <c r="B928" s="0" t="s">
        <v>911</v>
      </c>
      <c r="E928" s="0" t="s">
        <v>12</v>
      </c>
      <c r="F928" s="0" t="s">
        <v>12</v>
      </c>
      <c r="G928" s="0" t="s">
        <v>204</v>
      </c>
      <c r="I928" s="5">
        <v>33.982600</v>
      </c>
      <c r="J928" s="5">
        <v>1.000000</v>
      </c>
    </row>
    <row r="929" spans="1:11">
      <c r="A929" s="22" t="str">
        <f>HYPERLINK("https://app.vivvix.com/360/KMI/IntelliDrive/ApplUI/Pages/CreativePages/CustomReportCreativeDetail.aspx?App=23&amp;ReportView=4&amp;Qid=1696098&amp;Row=921&amp;Col=1","No Title Assigned - #15277655459")</f>
        <v/>
      </c>
      <c r="B929" s="0" t="s">
        <v>912</v>
      </c>
      <c r="E929" s="0" t="s">
        <v>12</v>
      </c>
      <c r="F929" s="0" t="s">
        <v>12</v>
      </c>
      <c r="G929" s="0" t="s">
        <v>204</v>
      </c>
      <c r="I929" s="5">
        <v>461.074400</v>
      </c>
      <c r="J929" s="5">
        <v>1.000000</v>
      </c>
    </row>
    <row r="930" spans="1:11">
      <c r="A930" s="22" t="str">
        <f>HYPERLINK("https://app.vivvix.com/360/KMI/IntelliDrive/ApplUI/Pages/CreativePages/CustomReportCreativeDetail.aspx?App=23&amp;ReportView=4&amp;Qid=1696098&amp;Row=922&amp;Col=1","No Title Assigned - #15277710932")</f>
        <v/>
      </c>
      <c r="B930" s="0" t="s">
        <v>913</v>
      </c>
      <c r="E930" s="0" t="s">
        <v>12</v>
      </c>
      <c r="F930" s="0" t="s">
        <v>12</v>
      </c>
      <c r="G930" s="0" t="s">
        <v>204</v>
      </c>
      <c r="I930" s="5">
        <v>461.074400</v>
      </c>
      <c r="J930" s="5">
        <v>1.000000</v>
      </c>
    </row>
    <row r="931" spans="1:11">
      <c r="A931" s="22" t="str">
        <f>HYPERLINK("https://app.vivvix.com/360/KMI/IntelliDrive/ApplUI/Pages/CreativePages/CustomReportCreativeDetail.aspx?App=23&amp;ReportView=4&amp;Qid=1696098&amp;Row=923&amp;Col=1","No Title Assigned - #15277722607")</f>
        <v/>
      </c>
      <c r="B931" s="0" t="s">
        <v>914</v>
      </c>
      <c r="E931" s="0" t="s">
        <v>12</v>
      </c>
      <c r="F931" s="0" t="s">
        <v>12</v>
      </c>
      <c r="G931" s="0" t="s">
        <v>204</v>
      </c>
      <c r="I931" s="5">
        <v>33.982600</v>
      </c>
      <c r="J931" s="5">
        <v>1.000000</v>
      </c>
    </row>
    <row r="932" spans="1:11">
      <c r="A932" s="22" t="str">
        <f>HYPERLINK("https://app.vivvix.com/360/KMI/IntelliDrive/ApplUI/Pages/CreativePages/CustomReportCreativeDetail.aspx?App=23&amp;ReportView=4&amp;Qid=1696098&amp;Row=924&amp;Col=1","No Title Assigned - #15277722608")</f>
        <v/>
      </c>
      <c r="B932" s="0" t="s">
        <v>915</v>
      </c>
      <c r="E932" s="0" t="s">
        <v>12</v>
      </c>
      <c r="F932" s="0" t="s">
        <v>12</v>
      </c>
      <c r="G932" s="0" t="s">
        <v>204</v>
      </c>
      <c r="I932" s="5">
        <v>33.982600</v>
      </c>
      <c r="J932" s="5">
        <v>1.000000</v>
      </c>
    </row>
    <row r="933" spans="1:11">
      <c r="A933" s="22" t="str">
        <f>HYPERLINK("https://app.vivvix.com/360/KMI/IntelliDrive/ApplUI/Pages/CreativePages/CustomReportCreativeDetail.aspx?App=23&amp;ReportView=4&amp;Qid=1696098&amp;Row=925&amp;Col=1","No Title Assigned - #15277722609")</f>
        <v/>
      </c>
      <c r="B933" s="0" t="s">
        <v>916</v>
      </c>
      <c r="E933" s="0" t="s">
        <v>12</v>
      </c>
      <c r="F933" s="0" t="s">
        <v>12</v>
      </c>
      <c r="G933" s="0" t="s">
        <v>204</v>
      </c>
      <c r="I933" s="5">
        <v>33.982600</v>
      </c>
      <c r="J933" s="5">
        <v>1.000000</v>
      </c>
    </row>
    <row r="934" spans="1:11">
      <c r="A934" s="22" t="str">
        <f>HYPERLINK("https://app.vivvix.com/360/KMI/IntelliDrive/ApplUI/Pages/CreativePages/CustomReportCreativeDetail.aspx?App=23&amp;ReportView=4&amp;Qid=1696098&amp;Row=926&amp;Col=1","No Title Assigned - #15277722620")</f>
        <v/>
      </c>
      <c r="B934" s="0" t="s">
        <v>917</v>
      </c>
      <c r="E934" s="0" t="s">
        <v>12</v>
      </c>
      <c r="F934" s="0" t="s">
        <v>12</v>
      </c>
      <c r="G934" s="0" t="s">
        <v>204</v>
      </c>
      <c r="I934" s="5">
        <v>33.982600</v>
      </c>
      <c r="J934" s="5">
        <v>1.000000</v>
      </c>
    </row>
    <row r="935" spans="1:11">
      <c r="A935" s="22" t="str">
        <f>HYPERLINK("https://app.vivvix.com/360/KMI/IntelliDrive/ApplUI/Pages/CreativePages/CustomReportCreativeDetail.aspx?App=23&amp;ReportView=4&amp;Qid=1696098&amp;Row=927&amp;Col=1","No Title Assigned - #15277722621")</f>
        <v/>
      </c>
      <c r="B935" s="0" t="s">
        <v>918</v>
      </c>
      <c r="E935" s="0" t="s">
        <v>12</v>
      </c>
      <c r="F935" s="0" t="s">
        <v>12</v>
      </c>
      <c r="G935" s="0" t="s">
        <v>204</v>
      </c>
      <c r="I935" s="5">
        <v>33.982600</v>
      </c>
      <c r="J935" s="5">
        <v>1.000000</v>
      </c>
    </row>
    <row r="936" spans="1:11">
      <c r="A936" s="22" t="str">
        <f>HYPERLINK("https://app.vivvix.com/360/KMI/IntelliDrive/ApplUI/Pages/CreativePages/CustomReportCreativeDetail.aspx?App=23&amp;ReportView=4&amp;Qid=1696098&amp;Row=928&amp;Col=1","No Title Assigned - #15277779944")</f>
        <v/>
      </c>
      <c r="B936" s="0" t="s">
        <v>919</v>
      </c>
      <c r="E936" s="0" t="s">
        <v>12</v>
      </c>
      <c r="F936" s="0" t="s">
        <v>12</v>
      </c>
      <c r="G936" s="0" t="s">
        <v>204</v>
      </c>
      <c r="I936" s="5">
        <v>423.052700</v>
      </c>
      <c r="J936" s="5">
        <v>1.000000</v>
      </c>
    </row>
    <row r="937" spans="1:11">
      <c r="A937" s="22" t="str">
        <f>HYPERLINK("https://app.vivvix.com/360/KMI/IntelliDrive/ApplUI/Pages/CreativePages/CustomReportCreativeDetail.aspx?App=23&amp;ReportView=4&amp;Qid=1696098&amp;Row=929&amp;Col=1","No Title Assigned - #15277786875")</f>
        <v/>
      </c>
      <c r="B937" s="0" t="s">
        <v>920</v>
      </c>
      <c r="E937" s="0" t="s">
        <v>12</v>
      </c>
      <c r="F937" s="0" t="s">
        <v>12</v>
      </c>
      <c r="G937" s="0" t="s">
        <v>204</v>
      </c>
      <c r="I937" s="5">
        <v>490.068600</v>
      </c>
      <c r="J937" s="5">
        <v>1.000000</v>
      </c>
    </row>
    <row r="938" spans="1:11">
      <c r="A938" s="22" t="str">
        <f>HYPERLINK("https://app.vivvix.com/360/KMI/IntelliDrive/ApplUI/Pages/CreativePages/CustomReportCreativeDetail.aspx?App=23&amp;ReportView=4&amp;Qid=1696098&amp;Row=930&amp;Col=1","No Title Assigned - #15277787981")</f>
        <v/>
      </c>
      <c r="B938" s="0" t="s">
        <v>921</v>
      </c>
      <c r="E938" s="0" t="s">
        <v>12</v>
      </c>
      <c r="F938" s="0" t="s">
        <v>12</v>
      </c>
      <c r="G938" s="0" t="s">
        <v>204</v>
      </c>
      <c r="I938" s="5">
        <v>461.074400</v>
      </c>
      <c r="J938" s="5">
        <v>1.000000</v>
      </c>
    </row>
    <row r="939" spans="1:11">
      <c r="A939" s="22" t="str">
        <f>HYPERLINK("https://app.vivvix.com/360/KMI/IntelliDrive/ApplUI/Pages/CreativePages/CustomReportCreativeDetail.aspx?App=23&amp;ReportView=4&amp;Qid=1696098&amp;Row=931&amp;Col=1","No Title Assigned - #15277791722")</f>
        <v/>
      </c>
      <c r="B939" s="0" t="s">
        <v>922</v>
      </c>
      <c r="E939" s="0" t="s">
        <v>12</v>
      </c>
      <c r="F939" s="0" t="s">
        <v>12</v>
      </c>
      <c r="G939" s="0" t="s">
        <v>204</v>
      </c>
      <c r="I939" s="5">
        <v>268.865600</v>
      </c>
      <c r="J939" s="5">
        <v>1.000000</v>
      </c>
    </row>
    <row r="940" spans="1:11">
      <c r="A940" s="22" t="str">
        <f>HYPERLINK("https://app.vivvix.com/360/KMI/IntelliDrive/ApplUI/Pages/CreativePages/CustomReportCreativeDetail.aspx?App=23&amp;ReportView=4&amp;Qid=1696098&amp;Row=932&amp;Col=1","No Title Assigned - #15277794862")</f>
        <v/>
      </c>
      <c r="B940" s="0" t="s">
        <v>923</v>
      </c>
      <c r="E940" s="0" t="s">
        <v>12</v>
      </c>
      <c r="F940" s="0" t="s">
        <v>12</v>
      </c>
      <c r="G940" s="0" t="s">
        <v>204</v>
      </c>
      <c r="I940" s="5">
        <v>172.706200</v>
      </c>
      <c r="J940" s="5">
        <v>2.000000</v>
      </c>
    </row>
    <row r="941" spans="1:11">
      <c r="A941" s="22" t="str">
        <f>HYPERLINK("https://app.vivvix.com/360/KMI/IntelliDrive/ApplUI/Pages/CreativePages/CustomReportCreativeDetail.aspx?App=23&amp;ReportView=4&amp;Qid=1696098&amp;Row=933&amp;Col=1","No Title Assigned - #15277794863")</f>
        <v/>
      </c>
      <c r="B941" s="0" t="s">
        <v>924</v>
      </c>
      <c r="E941" s="0" t="s">
        <v>12</v>
      </c>
      <c r="F941" s="0" t="s">
        <v>12</v>
      </c>
      <c r="G941" s="0" t="s">
        <v>204</v>
      </c>
      <c r="I941" s="5">
        <v>259.059300</v>
      </c>
      <c r="J941" s="5">
        <v>3.000000</v>
      </c>
    </row>
    <row r="942" spans="1:11">
      <c r="A942" s="22" t="str">
        <f>HYPERLINK("https://app.vivvix.com/360/KMI/IntelliDrive/ApplUI/Pages/CreativePages/CustomReportCreativeDetail.aspx?App=23&amp;ReportView=4&amp;Qid=1696098&amp;Row=934&amp;Col=1","No Title Assigned - #15277842281")</f>
        <v/>
      </c>
      <c r="B942" s="0" t="s">
        <v>925</v>
      </c>
      <c r="E942" s="0" t="s">
        <v>12</v>
      </c>
      <c r="F942" s="0" t="s">
        <v>12</v>
      </c>
      <c r="G942" s="0" t="s">
        <v>204</v>
      </c>
      <c r="I942" s="5">
        <v>747.198600</v>
      </c>
      <c r="J942" s="5">
        <v>1.000000</v>
      </c>
    </row>
    <row r="943" spans="1:11">
      <c r="A943" s="22" t="str">
        <f>HYPERLINK("https://app.vivvix.com/360/KMI/IntelliDrive/ApplUI/Pages/CreativePages/CustomReportCreativeDetail.aspx?App=23&amp;ReportView=4&amp;Qid=1696098&amp;Row=935&amp;Col=1","No Title Assigned - #15277847554")</f>
        <v/>
      </c>
      <c r="B943" s="0" t="s">
        <v>926</v>
      </c>
      <c r="E943" s="0" t="s">
        <v>12</v>
      </c>
      <c r="F943" s="0" t="s">
        <v>12</v>
      </c>
      <c r="G943" s="0" t="s">
        <v>204</v>
      </c>
      <c r="I943" s="5">
        <v>285.686100</v>
      </c>
      <c r="J943" s="5">
        <v>1.000000</v>
      </c>
    </row>
    <row r="944" spans="1:11">
      <c r="A944" s="22" t="str">
        <f>HYPERLINK("https://app.vivvix.com/360/KMI/IntelliDrive/ApplUI/Pages/CreativePages/CustomReportCreativeDetail.aspx?App=23&amp;ReportView=4&amp;Qid=1696098&amp;Row=936&amp;Col=1","No Title Assigned - #15277852226")</f>
        <v/>
      </c>
      <c r="B944" s="0" t="s">
        <v>927</v>
      </c>
      <c r="E944" s="0" t="s">
        <v>12</v>
      </c>
      <c r="F944" s="0" t="s">
        <v>12</v>
      </c>
      <c r="G944" s="0" t="s">
        <v>204</v>
      </c>
      <c r="I944" s="5">
        <v>285.686100</v>
      </c>
      <c r="J944" s="5">
        <v>1.000000</v>
      </c>
    </row>
    <row r="945" spans="1:11">
      <c r="A945" s="22" t="str">
        <f>HYPERLINK("https://app.vivvix.com/360/KMI/IntelliDrive/ApplUI/Pages/CreativePages/CustomReportCreativeDetail.aspx?App=23&amp;ReportView=4&amp;Qid=1696098&amp;Row=937&amp;Col=1","No Title Assigned - #15277891559")</f>
        <v/>
      </c>
      <c r="B945" s="0" t="s">
        <v>928</v>
      </c>
      <c r="E945" s="0" t="s">
        <v>12</v>
      </c>
      <c r="F945" s="0" t="s">
        <v>12</v>
      </c>
      <c r="G945" s="0" t="s">
        <v>204</v>
      </c>
      <c r="I945" s="5">
        <v>461.074400</v>
      </c>
      <c r="J945" s="5">
        <v>1.000000</v>
      </c>
    </row>
    <row r="946" spans="1:11">
      <c r="A946" s="22" t="str">
        <f>HYPERLINK("https://app.vivvix.com/360/KMI/IntelliDrive/ApplUI/Pages/CreativePages/CustomReportCreativeDetail.aspx?App=23&amp;ReportView=4&amp;Qid=1696098&amp;Row=938&amp;Col=1","No Title Assigned - #15277945273")</f>
        <v/>
      </c>
      <c r="B946" s="0" t="s">
        <v>929</v>
      </c>
      <c r="E946" s="0" t="s">
        <v>12</v>
      </c>
      <c r="F946" s="0" t="s">
        <v>12</v>
      </c>
      <c r="G946" s="0" t="s">
        <v>204</v>
      </c>
      <c r="I946" s="5">
        <v>4741.972000</v>
      </c>
      <c r="J946" s="5">
        <v>2.000000</v>
      </c>
    </row>
    <row r="947" spans="1:11">
      <c r="A947" s="22" t="str">
        <f>HYPERLINK("https://app.vivvix.com/360/KMI/IntelliDrive/ApplUI/Pages/CreativePages/CustomReportCreativeDetail.aspx?App=23&amp;ReportView=4&amp;Qid=1696098&amp;Row=939&amp;Col=1","No Title Assigned - #15277949191")</f>
        <v/>
      </c>
      <c r="B947" s="0" t="s">
        <v>930</v>
      </c>
      <c r="E947" s="0" t="s">
        <v>12</v>
      </c>
      <c r="F947" s="0" t="s">
        <v>12</v>
      </c>
      <c r="G947" s="0" t="s">
        <v>204</v>
      </c>
      <c r="I947" s="5">
        <v>993.620200</v>
      </c>
      <c r="J947" s="5">
        <v>13.000000</v>
      </c>
    </row>
    <row r="948" spans="1:11">
      <c r="A948" s="22" t="str">
        <f>HYPERLINK("https://app.vivvix.com/360/KMI/IntelliDrive/ApplUI/Pages/CreativePages/CustomReportCreativeDetail.aspx?App=23&amp;ReportView=4&amp;Qid=1696098&amp;Row=940&amp;Col=1","No Title Assigned - #15277953693")</f>
        <v/>
      </c>
      <c r="B948" s="0" t="s">
        <v>931</v>
      </c>
      <c r="E948" s="0" t="s">
        <v>12</v>
      </c>
      <c r="F948" s="0" t="s">
        <v>12</v>
      </c>
      <c r="G948" s="0" t="s">
        <v>204</v>
      </c>
      <c r="I948" s="5">
        <v>490.068600</v>
      </c>
      <c r="J948" s="5">
        <v>1.000000</v>
      </c>
    </row>
    <row r="949" spans="1:11">
      <c r="A949" s="22" t="str">
        <f>HYPERLINK("https://app.vivvix.com/360/KMI/IntelliDrive/ApplUI/Pages/CreativePages/CustomReportCreativeDetail.aspx?App=23&amp;ReportView=4&amp;Qid=1696098&amp;Row=941&amp;Col=1","No Title Assigned - #15277953720")</f>
        <v/>
      </c>
      <c r="B949" s="0" t="s">
        <v>932</v>
      </c>
      <c r="E949" s="0" t="s">
        <v>12</v>
      </c>
      <c r="F949" s="0" t="s">
        <v>12</v>
      </c>
      <c r="G949" s="0" t="s">
        <v>204</v>
      </c>
      <c r="I949" s="5">
        <v>769.584800</v>
      </c>
      <c r="J949" s="5">
        <v>1.000000</v>
      </c>
    </row>
    <row r="950" spans="1:11">
      <c r="A950" s="22" t="str">
        <f>HYPERLINK("https://app.vivvix.com/360/KMI/IntelliDrive/ApplUI/Pages/CreativePages/CustomReportCreativeDetail.aspx?App=23&amp;ReportView=4&amp;Qid=1696098&amp;Row=942&amp;Col=1","No Title Assigned - #15277962668")</f>
        <v/>
      </c>
      <c r="B950" s="0" t="s">
        <v>933</v>
      </c>
      <c r="E950" s="0" t="s">
        <v>12</v>
      </c>
      <c r="F950" s="0" t="s">
        <v>12</v>
      </c>
      <c r="G950" s="0" t="s">
        <v>204</v>
      </c>
      <c r="I950" s="5">
        <v>1102.095700</v>
      </c>
      <c r="J950" s="5">
        <v>1.000000</v>
      </c>
    </row>
    <row r="951" spans="1:11">
      <c r="A951" s="22" t="str">
        <f>HYPERLINK("https://app.vivvix.com/360/KMI/IntelliDrive/ApplUI/Pages/CreativePages/CustomReportCreativeDetail.aspx?App=23&amp;ReportView=4&amp;Qid=1696098&amp;Row=943&amp;Col=1","No Title Assigned - #15277963505")</f>
        <v/>
      </c>
      <c r="B951" s="0" t="s">
        <v>934</v>
      </c>
      <c r="E951" s="0" t="s">
        <v>12</v>
      </c>
      <c r="F951" s="0" t="s">
        <v>12</v>
      </c>
      <c r="G951" s="0" t="s">
        <v>204</v>
      </c>
      <c r="I951" s="5">
        <v>461.074400</v>
      </c>
      <c r="J951" s="5">
        <v>1.000000</v>
      </c>
    </row>
    <row r="952" spans="1:11">
      <c r="A952" s="22" t="str">
        <f>HYPERLINK("https://app.vivvix.com/360/KMI/IntelliDrive/ApplUI/Pages/CreativePages/CustomReportCreativeDetail.aspx?App=23&amp;ReportView=4&amp;Qid=1696098&amp;Row=944&amp;Col=1","No Title Assigned - #15277967648")</f>
        <v/>
      </c>
      <c r="B952" s="0" t="s">
        <v>935</v>
      </c>
      <c r="E952" s="0" t="s">
        <v>12</v>
      </c>
      <c r="F952" s="0" t="s">
        <v>12</v>
      </c>
      <c r="G952" s="0" t="s">
        <v>204</v>
      </c>
      <c r="I952" s="5">
        <v>42652.375000</v>
      </c>
      <c r="J952" s="5">
        <v>1.000000</v>
      </c>
    </row>
    <row r="953" spans="1:11">
      <c r="A953" s="22" t="str">
        <f>HYPERLINK("https://app.vivvix.com/360/KMI/IntelliDrive/ApplUI/Pages/CreativePages/CustomReportCreativeDetail.aspx?App=23&amp;ReportView=4&amp;Qid=1696098&amp;Row=945&amp;Col=1","No Title Assigned - #15277970777")</f>
        <v/>
      </c>
      <c r="B953" s="0" t="s">
        <v>936</v>
      </c>
      <c r="E953" s="0" t="s">
        <v>12</v>
      </c>
      <c r="F953" s="0" t="s">
        <v>12</v>
      </c>
      <c r="G953" s="0" t="s">
        <v>204</v>
      </c>
      <c r="I953" s="5">
        <v>33.982600</v>
      </c>
      <c r="J953" s="5">
        <v>1.000000</v>
      </c>
    </row>
    <row r="954" spans="1:11">
      <c r="A954" s="22" t="str">
        <f>HYPERLINK("https://app.vivvix.com/360/KMI/IntelliDrive/ApplUI/Pages/CreativePages/CustomReportCreativeDetail.aspx?App=23&amp;ReportView=4&amp;Qid=1696098&amp;Row=946&amp;Col=1","No Title Assigned - #15278012447")</f>
        <v/>
      </c>
      <c r="B954" s="0" t="s">
        <v>937</v>
      </c>
      <c r="E954" s="0" t="s">
        <v>12</v>
      </c>
      <c r="F954" s="0" t="s">
        <v>12</v>
      </c>
      <c r="G954" s="0" t="s">
        <v>204</v>
      </c>
      <c r="I954" s="5">
        <v>382.592200</v>
      </c>
      <c r="J954" s="5">
        <v>5.000000</v>
      </c>
    </row>
    <row r="955" spans="1:11">
      <c r="A955" s="22" t="str">
        <f>HYPERLINK("https://app.vivvix.com/360/KMI/IntelliDrive/ApplUI/Pages/CreativePages/CustomReportCreativeDetail.aspx?App=23&amp;ReportView=4&amp;Qid=1696098&amp;Row=947&amp;Col=1","No Title Assigned - #15278043870")</f>
        <v/>
      </c>
      <c r="B955" s="0" t="s">
        <v>938</v>
      </c>
      <c r="E955" s="0" t="s">
        <v>12</v>
      </c>
      <c r="F955" s="0" t="s">
        <v>12</v>
      </c>
      <c r="G955" s="0" t="s">
        <v>204</v>
      </c>
      <c r="I955" s="5">
        <v>541.799000</v>
      </c>
      <c r="J955" s="5">
        <v>1.000000</v>
      </c>
    </row>
    <row r="956" spans="1:11">
      <c r="A956" s="22" t="str">
        <f>HYPERLINK("https://app.vivvix.com/360/KMI/IntelliDrive/ApplUI/Pages/CreativePages/CustomReportCreativeDetail.aspx?App=23&amp;ReportView=4&amp;Qid=1696098&amp;Row=948&amp;Col=1","No Title Assigned - #15278062595")</f>
        <v/>
      </c>
      <c r="B956" s="0" t="s">
        <v>939</v>
      </c>
      <c r="E956" s="0" t="s">
        <v>12</v>
      </c>
      <c r="F956" s="0" t="s">
        <v>12</v>
      </c>
      <c r="G956" s="0" t="s">
        <v>204</v>
      </c>
      <c r="I956" s="5">
        <v>253.579400</v>
      </c>
      <c r="J956" s="5">
        <v>5.000000</v>
      </c>
    </row>
    <row r="957" spans="1:11">
      <c r="A957" s="22" t="str">
        <f>HYPERLINK("https://app.vivvix.com/360/KMI/IntelliDrive/ApplUI/Pages/CreativePages/CustomReportCreativeDetail.aspx?App=23&amp;ReportView=4&amp;Qid=1696098&amp;Row=949&amp;Col=1","No Title Assigned - #15278062596")</f>
        <v/>
      </c>
      <c r="B957" s="0" t="s">
        <v>940</v>
      </c>
      <c r="E957" s="0" t="s">
        <v>12</v>
      </c>
      <c r="F957" s="0" t="s">
        <v>12</v>
      </c>
      <c r="G957" s="0" t="s">
        <v>204</v>
      </c>
      <c r="I957" s="5">
        <v>33.982600</v>
      </c>
      <c r="J957" s="5">
        <v>1.000000</v>
      </c>
    </row>
    <row r="958" spans="1:11">
      <c r="A958" s="22" t="str">
        <f>HYPERLINK("https://app.vivvix.com/360/KMI/IntelliDrive/ApplUI/Pages/CreativePages/CustomReportCreativeDetail.aspx?App=23&amp;ReportView=4&amp;Qid=1696098&amp;Row=950&amp;Col=1","No Title Assigned - #15278062597")</f>
        <v/>
      </c>
      <c r="B958" s="0" t="s">
        <v>941</v>
      </c>
      <c r="E958" s="0" t="s">
        <v>12</v>
      </c>
      <c r="F958" s="0" t="s">
        <v>12</v>
      </c>
      <c r="G958" s="0" t="s">
        <v>204</v>
      </c>
      <c r="I958" s="5">
        <v>33.982600</v>
      </c>
      <c r="J958" s="5">
        <v>1.000000</v>
      </c>
    </row>
    <row r="959" spans="1:11">
      <c r="A959" s="22" t="str">
        <f>HYPERLINK("https://app.vivvix.com/360/KMI/IntelliDrive/ApplUI/Pages/CreativePages/CustomReportCreativeDetail.aspx?App=23&amp;ReportView=4&amp;Qid=1696098&amp;Row=951&amp;Col=1","No Title Assigned - #15278075132")</f>
        <v/>
      </c>
      <c r="B959" s="0" t="s">
        <v>942</v>
      </c>
      <c r="E959" s="0" t="s">
        <v>12</v>
      </c>
      <c r="F959" s="0" t="s">
        <v>12</v>
      </c>
      <c r="G959" s="0" t="s">
        <v>204</v>
      </c>
      <c r="I959" s="5">
        <v>227.531800</v>
      </c>
      <c r="J959" s="5">
        <v>3.000000</v>
      </c>
    </row>
    <row r="960" spans="1:11">
      <c r="A960" s="22" t="str">
        <f>HYPERLINK("https://app.vivvix.com/360/KMI/IntelliDrive/ApplUI/Pages/CreativePages/CustomReportCreativeDetail.aspx?App=23&amp;ReportView=4&amp;Qid=1696098&amp;Row=952&amp;Col=1","No Title Assigned - #15278077935")</f>
        <v/>
      </c>
      <c r="B960" s="0" t="s">
        <v>943</v>
      </c>
      <c r="E960" s="0" t="s">
        <v>12</v>
      </c>
      <c r="F960" s="0" t="s">
        <v>12</v>
      </c>
      <c r="G960" s="0" t="s">
        <v>204</v>
      </c>
      <c r="I960" s="5">
        <v>5564.333500</v>
      </c>
      <c r="J960" s="5">
        <v>1.000000</v>
      </c>
    </row>
    <row r="961" spans="1:11">
      <c r="A961" s="22" t="str">
        <f>HYPERLINK("https://app.vivvix.com/360/KMI/IntelliDrive/ApplUI/Pages/CreativePages/CustomReportCreativeDetail.aspx?App=23&amp;ReportView=4&amp;Qid=1696098&amp;Row=953&amp;Col=1","No Title Assigned - #15278079148")</f>
        <v/>
      </c>
      <c r="B961" s="0" t="s">
        <v>944</v>
      </c>
      <c r="E961" s="0" t="s">
        <v>12</v>
      </c>
      <c r="F961" s="0" t="s">
        <v>12</v>
      </c>
      <c r="G961" s="0" t="s">
        <v>204</v>
      </c>
      <c r="I961" s="5">
        <v>4741.972000</v>
      </c>
      <c r="J961" s="5">
        <v>2.000000</v>
      </c>
    </row>
    <row r="962" spans="1:11">
      <c r="A962" s="22" t="str">
        <f>HYPERLINK("https://app.vivvix.com/360/KMI/IntelliDrive/ApplUI/Pages/CreativePages/CustomReportCreativeDetail.aspx?App=23&amp;ReportView=4&amp;Qid=1696098&amp;Row=954&amp;Col=1","No Title Assigned - #15278100239")</f>
        <v/>
      </c>
      <c r="B962" s="0" t="s">
        <v>945</v>
      </c>
      <c r="E962" s="0" t="s">
        <v>12</v>
      </c>
      <c r="F962" s="0" t="s">
        <v>12</v>
      </c>
      <c r="G962" s="0" t="s">
        <v>204</v>
      </c>
      <c r="I962" s="5">
        <v>494.353200</v>
      </c>
      <c r="J962" s="5">
        <v>1.000000</v>
      </c>
    </row>
    <row r="963" spans="1:11">
      <c r="A963" s="22" t="str">
        <f>HYPERLINK("https://app.vivvix.com/360/KMI/IntelliDrive/ApplUI/Pages/CreativePages/CustomReportCreativeDetail.aspx?App=23&amp;ReportView=4&amp;Qid=1696098&amp;Row=955&amp;Col=1","No Title Assigned - #15278140664")</f>
        <v/>
      </c>
      <c r="B963" s="0" t="s">
        <v>946</v>
      </c>
      <c r="E963" s="0" t="s">
        <v>12</v>
      </c>
      <c r="F963" s="0" t="s">
        <v>12</v>
      </c>
      <c r="G963" s="0" t="s">
        <v>204</v>
      </c>
      <c r="I963" s="5">
        <v>3887.812300</v>
      </c>
      <c r="J963" s="5">
        <v>1.000000</v>
      </c>
    </row>
    <row r="964" spans="1:11">
      <c r="A964" s="22" t="str">
        <f>HYPERLINK("https://app.vivvix.com/360/KMI/IntelliDrive/ApplUI/Pages/CreativePages/CustomReportCreativeDetail.aspx?App=23&amp;ReportView=4&amp;Qid=1696098&amp;Row=956&amp;Col=1","No Title Assigned - #15278143177")</f>
        <v/>
      </c>
      <c r="B964" s="0" t="s">
        <v>947</v>
      </c>
      <c r="E964" s="0" t="s">
        <v>12</v>
      </c>
      <c r="F964" s="0" t="s">
        <v>12</v>
      </c>
      <c r="G964" s="0" t="s">
        <v>17</v>
      </c>
      <c r="I964" s="5">
        <v>392.746000</v>
      </c>
      <c r="J964" s="5">
        <v>50.000000</v>
      </c>
    </row>
    <row r="965" spans="1:11">
      <c r="A965" s="22" t="str">
        <f>HYPERLINK("https://app.vivvix.com/360/KMI/IntelliDrive/ApplUI/Pages/CreativePages/CustomReportCreativeDetail.aspx?App=23&amp;ReportView=4&amp;Qid=1696098&amp;Row=957&amp;Col=1","No Title Assigned - #15278154728")</f>
        <v/>
      </c>
      <c r="B965" s="0" t="s">
        <v>948</v>
      </c>
      <c r="E965" s="0" t="s">
        <v>12</v>
      </c>
      <c r="F965" s="0" t="s">
        <v>12</v>
      </c>
      <c r="G965" s="0" t="s">
        <v>17</v>
      </c>
      <c r="I965" s="5">
        <v>488.549000</v>
      </c>
      <c r="J965" s="5">
        <v>91.000000</v>
      </c>
    </row>
    <row r="966" spans="1:11">
      <c r="A966" s="22" t="str">
        <f>HYPERLINK("https://app.vivvix.com/360/KMI/IntelliDrive/ApplUI/Pages/CreativePages/CustomReportCreativeDetail.aspx?App=23&amp;ReportView=4&amp;Qid=1696098&amp;Row=958&amp;Col=1","No Title Assigned - #15278161284")</f>
        <v/>
      </c>
      <c r="B966" s="0" t="s">
        <v>949</v>
      </c>
      <c r="E966" s="0" t="s">
        <v>12</v>
      </c>
      <c r="F966" s="0" t="s">
        <v>12</v>
      </c>
      <c r="G966" s="0" t="s">
        <v>17</v>
      </c>
      <c r="I966" s="5">
        <v>16.522000</v>
      </c>
      <c r="J966" s="5">
        <v>2.000000</v>
      </c>
    </row>
    <row r="967" spans="1:11">
      <c r="A967" s="22" t="str">
        <f>HYPERLINK("https://app.vivvix.com/360/KMI/IntelliDrive/ApplUI/Pages/CreativePages/CustomReportCreativeDetail.aspx?App=23&amp;ReportView=4&amp;Qid=1696098&amp;Row=959&amp;Col=1","No Title Assigned - #15278161285")</f>
        <v/>
      </c>
      <c r="B967" s="0" t="s">
        <v>950</v>
      </c>
      <c r="E967" s="0" t="s">
        <v>12</v>
      </c>
      <c r="F967" s="0" t="s">
        <v>12</v>
      </c>
      <c r="G967" s="0" t="s">
        <v>17</v>
      </c>
      <c r="I967" s="5">
        <v>5.723000</v>
      </c>
      <c r="J967" s="5">
        <v>1.000000</v>
      </c>
    </row>
    <row r="968" spans="1:11">
      <c r="A968" s="22" t="str">
        <f>HYPERLINK("https://app.vivvix.com/360/KMI/IntelliDrive/ApplUI/Pages/CreativePages/CustomReportCreativeDetail.aspx?App=23&amp;ReportView=4&amp;Qid=1696098&amp;Row=960&amp;Col=1","No Title Assigned - #15278162222")</f>
        <v/>
      </c>
      <c r="B968" s="0" t="s">
        <v>951</v>
      </c>
      <c r="E968" s="0" t="s">
        <v>12</v>
      </c>
      <c r="F968" s="0" t="s">
        <v>12</v>
      </c>
      <c r="G968" s="0" t="s">
        <v>17</v>
      </c>
      <c r="I968" s="5">
        <v>9.463000</v>
      </c>
      <c r="J968" s="5">
        <v>2.000000</v>
      </c>
    </row>
    <row r="969" spans="1:11">
      <c r="A969" s="22" t="str">
        <f>HYPERLINK("https://app.vivvix.com/360/KMI/IntelliDrive/ApplUI/Pages/CreativePages/CustomReportCreativeDetail.aspx?App=23&amp;ReportView=4&amp;Qid=1696098&amp;Row=961&amp;Col=1","No Title Assigned - #15278193285")</f>
        <v/>
      </c>
      <c r="B969" s="0" t="s">
        <v>952</v>
      </c>
      <c r="E969" s="0" t="s">
        <v>12</v>
      </c>
      <c r="F969" s="0" t="s">
        <v>12</v>
      </c>
      <c r="G969" s="0" t="s">
        <v>204</v>
      </c>
      <c r="I969" s="5">
        <v>5628.021000</v>
      </c>
      <c r="J969" s="5">
        <v>1.000000</v>
      </c>
    </row>
    <row r="970" spans="1:11">
      <c r="A970" s="22" t="str">
        <f>HYPERLINK("https://app.vivvix.com/360/KMI/IntelliDrive/ApplUI/Pages/CreativePages/CustomReportCreativeDetail.aspx?App=23&amp;ReportView=4&amp;Qid=1696098&amp;Row=962&amp;Col=1","No Title Assigned - #15278194870")</f>
        <v/>
      </c>
      <c r="B970" s="0" t="s">
        <v>953</v>
      </c>
      <c r="E970" s="0" t="s">
        <v>12</v>
      </c>
      <c r="F970" s="0" t="s">
        <v>12</v>
      </c>
      <c r="G970" s="0" t="s">
        <v>204</v>
      </c>
      <c r="I970" s="5">
        <v>137.767200</v>
      </c>
      <c r="J970" s="5">
        <v>1.000000</v>
      </c>
    </row>
    <row r="971" spans="1:11">
      <c r="A971" s="22" t="str">
        <f>HYPERLINK("https://app.vivvix.com/360/KMI/IntelliDrive/ApplUI/Pages/CreativePages/CustomReportCreativeDetail.aspx?App=23&amp;ReportView=4&amp;Qid=1696098&amp;Row=963&amp;Col=1","No Title Assigned - #15278194872")</f>
        <v/>
      </c>
      <c r="B971" s="0" t="s">
        <v>954</v>
      </c>
      <c r="E971" s="0" t="s">
        <v>12</v>
      </c>
      <c r="F971" s="0" t="s">
        <v>12</v>
      </c>
      <c r="G971" s="0" t="s">
        <v>204</v>
      </c>
      <c r="I971" s="5">
        <v>275.534400</v>
      </c>
      <c r="J971" s="5">
        <v>2.000000</v>
      </c>
    </row>
    <row r="972" spans="1:11">
      <c r="A972" s="22" t="str">
        <f>HYPERLINK("https://app.vivvix.com/360/KMI/IntelliDrive/ApplUI/Pages/CreativePages/CustomReportCreativeDetail.aspx?App=23&amp;ReportView=4&amp;Qid=1696098&amp;Row=964&amp;Col=1","No Title Assigned - #15278210827")</f>
        <v/>
      </c>
      <c r="B972" s="0" t="s">
        <v>955</v>
      </c>
      <c r="E972" s="0" t="s">
        <v>12</v>
      </c>
      <c r="F972" s="0" t="s">
        <v>12</v>
      </c>
      <c r="G972" s="0" t="s">
        <v>204</v>
      </c>
      <c r="I972" s="5">
        <v>155.422000</v>
      </c>
      <c r="J972" s="5">
        <v>2.000000</v>
      </c>
    </row>
    <row r="973" spans="1:11">
      <c r="A973" s="22" t="str">
        <f>HYPERLINK("https://app.vivvix.com/360/KMI/IntelliDrive/ApplUI/Pages/CreativePages/CustomReportCreativeDetail.aspx?App=23&amp;ReportView=4&amp;Qid=1696098&amp;Row=965&amp;Col=1","No Title Assigned - #15278217106")</f>
        <v/>
      </c>
      <c r="B973" s="0" t="s">
        <v>956</v>
      </c>
      <c r="E973" s="0" t="s">
        <v>12</v>
      </c>
      <c r="F973" s="0" t="s">
        <v>12</v>
      </c>
      <c r="G973" s="0" t="s">
        <v>204</v>
      </c>
      <c r="I973" s="5">
        <v>458.608700</v>
      </c>
      <c r="J973" s="5">
        <v>1.000000</v>
      </c>
    </row>
    <row r="974" spans="1:11">
      <c r="A974" s="22" t="str">
        <f>HYPERLINK("https://app.vivvix.com/360/KMI/IntelliDrive/ApplUI/Pages/CreativePages/CustomReportCreativeDetail.aspx?App=23&amp;ReportView=4&amp;Qid=1696098&amp;Row=966&amp;Col=1","No Title Assigned - #15278231555")</f>
        <v/>
      </c>
      <c r="B974" s="0" t="s">
        <v>957</v>
      </c>
      <c r="E974" s="0" t="s">
        <v>12</v>
      </c>
      <c r="F974" s="0" t="s">
        <v>12</v>
      </c>
      <c r="G974" s="0" t="s">
        <v>204</v>
      </c>
      <c r="I974" s="5">
        <v>531.836600</v>
      </c>
      <c r="J974" s="5">
        <v>1.000000</v>
      </c>
    </row>
    <row r="975" spans="1:11">
      <c r="A975" s="22" t="str">
        <f>HYPERLINK("https://app.vivvix.com/360/KMI/IntelliDrive/ApplUI/Pages/CreativePages/CustomReportCreativeDetail.aspx?App=23&amp;ReportView=4&amp;Qid=1696098&amp;Row=967&amp;Col=1","No Title Assigned - #15278232835")</f>
        <v/>
      </c>
      <c r="B975" s="0" t="s">
        <v>958</v>
      </c>
      <c r="E975" s="0" t="s">
        <v>12</v>
      </c>
      <c r="F975" s="0" t="s">
        <v>12</v>
      </c>
      <c r="G975" s="0" t="s">
        <v>204</v>
      </c>
      <c r="I975" s="5">
        <v>583.635500</v>
      </c>
      <c r="J975" s="5">
        <v>1.000000</v>
      </c>
    </row>
    <row r="976" spans="1:11">
      <c r="A976" s="22" t="str">
        <f>HYPERLINK("https://app.vivvix.com/360/KMI/IntelliDrive/ApplUI/Pages/CreativePages/CustomReportCreativeDetail.aspx?App=23&amp;ReportView=4&amp;Qid=1696098&amp;Row=968&amp;Col=1","No Title Assigned - #15278241709")</f>
        <v/>
      </c>
      <c r="B976" s="0" t="s">
        <v>959</v>
      </c>
      <c r="E976" s="0" t="s">
        <v>12</v>
      </c>
      <c r="F976" s="0" t="s">
        <v>12</v>
      </c>
      <c r="G976" s="0" t="s">
        <v>204</v>
      </c>
      <c r="I976" s="5">
        <v>419.850800</v>
      </c>
      <c r="J976" s="5">
        <v>1.000000</v>
      </c>
    </row>
    <row r="977" spans="1:11">
      <c r="A977" s="22" t="str">
        <f>HYPERLINK("https://app.vivvix.com/360/KMI/IntelliDrive/ApplUI/Pages/CreativePages/CustomReportCreativeDetail.aspx?App=23&amp;ReportView=4&amp;Qid=1696098&amp;Row=969&amp;Col=1","No Title Assigned - #15278255783")</f>
        <v/>
      </c>
      <c r="B977" s="0" t="s">
        <v>960</v>
      </c>
      <c r="E977" s="0" t="s">
        <v>12</v>
      </c>
      <c r="F977" s="0" t="s">
        <v>12</v>
      </c>
      <c r="G977" s="0" t="s">
        <v>204</v>
      </c>
      <c r="I977" s="5">
        <v>497.937900</v>
      </c>
      <c r="J977" s="5">
        <v>1.000000</v>
      </c>
    </row>
    <row r="978" spans="1:11">
      <c r="A978" s="22" t="str">
        <f>HYPERLINK("https://app.vivvix.com/360/KMI/IntelliDrive/ApplUI/Pages/CreativePages/CustomReportCreativeDetail.aspx?App=23&amp;ReportView=4&amp;Qid=1696098&amp;Row=970&amp;Col=1","No Title Assigned - #15278269735")</f>
        <v/>
      </c>
      <c r="B978" s="0" t="s">
        <v>961</v>
      </c>
      <c r="E978" s="0" t="s">
        <v>12</v>
      </c>
      <c r="F978" s="0" t="s">
        <v>12</v>
      </c>
      <c r="G978" s="0" t="s">
        <v>17</v>
      </c>
      <c r="I978" s="5">
        <v>89.810000</v>
      </c>
      <c r="J978" s="5">
        <v>16.000000</v>
      </c>
    </row>
    <row r="979" spans="1:11">
      <c r="A979" s="22" t="str">
        <f>HYPERLINK("https://app.vivvix.com/360/KMI/IntelliDrive/ApplUI/Pages/CreativePages/CustomReportCreativeDetail.aspx?App=23&amp;ReportView=4&amp;Qid=1696098&amp;Row=971&amp;Col=1","No Title Assigned - #15278271775")</f>
        <v/>
      </c>
      <c r="B979" s="0" t="s">
        <v>962</v>
      </c>
      <c r="E979" s="0" t="s">
        <v>12</v>
      </c>
      <c r="F979" s="0" t="s">
        <v>12</v>
      </c>
      <c r="G979" s="0" t="s">
        <v>204</v>
      </c>
      <c r="I979" s="5">
        <v>506.361200</v>
      </c>
      <c r="J979" s="5">
        <v>1.000000</v>
      </c>
    </row>
    <row r="980" spans="1:11">
      <c r="A980" s="22" t="str">
        <f>HYPERLINK("https://app.vivvix.com/360/KMI/IntelliDrive/ApplUI/Pages/CreativePages/CustomReportCreativeDetail.aspx?App=23&amp;ReportView=4&amp;Qid=1696098&amp;Row=972&amp;Col=1","No Title Assigned - #15278273778")</f>
        <v/>
      </c>
      <c r="B980" s="0" t="s">
        <v>963</v>
      </c>
      <c r="E980" s="0" t="s">
        <v>12</v>
      </c>
      <c r="F980" s="0" t="s">
        <v>12</v>
      </c>
      <c r="G980" s="0" t="s">
        <v>204</v>
      </c>
      <c r="I980" s="5">
        <v>506.361200</v>
      </c>
      <c r="J980" s="5">
        <v>1.000000</v>
      </c>
    </row>
    <row r="981" spans="1:11">
      <c r="A981" s="22" t="str">
        <f>HYPERLINK("https://app.vivvix.com/360/KMI/IntelliDrive/ApplUI/Pages/CreativePages/CustomReportCreativeDetail.aspx?App=23&amp;ReportView=4&amp;Qid=1696098&amp;Row=973&amp;Col=1","No Title Assigned - #15278277545")</f>
        <v/>
      </c>
      <c r="B981" s="0" t="s">
        <v>964</v>
      </c>
      <c r="E981" s="0" t="s">
        <v>12</v>
      </c>
      <c r="F981" s="0" t="s">
        <v>12</v>
      </c>
      <c r="G981" s="0" t="s">
        <v>204</v>
      </c>
      <c r="I981" s="5">
        <v>77.711000</v>
      </c>
      <c r="J981" s="5">
        <v>1.000000</v>
      </c>
    </row>
    <row r="982" spans="1:11">
      <c r="A982" s="22" t="str">
        <f>HYPERLINK("https://app.vivvix.com/360/KMI/IntelliDrive/ApplUI/Pages/CreativePages/CustomReportCreativeDetail.aspx?App=23&amp;ReportView=4&amp;Qid=1696098&amp;Row=974&amp;Col=1","No Title Assigned - #15278277590")</f>
        <v/>
      </c>
      <c r="B982" s="0" t="s">
        <v>965</v>
      </c>
      <c r="E982" s="0" t="s">
        <v>12</v>
      </c>
      <c r="F982" s="0" t="s">
        <v>12</v>
      </c>
      <c r="G982" s="0" t="s">
        <v>204</v>
      </c>
      <c r="I982" s="5">
        <v>758.138600</v>
      </c>
      <c r="J982" s="5">
        <v>10.000000</v>
      </c>
    </row>
    <row r="983" spans="1:11">
      <c r="A983" s="22" t="str">
        <f>HYPERLINK("https://app.vivvix.com/360/KMI/IntelliDrive/ApplUI/Pages/CreativePages/CustomReportCreativeDetail.aspx?App=23&amp;ReportView=4&amp;Qid=1696098&amp;Row=975&amp;Col=1","No Title Assigned - #15278277826")</f>
        <v/>
      </c>
      <c r="B983" s="0" t="s">
        <v>966</v>
      </c>
      <c r="E983" s="0" t="s">
        <v>12</v>
      </c>
      <c r="F983" s="0" t="s">
        <v>12</v>
      </c>
      <c r="G983" s="0" t="s">
        <v>204</v>
      </c>
      <c r="I983" s="5">
        <v>463.107400</v>
      </c>
      <c r="J983" s="5">
        <v>1.000000</v>
      </c>
    </row>
    <row r="984" spans="1:11">
      <c r="A984" s="22" t="str">
        <f>HYPERLINK("https://app.vivvix.com/360/KMI/IntelliDrive/ApplUI/Pages/CreativePages/CustomReportCreativeDetail.aspx?App=23&amp;ReportView=4&amp;Qid=1696098&amp;Row=976&amp;Col=1","No Title Assigned - #15278294447")</f>
        <v/>
      </c>
      <c r="B984" s="0" t="s">
        <v>967</v>
      </c>
      <c r="E984" s="0" t="s">
        <v>12</v>
      </c>
      <c r="F984" s="0" t="s">
        <v>12</v>
      </c>
      <c r="G984" s="0" t="s">
        <v>17</v>
      </c>
      <c r="I984" s="5">
        <v>72.416000</v>
      </c>
      <c r="J984" s="5">
        <v>13.000000</v>
      </c>
    </row>
    <row r="985" spans="1:11">
      <c r="A985" s="22" t="str">
        <f>HYPERLINK("https://app.vivvix.com/360/KMI/IntelliDrive/ApplUI/Pages/CreativePages/CustomReportCreativeDetail.aspx?App=23&amp;ReportView=4&amp;Qid=1696098&amp;Row=977&amp;Col=1","No Title Assigned - #15278294690")</f>
        <v/>
      </c>
      <c r="B985" s="0" t="s">
        <v>968</v>
      </c>
      <c r="E985" s="0" t="s">
        <v>12</v>
      </c>
      <c r="F985" s="0" t="s">
        <v>12</v>
      </c>
      <c r="G985" s="0" t="s">
        <v>17</v>
      </c>
      <c r="I985" s="5">
        <v>27.736000</v>
      </c>
      <c r="J985" s="5">
        <v>5.000000</v>
      </c>
    </row>
    <row r="986" spans="1:11">
      <c r="A986" s="22" t="str">
        <f>HYPERLINK("https://app.vivvix.com/360/KMI/IntelliDrive/ApplUI/Pages/CreativePages/CustomReportCreativeDetail.aspx?App=23&amp;ReportView=4&amp;Qid=1696098&amp;Row=978&amp;Col=1","No Title Assigned - #15278295767")</f>
        <v/>
      </c>
      <c r="B986" s="0" t="s">
        <v>969</v>
      </c>
      <c r="E986" s="0" t="s">
        <v>12</v>
      </c>
      <c r="F986" s="0" t="s">
        <v>12</v>
      </c>
      <c r="G986" s="0" t="s">
        <v>17</v>
      </c>
      <c r="I986" s="5">
        <v>51.316000</v>
      </c>
      <c r="J986" s="5">
        <v>8.000000</v>
      </c>
    </row>
    <row r="987" spans="1:11">
      <c r="A987" s="22" t="str">
        <f>HYPERLINK("https://app.vivvix.com/360/KMI/IntelliDrive/ApplUI/Pages/CreativePages/CustomReportCreativeDetail.aspx?App=23&amp;ReportView=4&amp;Qid=1696098&amp;Row=979&amp;Col=1","No Title Assigned - #15278298198")</f>
        <v/>
      </c>
      <c r="B987" s="0" t="s">
        <v>970</v>
      </c>
      <c r="E987" s="0" t="s">
        <v>12</v>
      </c>
      <c r="F987" s="0" t="s">
        <v>12</v>
      </c>
      <c r="G987" s="0" t="s">
        <v>204</v>
      </c>
      <c r="I987" s="5">
        <v>1940.318400</v>
      </c>
      <c r="J987" s="5">
        <v>1.000000</v>
      </c>
    </row>
    <row r="988" spans="1:11">
      <c r="A988" s="22" t="str">
        <f>HYPERLINK("https://app.vivvix.com/360/KMI/IntelliDrive/ApplUI/Pages/CreativePages/CustomReportCreativeDetail.aspx?App=23&amp;ReportView=4&amp;Qid=1696098&amp;Row=980&amp;Col=1","No Title Assigned - #15278299099")</f>
        <v/>
      </c>
      <c r="B988" s="0" t="s">
        <v>971</v>
      </c>
      <c r="E988" s="0" t="s">
        <v>12</v>
      </c>
      <c r="F988" s="0" t="s">
        <v>12</v>
      </c>
      <c r="G988" s="0" t="s">
        <v>204</v>
      </c>
      <c r="I988" s="5">
        <v>4510.516800</v>
      </c>
      <c r="J988" s="5">
        <v>2.000000</v>
      </c>
    </row>
    <row r="989" spans="1:11">
      <c r="A989" s="22" t="str">
        <f>HYPERLINK("https://app.vivvix.com/360/KMI/IntelliDrive/ApplUI/Pages/CreativePages/CustomReportCreativeDetail.aspx?App=23&amp;ReportView=4&amp;Qid=1696098&amp;Row=981&amp;Col=1","No Title Assigned - #15278302836")</f>
        <v/>
      </c>
      <c r="B989" s="0" t="s">
        <v>972</v>
      </c>
      <c r="E989" s="0" t="s">
        <v>12</v>
      </c>
      <c r="F989" s="0" t="s">
        <v>12</v>
      </c>
      <c r="G989" s="0" t="s">
        <v>204</v>
      </c>
      <c r="I989" s="5">
        <v>429.812300</v>
      </c>
      <c r="J989" s="5">
        <v>1.000000</v>
      </c>
    </row>
    <row r="990" spans="1:11">
      <c r="A990" s="22" t="str">
        <f>HYPERLINK("https://app.vivvix.com/360/KMI/IntelliDrive/ApplUI/Pages/CreativePages/CustomReportCreativeDetail.aspx?App=23&amp;ReportView=4&amp;Qid=1696098&amp;Row=982&amp;Col=1","No Title Assigned - #15278339692")</f>
        <v/>
      </c>
      <c r="B990" s="0" t="s">
        <v>973</v>
      </c>
      <c r="E990" s="0" t="s">
        <v>12</v>
      </c>
      <c r="F990" s="0" t="s">
        <v>12</v>
      </c>
      <c r="G990" s="0" t="s">
        <v>17</v>
      </c>
      <c r="I990" s="5">
        <v>60.323000</v>
      </c>
      <c r="J990" s="5">
        <v>10.000000</v>
      </c>
    </row>
    <row r="991" spans="1:11">
      <c r="A991" s="22" t="str">
        <f>HYPERLINK("https://app.vivvix.com/360/KMI/IntelliDrive/ApplUI/Pages/CreativePages/CustomReportCreativeDetail.aspx?App=23&amp;ReportView=4&amp;Qid=1696098&amp;Row=983&amp;Col=1","No Title Assigned - #15278345980")</f>
        <v/>
      </c>
      <c r="B991" s="0" t="s">
        <v>974</v>
      </c>
      <c r="E991" s="0" t="s">
        <v>12</v>
      </c>
      <c r="F991" s="0" t="s">
        <v>12</v>
      </c>
      <c r="G991" s="0" t="s">
        <v>204</v>
      </c>
      <c r="I991" s="5">
        <v>461.039800</v>
      </c>
      <c r="J991" s="5">
        <v>1.000000</v>
      </c>
    </row>
    <row r="992" spans="1:11">
      <c r="A992" s="22" t="str">
        <f>HYPERLINK("https://app.vivvix.com/360/KMI/IntelliDrive/ApplUI/Pages/CreativePages/CustomReportCreativeDetail.aspx?App=23&amp;ReportView=4&amp;Qid=1696098&amp;Row=984&amp;Col=1","No Title Assigned - #15278349035")</f>
        <v/>
      </c>
      <c r="B992" s="0" t="s">
        <v>975</v>
      </c>
      <c r="E992" s="0" t="s">
        <v>12</v>
      </c>
      <c r="F992" s="0" t="s">
        <v>12</v>
      </c>
      <c r="G992" s="0" t="s">
        <v>204</v>
      </c>
      <c r="I992" s="5">
        <v>1661.767300</v>
      </c>
      <c r="J992" s="5">
        <v>1.000000</v>
      </c>
    </row>
    <row r="993" spans="1:11">
      <c r="A993" s="22" t="str">
        <f>HYPERLINK("https://app.vivvix.com/360/KMI/IntelliDrive/ApplUI/Pages/CreativePages/CustomReportCreativeDetail.aspx?App=23&amp;ReportView=4&amp;Qid=1696098&amp;Row=985&amp;Col=1","No Title Assigned - #15278349166")</f>
        <v/>
      </c>
      <c r="B993" s="0" t="s">
        <v>976</v>
      </c>
      <c r="E993" s="0" t="s">
        <v>12</v>
      </c>
      <c r="F993" s="0" t="s">
        <v>12</v>
      </c>
      <c r="G993" s="0" t="s">
        <v>204</v>
      </c>
      <c r="I993" s="5">
        <v>3887.812300</v>
      </c>
      <c r="J993" s="5">
        <v>1.000000</v>
      </c>
    </row>
    <row r="994" spans="1:11">
      <c r="A994" s="22" t="str">
        <f>HYPERLINK("https://app.vivvix.com/360/KMI/IntelliDrive/ApplUI/Pages/CreativePages/CustomReportCreativeDetail.aspx?App=23&amp;ReportView=4&amp;Qid=1696098&amp;Row=986&amp;Col=1","No Title Assigned - #15278349186")</f>
        <v/>
      </c>
      <c r="B994" s="0" t="s">
        <v>977</v>
      </c>
      <c r="E994" s="0" t="s">
        <v>12</v>
      </c>
      <c r="F994" s="0" t="s">
        <v>12</v>
      </c>
      <c r="G994" s="0" t="s">
        <v>204</v>
      </c>
      <c r="I994" s="5">
        <v>3887.812300</v>
      </c>
      <c r="J994" s="5">
        <v>1.000000</v>
      </c>
    </row>
    <row r="995" spans="1:11">
      <c r="A995" s="22" t="str">
        <f>HYPERLINK("https://app.vivvix.com/360/KMI/IntelliDrive/ApplUI/Pages/CreativePages/CustomReportCreativeDetail.aspx?App=23&amp;ReportView=4&amp;Qid=1696098&amp;Row=987&amp;Col=1","No Title Assigned - #15278353041")</f>
        <v/>
      </c>
      <c r="B995" s="0" t="s">
        <v>978</v>
      </c>
      <c r="E995" s="0" t="s">
        <v>12</v>
      </c>
      <c r="F995" s="0" t="s">
        <v>12</v>
      </c>
      <c r="G995" s="0" t="s">
        <v>204</v>
      </c>
      <c r="I995" s="5">
        <v>3887.812300</v>
      </c>
      <c r="J995" s="5">
        <v>1.000000</v>
      </c>
    </row>
    <row r="996" spans="1:11">
      <c r="A996" s="22" t="str">
        <f>HYPERLINK("https://app.vivvix.com/360/KMI/IntelliDrive/ApplUI/Pages/CreativePages/CustomReportCreativeDetail.aspx?App=23&amp;ReportView=4&amp;Qid=1696098&amp;Row=988&amp;Col=1","No Title Assigned - #15278376024")</f>
        <v/>
      </c>
      <c r="B996" s="0" t="s">
        <v>979</v>
      </c>
      <c r="E996" s="0" t="s">
        <v>12</v>
      </c>
      <c r="F996" s="0" t="s">
        <v>12</v>
      </c>
      <c r="G996" s="0" t="s">
        <v>204</v>
      </c>
      <c r="I996" s="5">
        <v>444.791100</v>
      </c>
      <c r="J996" s="5">
        <v>1.000000</v>
      </c>
    </row>
    <row r="997" spans="1:11">
      <c r="A997" s="22" t="str">
        <f>HYPERLINK("https://app.vivvix.com/360/KMI/IntelliDrive/ApplUI/Pages/CreativePages/CustomReportCreativeDetail.aspx?App=23&amp;ReportView=4&amp;Qid=1696098&amp;Row=989&amp;Col=1","No Title Assigned - #15278377641")</f>
        <v/>
      </c>
      <c r="B997" s="0" t="s">
        <v>980</v>
      </c>
      <c r="E997" s="0" t="s">
        <v>12</v>
      </c>
      <c r="F997" s="0" t="s">
        <v>12</v>
      </c>
      <c r="G997" s="0" t="s">
        <v>17</v>
      </c>
      <c r="I997" s="5">
        <v>277.979000</v>
      </c>
      <c r="J997" s="5">
        <v>61.000000</v>
      </c>
    </row>
    <row r="998" spans="1:11">
      <c r="A998" s="22" t="str">
        <f>HYPERLINK("https://app.vivvix.com/360/KMI/IntelliDrive/ApplUI/Pages/CreativePages/CustomReportCreativeDetail.aspx?App=23&amp;ReportView=4&amp;Qid=1696098&amp;Row=990&amp;Col=1","No Title Assigned - #15278385489")</f>
        <v/>
      </c>
      <c r="B998" s="0" t="s">
        <v>981</v>
      </c>
      <c r="E998" s="0" t="s">
        <v>12</v>
      </c>
      <c r="F998" s="0" t="s">
        <v>12</v>
      </c>
      <c r="G998" s="0" t="s">
        <v>17</v>
      </c>
      <c r="I998" s="5">
        <v>22.892000</v>
      </c>
      <c r="J998" s="5">
        <v>4.000000</v>
      </c>
    </row>
    <row r="999" spans="1:11">
      <c r="A999" s="22" t="str">
        <f>HYPERLINK("https://app.vivvix.com/360/KMI/IntelliDrive/ApplUI/Pages/CreativePages/CustomReportCreativeDetail.aspx?App=23&amp;ReportView=4&amp;Qid=1696098&amp;Row=991&amp;Col=1","No Title Assigned - #15278386207")</f>
        <v/>
      </c>
      <c r="B999" s="0" t="s">
        <v>982</v>
      </c>
      <c r="E999" s="0" t="s">
        <v>12</v>
      </c>
      <c r="F999" s="0" t="s">
        <v>12</v>
      </c>
      <c r="G999" s="0" t="s">
        <v>204</v>
      </c>
      <c r="I999" s="5">
        <v>20029.259700</v>
      </c>
      <c r="J999" s="5">
        <v>18.000000</v>
      </c>
    </row>
    <row r="1000" spans="1:11">
      <c r="A1000" s="22" t="str">
        <f>HYPERLINK("https://app.vivvix.com/360/KMI/IntelliDrive/ApplUI/Pages/CreativePages/CustomReportCreativeDetail.aspx?App=23&amp;ReportView=4&amp;Qid=1696098&amp;Row=992&amp;Col=1","No Title Assigned - #15278391981")</f>
        <v/>
      </c>
      <c r="B1000" s="0" t="s">
        <v>983</v>
      </c>
      <c r="E1000" s="0" t="s">
        <v>12</v>
      </c>
      <c r="F1000" s="0" t="s">
        <v>12</v>
      </c>
      <c r="G1000" s="0" t="s">
        <v>204</v>
      </c>
      <c r="I1000" s="5">
        <v>697.248100</v>
      </c>
      <c r="J1000" s="5">
        <v>1.000000</v>
      </c>
    </row>
    <row r="1001" spans="1:11">
      <c r="A1001" s="22" t="str">
        <f>HYPERLINK("https://app.vivvix.com/360/KMI/IntelliDrive/ApplUI/Pages/CreativePages/CustomReportCreativeDetail.aspx?App=23&amp;ReportView=4&amp;Qid=1696098&amp;Row=993&amp;Col=1","No Title Assigned - #15278393795")</f>
        <v/>
      </c>
      <c r="B1001" s="0" t="s">
        <v>984</v>
      </c>
      <c r="E1001" s="0" t="s">
        <v>12</v>
      </c>
      <c r="F1001" s="0" t="s">
        <v>12</v>
      </c>
      <c r="G1001" s="0" t="s">
        <v>204</v>
      </c>
      <c r="I1001" s="5">
        <v>473.067800</v>
      </c>
      <c r="J1001" s="5">
        <v>1.000000</v>
      </c>
    </row>
    <row r="1002" spans="1:11">
      <c r="A1002" s="22" t="str">
        <f>HYPERLINK("https://app.vivvix.com/360/KMI/IntelliDrive/ApplUI/Pages/CreativePages/CustomReportCreativeDetail.aspx?App=23&amp;ReportView=4&amp;Qid=1696098&amp;Row=994&amp;Col=1","No Title Assigned - #15278396192")</f>
        <v/>
      </c>
      <c r="B1002" s="0" t="s">
        <v>985</v>
      </c>
      <c r="E1002" s="0" t="s">
        <v>12</v>
      </c>
      <c r="F1002" s="0" t="s">
        <v>12</v>
      </c>
      <c r="G1002" s="0" t="s">
        <v>17</v>
      </c>
      <c r="I1002" s="5">
        <v>20.909000</v>
      </c>
      <c r="J1002" s="5">
        <v>4.000000</v>
      </c>
    </row>
    <row r="1003" spans="1:11">
      <c r="A1003" s="22" t="str">
        <f>HYPERLINK("https://app.vivvix.com/360/KMI/IntelliDrive/ApplUI/Pages/CreativePages/CustomReportCreativeDetail.aspx?App=23&amp;ReportView=4&amp;Qid=1696098&amp;Row=995&amp;Col=1","No Title Assigned - #15278396203")</f>
        <v/>
      </c>
      <c r="B1003" s="0" t="s">
        <v>986</v>
      </c>
      <c r="E1003" s="0" t="s">
        <v>12</v>
      </c>
      <c r="F1003" s="0" t="s">
        <v>12</v>
      </c>
      <c r="G1003" s="0" t="s">
        <v>17</v>
      </c>
      <c r="I1003" s="5">
        <v>204.665000</v>
      </c>
      <c r="J1003" s="5">
        <v>49.000000</v>
      </c>
    </row>
    <row r="1004" spans="1:11">
      <c r="A1004" s="22" t="str">
        <f>HYPERLINK("https://app.vivvix.com/360/KMI/IntelliDrive/ApplUI/Pages/CreativePages/CustomReportCreativeDetail.aspx?App=23&amp;ReportView=4&amp;Qid=1696098&amp;Row=996&amp;Col=1","No Title Assigned - #15278404966")</f>
        <v/>
      </c>
      <c r="B1004" s="0" t="s">
        <v>987</v>
      </c>
      <c r="E1004" s="0" t="s">
        <v>12</v>
      </c>
      <c r="F1004" s="0" t="s">
        <v>12</v>
      </c>
      <c r="G1004" s="0" t="s">
        <v>204</v>
      </c>
      <c r="I1004" s="5">
        <v>432.487300</v>
      </c>
      <c r="J1004" s="5">
        <v>1.000000</v>
      </c>
    </row>
    <row r="1005" spans="1:11">
      <c r="A1005" s="22" t="str">
        <f>HYPERLINK("https://app.vivvix.com/360/KMI/IntelliDrive/ApplUI/Pages/CreativePages/CustomReportCreativeDetail.aspx?App=23&amp;ReportView=4&amp;Qid=1696098&amp;Row=997&amp;Col=1","No Title Assigned - #15278410183")</f>
        <v/>
      </c>
      <c r="B1005" s="0" t="s">
        <v>988</v>
      </c>
      <c r="E1005" s="0" t="s">
        <v>12</v>
      </c>
      <c r="F1005" s="0" t="s">
        <v>12</v>
      </c>
      <c r="G1005" s="0" t="s">
        <v>204</v>
      </c>
      <c r="I1005" s="5">
        <v>1940.318400</v>
      </c>
      <c r="J1005" s="5">
        <v>1.000000</v>
      </c>
    </row>
    <row r="1006" spans="1:11">
      <c r="A1006" s="22" t="str">
        <f>HYPERLINK("https://app.vivvix.com/360/KMI/IntelliDrive/ApplUI/Pages/CreativePages/CustomReportCreativeDetail.aspx?App=23&amp;ReportView=4&amp;Qid=1696098&amp;Row=998&amp;Col=1","No Title Assigned - #15278410184")</f>
        <v/>
      </c>
      <c r="B1006" s="0" t="s">
        <v>989</v>
      </c>
      <c r="E1006" s="0" t="s">
        <v>12</v>
      </c>
      <c r="F1006" s="0" t="s">
        <v>12</v>
      </c>
      <c r="G1006" s="0" t="s">
        <v>204</v>
      </c>
      <c r="I1006" s="5">
        <v>3880.636800</v>
      </c>
      <c r="J1006" s="5">
        <v>2.000000</v>
      </c>
    </row>
    <row r="1007" spans="1:11">
      <c r="A1007" s="22" t="str">
        <f>HYPERLINK("https://app.vivvix.com/360/KMI/IntelliDrive/ApplUI/Pages/CreativePages/CustomReportCreativeDetail.aspx?App=23&amp;ReportView=4&amp;Qid=1696098&amp;Row=999&amp;Col=1","No Title Assigned - #15278413242")</f>
        <v/>
      </c>
      <c r="B1007" s="0" t="s">
        <v>990</v>
      </c>
      <c r="E1007" s="0" t="s">
        <v>12</v>
      </c>
      <c r="F1007" s="0" t="s">
        <v>12</v>
      </c>
      <c r="G1007" s="0" t="s">
        <v>17</v>
      </c>
      <c r="I1007" s="5">
        <v>62.306000</v>
      </c>
      <c r="J1007" s="5">
        <v>10.000000</v>
      </c>
    </row>
    <row r="1008" spans="1:11">
      <c r="A1008" s="22" t="str">
        <f>HYPERLINK("https://app.vivvix.com/360/KMI/IntelliDrive/ApplUI/Pages/CreativePages/CustomReportCreativeDetail.aspx?App=23&amp;ReportView=4&amp;Qid=1696098&amp;Row=1000&amp;Col=1","No Title Assigned - #15278420157")</f>
        <v/>
      </c>
      <c r="B1008" s="0" t="s">
        <v>991</v>
      </c>
      <c r="E1008" s="0" t="s">
        <v>12</v>
      </c>
      <c r="F1008" s="0" t="s">
        <v>12</v>
      </c>
      <c r="G1008" s="0" t="s">
        <v>204</v>
      </c>
      <c r="I1008" s="5">
        <v>424.012400</v>
      </c>
      <c r="J1008" s="5">
        <v>2.000000</v>
      </c>
    </row>
    <row r="1009" spans="1:11">
      <c r="A1009" s="22" t="str">
        <f>HYPERLINK("https://app.vivvix.com/360/KMI/IntelliDrive/ApplUI/Pages/CreativePages/CustomReportCreativeDetail.aspx?App=23&amp;ReportView=4&amp;Qid=1696098&amp;Row=1001&amp;Col=1","No Title Assigned - #15278433071")</f>
        <v/>
      </c>
      <c r="B1009" s="0" t="s">
        <v>992</v>
      </c>
      <c r="E1009" s="0" t="s">
        <v>12</v>
      </c>
      <c r="F1009" s="0" t="s">
        <v>12</v>
      </c>
      <c r="G1009" s="0" t="s">
        <v>204</v>
      </c>
      <c r="I1009" s="5">
        <v>439.160300</v>
      </c>
      <c r="J1009" s="5">
        <v>1.000000</v>
      </c>
    </row>
    <row r="1010" spans="1:11">
      <c r="A1010" s="22" t="str">
        <f>HYPERLINK("https://app.vivvix.com/360/KMI/IntelliDrive/ApplUI/Pages/CreativePages/CustomReportCreativeDetail.aspx?App=23&amp;ReportView=4&amp;Qid=1696098&amp;Row=1002&amp;Col=1","No Title Assigned - #15278433964")</f>
        <v/>
      </c>
      <c r="B1010" s="0" t="s">
        <v>993</v>
      </c>
      <c r="E1010" s="0" t="s">
        <v>12</v>
      </c>
      <c r="F1010" s="0" t="s">
        <v>12</v>
      </c>
      <c r="G1010" s="0" t="s">
        <v>204</v>
      </c>
      <c r="I1010" s="5">
        <v>413.213500</v>
      </c>
      <c r="J1010" s="5">
        <v>1.000000</v>
      </c>
    </row>
    <row r="1011" spans="1:11">
      <c r="A1011" s="22" t="str">
        <f>HYPERLINK("https://app.vivvix.com/360/KMI/IntelliDrive/ApplUI/Pages/CreativePages/CustomReportCreativeDetail.aspx?App=23&amp;ReportView=4&amp;Qid=1696098&amp;Row=1003&amp;Col=1","No Title Assigned - #15278443227")</f>
        <v/>
      </c>
      <c r="B1011" s="0" t="s">
        <v>994</v>
      </c>
      <c r="E1011" s="0" t="s">
        <v>12</v>
      </c>
      <c r="F1011" s="0" t="s">
        <v>12</v>
      </c>
      <c r="G1011" s="0" t="s">
        <v>17</v>
      </c>
      <c r="I1011" s="5">
        <v>74.398000</v>
      </c>
      <c r="J1011" s="5">
        <v>14.000000</v>
      </c>
    </row>
    <row r="1012" spans="1:11">
      <c r="A1012" s="22" t="str">
        <f>HYPERLINK("https://app.vivvix.com/360/KMI/IntelliDrive/ApplUI/Pages/CreativePages/CustomReportCreativeDetail.aspx?App=23&amp;ReportView=4&amp;Qid=1696098&amp;Row=1004&amp;Col=1","No Title Assigned - #15278446691")</f>
        <v/>
      </c>
      <c r="B1012" s="0" t="s">
        <v>995</v>
      </c>
      <c r="E1012" s="0" t="s">
        <v>12</v>
      </c>
      <c r="F1012" s="0" t="s">
        <v>12</v>
      </c>
      <c r="G1012" s="0" t="s">
        <v>17</v>
      </c>
      <c r="I1012" s="5">
        <v>53.074000</v>
      </c>
      <c r="J1012" s="5">
        <v>8.000000</v>
      </c>
    </row>
    <row r="1013" spans="1:11">
      <c r="A1013" s="22" t="str">
        <f>HYPERLINK("https://app.vivvix.com/360/KMI/IntelliDrive/ApplUI/Pages/CreativePages/CustomReportCreativeDetail.aspx?App=23&amp;ReportView=4&amp;Qid=1696098&amp;Row=1005&amp;Col=1","No Title Assigned - #15278450646")</f>
        <v/>
      </c>
      <c r="B1013" s="0" t="s">
        <v>996</v>
      </c>
      <c r="E1013" s="0" t="s">
        <v>12</v>
      </c>
      <c r="F1013" s="0" t="s">
        <v>12</v>
      </c>
      <c r="G1013" s="0" t="s">
        <v>204</v>
      </c>
      <c r="I1013" s="5">
        <v>412.594700</v>
      </c>
      <c r="J1013" s="5">
        <v>1.000000</v>
      </c>
    </row>
    <row r="1014" spans="1:11">
      <c r="A1014" s="22" t="str">
        <f>HYPERLINK("https://app.vivvix.com/360/KMI/IntelliDrive/ApplUI/Pages/CreativePages/CustomReportCreativeDetail.aspx?App=23&amp;ReportView=4&amp;Qid=1696098&amp;Row=1006&amp;Col=1","No Title Assigned - #15278457282")</f>
        <v/>
      </c>
      <c r="B1014" s="0" t="s">
        <v>997</v>
      </c>
      <c r="E1014" s="0" t="s">
        <v>12</v>
      </c>
      <c r="F1014" s="0" t="s">
        <v>12</v>
      </c>
      <c r="G1014" s="0" t="s">
        <v>204</v>
      </c>
      <c r="I1014" s="5">
        <v>410.780000</v>
      </c>
      <c r="J1014" s="5">
        <v>1.000000</v>
      </c>
    </row>
    <row r="1015" spans="1:11">
      <c r="A1015" s="22" t="str">
        <f>HYPERLINK("https://app.vivvix.com/360/KMI/IntelliDrive/ApplUI/Pages/CreativePages/CustomReportCreativeDetail.aspx?App=23&amp;ReportView=4&amp;Qid=1696098&amp;Row=1007&amp;Col=1","No Title Assigned - #15278462216")</f>
        <v/>
      </c>
      <c r="B1015" s="0" t="s">
        <v>998</v>
      </c>
      <c r="E1015" s="0" t="s">
        <v>12</v>
      </c>
      <c r="F1015" s="0" t="s">
        <v>12</v>
      </c>
      <c r="G1015" s="0" t="s">
        <v>204</v>
      </c>
      <c r="I1015" s="5">
        <v>41.218600</v>
      </c>
      <c r="J1015" s="5">
        <v>1.000000</v>
      </c>
    </row>
    <row r="1016" spans="1:11">
      <c r="A1016" s="22" t="str">
        <f>HYPERLINK("https://app.vivvix.com/360/KMI/IntelliDrive/ApplUI/Pages/CreativePages/CustomReportCreativeDetail.aspx?App=23&amp;ReportView=4&amp;Qid=1696098&amp;Row=1008&amp;Col=1","No Title Assigned - #15278473552")</f>
        <v/>
      </c>
      <c r="B1016" s="0" t="s">
        <v>999</v>
      </c>
      <c r="E1016" s="0" t="s">
        <v>12</v>
      </c>
      <c r="F1016" s="0" t="s">
        <v>12</v>
      </c>
      <c r="G1016" s="0" t="s">
        <v>204</v>
      </c>
      <c r="I1016" s="5">
        <v>444.791100</v>
      </c>
      <c r="J1016" s="5">
        <v>1.000000</v>
      </c>
    </row>
    <row r="1017" spans="1:11">
      <c r="A1017" s="22" t="str">
        <f>HYPERLINK("https://app.vivvix.com/360/KMI/IntelliDrive/ApplUI/Pages/CreativePages/CustomReportCreativeDetail.aspx?App=23&amp;ReportView=4&amp;Qid=1696098&amp;Row=1009&amp;Col=1","No Title Assigned - #15278473604")</f>
        <v/>
      </c>
      <c r="B1017" s="0" t="s">
        <v>1000</v>
      </c>
      <c r="E1017" s="0" t="s">
        <v>12</v>
      </c>
      <c r="F1017" s="0" t="s">
        <v>12</v>
      </c>
      <c r="G1017" s="0" t="s">
        <v>204</v>
      </c>
      <c r="I1017" s="5">
        <v>4123.614300</v>
      </c>
      <c r="J1017" s="5">
        <v>1.000000</v>
      </c>
    </row>
    <row r="1018" spans="1:11">
      <c r="A1018" s="22" t="str">
        <f>HYPERLINK("https://app.vivvix.com/360/KMI/IntelliDrive/ApplUI/Pages/CreativePages/CustomReportCreativeDetail.aspx?App=23&amp;ReportView=4&amp;Qid=1696098&amp;Row=1010&amp;Col=1","No Title Assigned - #15278480322")</f>
        <v/>
      </c>
      <c r="B1018" s="0" t="s">
        <v>1001</v>
      </c>
      <c r="E1018" s="0" t="s">
        <v>12</v>
      </c>
      <c r="F1018" s="0" t="s">
        <v>12</v>
      </c>
      <c r="G1018" s="0" t="s">
        <v>204</v>
      </c>
      <c r="I1018" s="5">
        <v>75.816800</v>
      </c>
      <c r="J1018" s="5">
        <v>1.000000</v>
      </c>
    </row>
    <row r="1019" spans="1:11">
      <c r="A1019" s="22" t="str">
        <f>HYPERLINK("https://app.vivvix.com/360/KMI/IntelliDrive/ApplUI/Pages/CreativePages/CustomReportCreativeDetail.aspx?App=23&amp;ReportView=4&amp;Qid=1696098&amp;Row=1011&amp;Col=1","No Title Assigned - #15278480354")</f>
        <v/>
      </c>
      <c r="B1019" s="0" t="s">
        <v>1002</v>
      </c>
      <c r="E1019" s="0" t="s">
        <v>12</v>
      </c>
      <c r="F1019" s="0" t="s">
        <v>12</v>
      </c>
      <c r="G1019" s="0" t="s">
        <v>204</v>
      </c>
      <c r="I1019" s="5">
        <v>303.267200</v>
      </c>
      <c r="J1019" s="5">
        <v>4.000000</v>
      </c>
    </row>
    <row r="1020" spans="1:11">
      <c r="A1020" s="22" t="str">
        <f>HYPERLINK("https://app.vivvix.com/360/KMI/IntelliDrive/ApplUI/Pages/CreativePages/CustomReportCreativeDetail.aspx?App=23&amp;ReportView=4&amp;Qid=1696098&amp;Row=1012&amp;Col=1","No Title Assigned - #15278480428")</f>
        <v/>
      </c>
      <c r="B1020" s="0" t="s">
        <v>1003</v>
      </c>
      <c r="E1020" s="0" t="s">
        <v>12</v>
      </c>
      <c r="F1020" s="0" t="s">
        <v>12</v>
      </c>
      <c r="G1020" s="0" t="s">
        <v>204</v>
      </c>
      <c r="I1020" s="5">
        <v>75.816800</v>
      </c>
      <c r="J1020" s="5">
        <v>1.000000</v>
      </c>
    </row>
    <row r="1021" spans="1:11">
      <c r="A1021" s="22" t="str">
        <f>HYPERLINK("https://app.vivvix.com/360/KMI/IntelliDrive/ApplUI/Pages/CreativePages/CustomReportCreativeDetail.aspx?App=23&amp;ReportView=4&amp;Qid=1696098&amp;Row=1013&amp;Col=1","No Title Assigned - #15278491360")</f>
        <v/>
      </c>
      <c r="B1021" s="0" t="s">
        <v>1004</v>
      </c>
      <c r="E1021" s="0" t="s">
        <v>12</v>
      </c>
      <c r="F1021" s="0" t="s">
        <v>12</v>
      </c>
      <c r="G1021" s="0" t="s">
        <v>204</v>
      </c>
      <c r="I1021" s="5">
        <v>506.361200</v>
      </c>
      <c r="J1021" s="5">
        <v>1.000000</v>
      </c>
    </row>
    <row r="1022" spans="1:11">
      <c r="A1022" s="22" t="str">
        <f>HYPERLINK("https://app.vivvix.com/360/KMI/IntelliDrive/ApplUI/Pages/CreativePages/CustomReportCreativeDetail.aspx?App=23&amp;ReportView=4&amp;Qid=1696098&amp;Row=1014&amp;Col=1","No Title Assigned - #15278518194")</f>
        <v/>
      </c>
      <c r="B1022" s="0" t="s">
        <v>1005</v>
      </c>
      <c r="E1022" s="0" t="s">
        <v>12</v>
      </c>
      <c r="F1022" s="0" t="s">
        <v>12</v>
      </c>
      <c r="G1022" s="0" t="s">
        <v>204</v>
      </c>
      <c r="I1022" s="5">
        <v>77.711000</v>
      </c>
      <c r="J1022" s="5">
        <v>1.000000</v>
      </c>
    </row>
    <row r="1023" spans="1:11">
      <c r="A1023" s="22" t="str">
        <f>HYPERLINK("https://app.vivvix.com/360/KMI/IntelliDrive/ApplUI/Pages/CreativePages/CustomReportCreativeDetail.aspx?App=23&amp;ReportView=4&amp;Qid=1696098&amp;Row=1015&amp;Col=1","No Title Assigned - #15278518479")</f>
        <v/>
      </c>
      <c r="B1023" s="0" t="s">
        <v>1006</v>
      </c>
      <c r="E1023" s="0" t="s">
        <v>12</v>
      </c>
      <c r="F1023" s="0" t="s">
        <v>12</v>
      </c>
      <c r="G1023" s="0" t="s">
        <v>204</v>
      </c>
      <c r="I1023" s="5">
        <v>77.711000</v>
      </c>
      <c r="J1023" s="5">
        <v>1.000000</v>
      </c>
    </row>
    <row r="1024" spans="1:11">
      <c r="A1024" s="22" t="str">
        <f>HYPERLINK("https://app.vivvix.com/360/KMI/IntelliDrive/ApplUI/Pages/CreativePages/CustomReportCreativeDetail.aspx?App=23&amp;ReportView=4&amp;Qid=1696098&amp;Row=1016&amp;Col=1","No Title Assigned - #15278524425")</f>
        <v/>
      </c>
      <c r="B1024" s="0" t="s">
        <v>1007</v>
      </c>
      <c r="E1024" s="0" t="s">
        <v>12</v>
      </c>
      <c r="F1024" s="0" t="s">
        <v>12</v>
      </c>
      <c r="G1024" s="0" t="s">
        <v>17</v>
      </c>
      <c r="I1024" s="5">
        <v>130.473000</v>
      </c>
      <c r="J1024" s="5">
        <v>33.000000</v>
      </c>
    </row>
    <row r="1025" spans="1:11">
      <c r="A1025" s="22" t="str">
        <f>HYPERLINK("https://app.vivvix.com/360/KMI/IntelliDrive/ApplUI/Pages/CreativePages/CustomReportCreativeDetail.aspx?App=23&amp;ReportView=4&amp;Qid=1696098&amp;Row=1017&amp;Col=1","No Title Assigned - #15278584060")</f>
        <v/>
      </c>
      <c r="B1025" s="0" t="s">
        <v>1008</v>
      </c>
      <c r="E1025" s="0" t="s">
        <v>12</v>
      </c>
      <c r="F1025" s="0" t="s">
        <v>12</v>
      </c>
      <c r="G1025" s="0" t="s">
        <v>204</v>
      </c>
      <c r="I1025" s="5">
        <v>1940.318400</v>
      </c>
      <c r="J1025" s="5">
        <v>1.000000</v>
      </c>
    </row>
    <row r="1026" spans="1:11">
      <c r="A1026" s="22" t="str">
        <f>HYPERLINK("https://app.vivvix.com/360/KMI/IntelliDrive/ApplUI/Pages/CreativePages/CustomReportCreativeDetail.aspx?App=23&amp;ReportView=4&amp;Qid=1696098&amp;Row=1018&amp;Col=1","No Title Assigned - #15278635674")</f>
        <v/>
      </c>
      <c r="B1026" s="0" t="s">
        <v>1009</v>
      </c>
      <c r="E1026" s="0" t="s">
        <v>12</v>
      </c>
      <c r="F1026" s="0" t="s">
        <v>12</v>
      </c>
      <c r="G1026" s="0" t="s">
        <v>17</v>
      </c>
      <c r="I1026" s="5">
        <v>9.463000</v>
      </c>
      <c r="J1026" s="5">
        <v>2.000000</v>
      </c>
    </row>
    <row r="1027" spans="1:11">
      <c r="A1027" s="22" t="str">
        <f>HYPERLINK("https://app.vivvix.com/360/KMI/IntelliDrive/ApplUI/Pages/CreativePages/CustomReportCreativeDetail.aspx?App=23&amp;ReportView=4&amp;Qid=1696098&amp;Row=1019&amp;Col=1","No Title Assigned - #15278640217")</f>
        <v/>
      </c>
      <c r="B1027" s="0" t="s">
        <v>1010</v>
      </c>
      <c r="E1027" s="0" t="s">
        <v>12</v>
      </c>
      <c r="F1027" s="0" t="s">
        <v>12</v>
      </c>
      <c r="G1027" s="0" t="s">
        <v>17</v>
      </c>
      <c r="I1027" s="5">
        <v>397.214000</v>
      </c>
      <c r="J1027" s="5">
        <v>97.000000</v>
      </c>
    </row>
    <row r="1028" spans="1:11">
      <c r="A1028" s="22" t="str">
        <f>HYPERLINK("https://app.vivvix.com/360/KMI/IntelliDrive/ApplUI/Pages/CreativePages/CustomReportCreativeDetail.aspx?App=23&amp;ReportView=4&amp;Qid=1696098&amp;Row=1020&amp;Col=1","No Title Assigned - #15278640263")</f>
        <v/>
      </c>
      <c r="B1028" s="0" t="s">
        <v>1011</v>
      </c>
      <c r="E1028" s="0" t="s">
        <v>12</v>
      </c>
      <c r="F1028" s="0" t="s">
        <v>12</v>
      </c>
      <c r="G1028" s="0" t="s">
        <v>17</v>
      </c>
      <c r="I1028" s="5">
        <v>159.348000</v>
      </c>
      <c r="J1028" s="5">
        <v>36.000000</v>
      </c>
    </row>
    <row r="1029" spans="1:11">
      <c r="A1029" s="22" t="str">
        <f>HYPERLINK("https://app.vivvix.com/360/KMI/IntelliDrive/ApplUI/Pages/CreativePages/CustomReportCreativeDetail.aspx?App=23&amp;ReportView=4&amp;Qid=1696098&amp;Row=1021&amp;Col=1","No Title Assigned - #15278647987")</f>
        <v/>
      </c>
      <c r="B1029" s="0" t="s">
        <v>1012</v>
      </c>
      <c r="E1029" s="0" t="s">
        <v>12</v>
      </c>
      <c r="F1029" s="0" t="s">
        <v>12</v>
      </c>
      <c r="G1029" s="0" t="s">
        <v>204</v>
      </c>
      <c r="I1029" s="5">
        <v>1019.893100</v>
      </c>
      <c r="J1029" s="5">
        <v>1.000000</v>
      </c>
    </row>
    <row r="1030" spans="1:11">
      <c r="A1030" s="22" t="str">
        <f>HYPERLINK("https://app.vivvix.com/360/KMI/IntelliDrive/ApplUI/Pages/CreativePages/CustomReportCreativeDetail.aspx?App=23&amp;ReportView=4&amp;Qid=1696098&amp;Row=1022&amp;Col=1","No Title Assigned - #15278654598")</f>
        <v/>
      </c>
      <c r="B1030" s="0" t="s">
        <v>1013</v>
      </c>
      <c r="E1030" s="0" t="s">
        <v>12</v>
      </c>
      <c r="F1030" s="0" t="s">
        <v>12</v>
      </c>
      <c r="G1030" s="0" t="s">
        <v>204</v>
      </c>
      <c r="I1030" s="5">
        <v>8508.444900</v>
      </c>
      <c r="J1030" s="5">
        <v>2.000000</v>
      </c>
    </row>
    <row r="1031" spans="1:11">
      <c r="A1031" s="22" t="str">
        <f>HYPERLINK("https://app.vivvix.com/360/KMI/IntelliDrive/ApplUI/Pages/CreativePages/CustomReportCreativeDetail.aspx?App=23&amp;ReportView=4&amp;Qid=1696098&amp;Row=1023&amp;Col=1","No Title Assigned - #15278702021")</f>
        <v/>
      </c>
      <c r="B1031" s="0" t="s">
        <v>1014</v>
      </c>
      <c r="E1031" s="0" t="s">
        <v>12</v>
      </c>
      <c r="F1031" s="0" t="s">
        <v>12</v>
      </c>
      <c r="G1031" s="0" t="s">
        <v>204</v>
      </c>
      <c r="I1031" s="5">
        <v>3887.812300</v>
      </c>
      <c r="J1031" s="5">
        <v>1.000000</v>
      </c>
    </row>
    <row r="1032" spans="1:11">
      <c r="A1032" s="22" t="str">
        <f>HYPERLINK("https://app.vivvix.com/360/KMI/IntelliDrive/ApplUI/Pages/CreativePages/CustomReportCreativeDetail.aspx?App=23&amp;ReportView=4&amp;Qid=1696098&amp;Row=1024&amp;Col=1","No Title Assigned - #15278702104")</f>
        <v/>
      </c>
      <c r="B1032" s="0" t="s">
        <v>1015</v>
      </c>
      <c r="E1032" s="0" t="s">
        <v>12</v>
      </c>
      <c r="F1032" s="0" t="s">
        <v>12</v>
      </c>
      <c r="G1032" s="0" t="s">
        <v>204</v>
      </c>
      <c r="I1032" s="5">
        <v>3887.812300</v>
      </c>
      <c r="J1032" s="5">
        <v>1.000000</v>
      </c>
    </row>
    <row r="1033" spans="1:11">
      <c r="A1033" s="22" t="str">
        <f>HYPERLINK("https://app.vivvix.com/360/KMI/IntelliDrive/ApplUI/Pages/CreativePages/CustomReportCreativeDetail.aspx?App=23&amp;ReportView=4&amp;Qid=1696098&amp;Row=1025&amp;Col=1","No Title Assigned - #15278709900")</f>
        <v/>
      </c>
      <c r="B1033" s="0" t="s">
        <v>1016</v>
      </c>
      <c r="E1033" s="0" t="s">
        <v>12</v>
      </c>
      <c r="F1033" s="0" t="s">
        <v>12</v>
      </c>
      <c r="G1033" s="0" t="s">
        <v>245</v>
      </c>
      <c r="I1033" s="5">
        <v>690.631300</v>
      </c>
      <c r="J1033" s="5">
        <v>1.000000</v>
      </c>
    </row>
    <row r="1034" spans="1:11">
      <c r="A1034" s="22" t="str">
        <f>HYPERLINK("https://app.vivvix.com/360/KMI/IntelliDrive/ApplUI/Pages/CreativePages/CustomReportCreativeDetail.aspx?App=23&amp;ReportView=4&amp;Qid=1696098&amp;Row=1026&amp;Col=1","No Title Assigned - #15278713736")</f>
        <v/>
      </c>
      <c r="B1034" s="0" t="s">
        <v>1017</v>
      </c>
      <c r="E1034" s="0" t="s">
        <v>12</v>
      </c>
      <c r="F1034" s="0" t="s">
        <v>12</v>
      </c>
      <c r="G1034" s="0" t="s">
        <v>245</v>
      </c>
      <c r="I1034" s="5">
        <v>690.631300</v>
      </c>
      <c r="J1034" s="5">
        <v>1.000000</v>
      </c>
    </row>
    <row r="1035" spans="1:11">
      <c r="A1035" s="22" t="str">
        <f>HYPERLINK("https://app.vivvix.com/360/KMI/IntelliDrive/ApplUI/Pages/CreativePages/CustomReportCreativeDetail.aspx?App=23&amp;ReportView=4&amp;Qid=1696098&amp;Row=1027&amp;Col=1","No Title Assigned - #15278807340")</f>
        <v/>
      </c>
      <c r="B1035" s="0" t="s">
        <v>1018</v>
      </c>
      <c r="E1035" s="0" t="s">
        <v>12</v>
      </c>
      <c r="F1035" s="0" t="s">
        <v>12</v>
      </c>
      <c r="G1035" s="0" t="s">
        <v>204</v>
      </c>
      <c r="I1035" s="5">
        <v>1940.318400</v>
      </c>
      <c r="J1035" s="5">
        <v>1.000000</v>
      </c>
    </row>
    <row r="1036" spans="1:11">
      <c r="A1036" s="22" t="str">
        <f>HYPERLINK("https://app.vivvix.com/360/KMI/IntelliDrive/ApplUI/Pages/CreativePages/CustomReportCreativeDetail.aspx?App=23&amp;ReportView=4&amp;Qid=1696098&amp;Row=1028&amp;Col=1","No Title Assigned - #15278810571")</f>
        <v/>
      </c>
      <c r="B1036" s="0" t="s">
        <v>1019</v>
      </c>
      <c r="E1036" s="0" t="s">
        <v>12</v>
      </c>
      <c r="F1036" s="0" t="s">
        <v>12</v>
      </c>
      <c r="G1036" s="0" t="s">
        <v>204</v>
      </c>
      <c r="I1036" s="5">
        <v>9067.137800</v>
      </c>
      <c r="J1036" s="5">
        <v>4.000000</v>
      </c>
    </row>
    <row r="1037" spans="1:11">
      <c r="A1037" s="22" t="str">
        <f>HYPERLINK("https://app.vivvix.com/360/KMI/IntelliDrive/ApplUI/Pages/CreativePages/CustomReportCreativeDetail.aspx?App=23&amp;ReportView=4&amp;Qid=1696098&amp;Row=1029&amp;Col=1","No Title Assigned - #15278810850")</f>
        <v/>
      </c>
      <c r="B1037" s="0" t="s">
        <v>1020</v>
      </c>
      <c r="E1037" s="0" t="s">
        <v>12</v>
      </c>
      <c r="F1037" s="0" t="s">
        <v>12</v>
      </c>
      <c r="G1037" s="0" t="s">
        <v>204</v>
      </c>
      <c r="I1037" s="5">
        <v>826.616600</v>
      </c>
      <c r="J1037" s="5">
        <v>4.000000</v>
      </c>
    </row>
    <row r="1038" spans="1:11">
      <c r="A1038" s="22" t="str">
        <f>HYPERLINK("https://app.vivvix.com/360/KMI/IntelliDrive/ApplUI/Pages/CreativePages/CustomReportCreativeDetail.aspx?App=23&amp;ReportView=4&amp;Qid=1696098&amp;Row=1030&amp;Col=1","No Title Assigned - #15278810854")</f>
        <v/>
      </c>
      <c r="B1038" s="0" t="s">
        <v>1021</v>
      </c>
      <c r="E1038" s="0" t="s">
        <v>12</v>
      </c>
      <c r="F1038" s="0" t="s">
        <v>12</v>
      </c>
      <c r="G1038" s="0" t="s">
        <v>204</v>
      </c>
      <c r="I1038" s="5">
        <v>22322.712900</v>
      </c>
      <c r="J1038" s="5">
        <v>26.000000</v>
      </c>
    </row>
    <row r="1039" spans="1:11">
      <c r="A1039" s="22" t="str">
        <f>HYPERLINK("https://app.vivvix.com/360/KMI/IntelliDrive/ApplUI/Pages/CreativePages/CustomReportCreativeDetail.aspx?App=23&amp;ReportView=4&amp;Qid=1696098&amp;Row=1031&amp;Col=1","No Title Assigned - #15278821678")</f>
        <v/>
      </c>
      <c r="B1039" s="0" t="s">
        <v>1022</v>
      </c>
      <c r="E1039" s="0" t="s">
        <v>12</v>
      </c>
      <c r="F1039" s="0" t="s">
        <v>12</v>
      </c>
      <c r="G1039" s="0" t="s">
        <v>204</v>
      </c>
      <c r="I1039" s="5">
        <v>506.361200</v>
      </c>
      <c r="J1039" s="5">
        <v>1.000000</v>
      </c>
    </row>
    <row r="1040" spans="1:11">
      <c r="A1040" s="22" t="str">
        <f>HYPERLINK("https://app.vivvix.com/360/KMI/IntelliDrive/ApplUI/Pages/CreativePages/CustomReportCreativeDetail.aspx?App=23&amp;ReportView=4&amp;Qid=1696098&amp;Row=1032&amp;Col=1","No Title Assigned - #15278827214")</f>
        <v/>
      </c>
      <c r="B1040" s="0" t="s">
        <v>1023</v>
      </c>
      <c r="E1040" s="0" t="s">
        <v>12</v>
      </c>
      <c r="F1040" s="0" t="s">
        <v>12</v>
      </c>
      <c r="G1040" s="0" t="s">
        <v>204</v>
      </c>
      <c r="I1040" s="5">
        <v>640.778900</v>
      </c>
      <c r="J1040" s="5">
        <v>1.000000</v>
      </c>
    </row>
    <row r="1041" spans="1:11">
      <c r="A1041" s="22" t="str">
        <f>HYPERLINK("https://app.vivvix.com/360/KMI/IntelliDrive/ApplUI/Pages/CreativePages/CustomReportCreativeDetail.aspx?App=23&amp;ReportView=4&amp;Qid=1696098&amp;Row=1033&amp;Col=1","No Title Assigned - #15278865582")</f>
        <v/>
      </c>
      <c r="B1041" s="0" t="s">
        <v>1024</v>
      </c>
      <c r="E1041" s="0" t="s">
        <v>12</v>
      </c>
      <c r="F1041" s="0" t="s">
        <v>12</v>
      </c>
      <c r="G1041" s="0" t="s">
        <v>17</v>
      </c>
      <c r="I1041" s="5">
        <v>11.446000</v>
      </c>
      <c r="J1041" s="5">
        <v>2.000000</v>
      </c>
    </row>
    <row r="1042" spans="1:11">
      <c r="A1042" s="22" t="str">
        <f>HYPERLINK("https://app.vivvix.com/360/KMI/IntelliDrive/ApplUI/Pages/CreativePages/CustomReportCreativeDetail.aspx?App=23&amp;ReportView=4&amp;Qid=1696098&amp;Row=1034&amp;Col=1","No Title Assigned - #15278956494")</f>
        <v/>
      </c>
      <c r="B1042" s="0" t="s">
        <v>1025</v>
      </c>
      <c r="E1042" s="0" t="s">
        <v>12</v>
      </c>
      <c r="F1042" s="0" t="s">
        <v>12</v>
      </c>
      <c r="G1042" s="0" t="s">
        <v>204</v>
      </c>
      <c r="I1042" s="5">
        <v>3887.812300</v>
      </c>
      <c r="J1042" s="5">
        <v>1.000000</v>
      </c>
    </row>
    <row r="1043" spans="1:11">
      <c r="A1043" s="22" t="str">
        <f>HYPERLINK("https://app.vivvix.com/360/KMI/IntelliDrive/ApplUI/Pages/CreativePages/CustomReportCreativeDetail.aspx?App=23&amp;ReportView=4&amp;Qid=1696098&amp;Row=1035&amp;Col=1","No Title Assigned - #15278967170")</f>
        <v/>
      </c>
      <c r="B1043" s="0" t="s">
        <v>1026</v>
      </c>
      <c r="E1043" s="0" t="s">
        <v>12</v>
      </c>
      <c r="F1043" s="0" t="s">
        <v>12</v>
      </c>
      <c r="G1043" s="0" t="s">
        <v>204</v>
      </c>
      <c r="I1043" s="5">
        <v>412.526400</v>
      </c>
      <c r="J1043" s="5">
        <v>1.000000</v>
      </c>
    </row>
    <row r="1044" spans="1:11">
      <c r="A1044" s="22" t="str">
        <f>HYPERLINK("https://app.vivvix.com/360/KMI/IntelliDrive/ApplUI/Pages/CreativePages/CustomReportCreativeDetail.aspx?App=23&amp;ReportView=4&amp;Qid=1696098&amp;Row=1036&amp;Col=1","No Title Assigned - #15278967454")</f>
        <v/>
      </c>
      <c r="B1044" s="0" t="s">
        <v>1027</v>
      </c>
      <c r="E1044" s="0" t="s">
        <v>12</v>
      </c>
      <c r="F1044" s="0" t="s">
        <v>12</v>
      </c>
      <c r="G1044" s="0" t="s">
        <v>204</v>
      </c>
      <c r="I1044" s="5">
        <v>239.704100</v>
      </c>
      <c r="J1044" s="5">
        <v>1.000000</v>
      </c>
    </row>
    <row r="1045" spans="1:11">
      <c r="A1045" s="22" t="str">
        <f>HYPERLINK("https://app.vivvix.com/360/KMI/IntelliDrive/ApplUI/Pages/CreativePages/CustomReportCreativeDetail.aspx?App=23&amp;ReportView=4&amp;Qid=1696098&amp;Row=1037&amp;Col=1","No Title Assigned - #15279002822")</f>
        <v/>
      </c>
      <c r="B1045" s="0" t="s">
        <v>1028</v>
      </c>
      <c r="E1045" s="0" t="s">
        <v>12</v>
      </c>
      <c r="F1045" s="0" t="s">
        <v>12</v>
      </c>
      <c r="G1045" s="0" t="s">
        <v>204</v>
      </c>
      <c r="I1045" s="5">
        <v>200.419100</v>
      </c>
      <c r="J1045" s="5">
        <v>1.000000</v>
      </c>
    </row>
    <row r="1046" spans="1:11">
      <c r="A1046" s="22" t="str">
        <f>HYPERLINK("https://app.vivvix.com/360/KMI/IntelliDrive/ApplUI/Pages/CreativePages/CustomReportCreativeDetail.aspx?App=23&amp;ReportView=4&amp;Qid=1696098&amp;Row=1038&amp;Col=1","No Title Assigned - #15279003114")</f>
        <v/>
      </c>
      <c r="B1046" s="0" t="s">
        <v>1029</v>
      </c>
      <c r="E1046" s="0" t="s">
        <v>12</v>
      </c>
      <c r="F1046" s="0" t="s">
        <v>12</v>
      </c>
      <c r="G1046" s="0" t="s">
        <v>204</v>
      </c>
      <c r="I1046" s="5">
        <v>200.419100</v>
      </c>
      <c r="J1046" s="5">
        <v>1.000000</v>
      </c>
    </row>
    <row r="1047" spans="1:11">
      <c r="A1047" s="22" t="str">
        <f>HYPERLINK("https://app.vivvix.com/360/KMI/IntelliDrive/ApplUI/Pages/CreativePages/CustomReportCreativeDetail.aspx?App=23&amp;ReportView=4&amp;Qid=1696098&amp;Row=1039&amp;Col=1","No Title Assigned - #15279011662")</f>
        <v/>
      </c>
      <c r="B1047" s="0" t="s">
        <v>1030</v>
      </c>
      <c r="E1047" s="0" t="s">
        <v>12</v>
      </c>
      <c r="F1047" s="0" t="s">
        <v>12</v>
      </c>
      <c r="G1047" s="0" t="s">
        <v>204</v>
      </c>
      <c r="I1047" s="5">
        <v>506.361200</v>
      </c>
      <c r="J1047" s="5">
        <v>1.000000</v>
      </c>
    </row>
    <row r="1048" spans="1:11">
      <c r="A1048" s="22" t="str">
        <f>HYPERLINK("https://app.vivvix.com/360/KMI/IntelliDrive/ApplUI/Pages/CreativePages/CustomReportCreativeDetail.aspx?App=23&amp;ReportView=4&amp;Qid=1696098&amp;Row=1040&amp;Col=1","No Title Assigned - #15279016994")</f>
        <v/>
      </c>
      <c r="B1048" s="0" t="s">
        <v>1031</v>
      </c>
      <c r="E1048" s="0" t="s">
        <v>12</v>
      </c>
      <c r="F1048" s="0" t="s">
        <v>12</v>
      </c>
      <c r="G1048" s="0" t="s">
        <v>17</v>
      </c>
      <c r="I1048" s="5">
        <v>31.933000</v>
      </c>
      <c r="J1048" s="5">
        <v>5.000000</v>
      </c>
    </row>
    <row r="1049" spans="1:11">
      <c r="A1049" s="22" t="str">
        <f>HYPERLINK("https://app.vivvix.com/360/KMI/IntelliDrive/ApplUI/Pages/CreativePages/CustomReportCreativeDetail.aspx?App=23&amp;ReportView=4&amp;Qid=1696098&amp;Row=1041&amp;Col=1","No Title Assigned - #15279056431")</f>
        <v/>
      </c>
      <c r="B1049" s="0" t="s">
        <v>1032</v>
      </c>
      <c r="E1049" s="0" t="s">
        <v>12</v>
      </c>
      <c r="F1049" s="0" t="s">
        <v>12</v>
      </c>
      <c r="G1049" s="0" t="s">
        <v>204</v>
      </c>
      <c r="I1049" s="5">
        <v>849.722000</v>
      </c>
      <c r="J1049" s="5">
        <v>1.000000</v>
      </c>
    </row>
    <row r="1050" spans="1:11">
      <c r="A1050" s="22" t="str">
        <f>HYPERLINK("https://app.vivvix.com/360/KMI/IntelliDrive/ApplUI/Pages/CreativePages/CustomReportCreativeDetail.aspx?App=23&amp;ReportView=4&amp;Qid=1696098&amp;Row=1042&amp;Col=1","No Title Assigned - #15279062508")</f>
        <v/>
      </c>
      <c r="B1050" s="0" t="s">
        <v>1033</v>
      </c>
      <c r="E1050" s="0" t="s">
        <v>12</v>
      </c>
      <c r="F1050" s="0" t="s">
        <v>12</v>
      </c>
      <c r="G1050" s="0" t="s">
        <v>204</v>
      </c>
      <c r="I1050" s="5">
        <v>3887.812300</v>
      </c>
      <c r="J1050" s="5">
        <v>1.000000</v>
      </c>
    </row>
    <row r="1051" spans="1:11">
      <c r="A1051" s="22" t="str">
        <f>HYPERLINK("https://app.vivvix.com/360/KMI/IntelliDrive/ApplUI/Pages/CreativePages/CustomReportCreativeDetail.aspx?App=23&amp;ReportView=4&amp;Qid=1696098&amp;Row=1043&amp;Col=1","No Title Assigned - #15279064304")</f>
        <v/>
      </c>
      <c r="B1051" s="0" t="s">
        <v>1034</v>
      </c>
      <c r="E1051" s="0" t="s">
        <v>12</v>
      </c>
      <c r="F1051" s="0" t="s">
        <v>12</v>
      </c>
      <c r="G1051" s="0" t="s">
        <v>204</v>
      </c>
      <c r="I1051" s="5">
        <v>506.361200</v>
      </c>
      <c r="J1051" s="5">
        <v>1.000000</v>
      </c>
    </row>
    <row r="1052" spans="1:11">
      <c r="A1052" s="22" t="str">
        <f>HYPERLINK("https://app.vivvix.com/360/KMI/IntelliDrive/ApplUI/Pages/CreativePages/CustomReportCreativeDetail.aspx?App=23&amp;ReportView=4&amp;Qid=1696098&amp;Row=1044&amp;Col=1","No Title Assigned - #15279082414")</f>
        <v/>
      </c>
      <c r="B1052" s="0" t="s">
        <v>1035</v>
      </c>
      <c r="E1052" s="0" t="s">
        <v>12</v>
      </c>
      <c r="F1052" s="0" t="s">
        <v>12</v>
      </c>
      <c r="G1052" s="0" t="s">
        <v>204</v>
      </c>
      <c r="I1052" s="5">
        <v>874.915700</v>
      </c>
      <c r="J1052" s="5">
        <v>1.000000</v>
      </c>
    </row>
    <row r="1053" spans="1:11">
      <c r="A1053" s="22" t="str">
        <f>HYPERLINK("https://app.vivvix.com/360/KMI/IntelliDrive/ApplUI/Pages/CreativePages/CustomReportCreativeDetail.aspx?App=23&amp;ReportView=4&amp;Qid=1696098&amp;Row=1045&amp;Col=1","No Title Assigned - #15279101144")</f>
        <v/>
      </c>
      <c r="B1053" s="0" t="s">
        <v>1036</v>
      </c>
      <c r="E1053" s="0" t="s">
        <v>12</v>
      </c>
      <c r="F1053" s="0" t="s">
        <v>12</v>
      </c>
      <c r="G1053" s="0" t="s">
        <v>204</v>
      </c>
      <c r="I1053" s="5">
        <v>4428.701700</v>
      </c>
      <c r="J1053" s="5">
        <v>1.000000</v>
      </c>
    </row>
    <row r="1054" spans="1:11">
      <c r="A1054" s="22" t="str">
        <f>HYPERLINK("https://app.vivvix.com/360/KMI/IntelliDrive/ApplUI/Pages/CreativePages/CustomReportCreativeDetail.aspx?App=23&amp;ReportView=4&amp;Qid=1696098&amp;Row=1046&amp;Col=1","No Title Assigned - #15279183393")</f>
        <v/>
      </c>
      <c r="B1054" s="0" t="s">
        <v>1037</v>
      </c>
      <c r="E1054" s="0" t="s">
        <v>12</v>
      </c>
      <c r="F1054" s="0" t="s">
        <v>12</v>
      </c>
      <c r="G1054" s="0" t="s">
        <v>204</v>
      </c>
      <c r="I1054" s="5">
        <v>75.816800</v>
      </c>
      <c r="J1054" s="5">
        <v>1.000000</v>
      </c>
    </row>
    <row r="1055" spans="1:11">
      <c r="A1055" s="22" t="str">
        <f>HYPERLINK("https://app.vivvix.com/360/KMI/IntelliDrive/ApplUI/Pages/CreativePages/CustomReportCreativeDetail.aspx?App=23&amp;ReportView=4&amp;Qid=1696098&amp;Row=1047&amp;Col=1","No Title Assigned - #15279188669")</f>
        <v/>
      </c>
      <c r="B1055" s="0" t="s">
        <v>1038</v>
      </c>
      <c r="E1055" s="0" t="s">
        <v>12</v>
      </c>
      <c r="F1055" s="0" t="s">
        <v>12</v>
      </c>
      <c r="G1055" s="0" t="s">
        <v>204</v>
      </c>
      <c r="I1055" s="5">
        <v>1102.726400</v>
      </c>
      <c r="J1055" s="5">
        <v>4.000000</v>
      </c>
    </row>
    <row r="1056" spans="1:11">
      <c r="A1056" s="22" t="str">
        <f>HYPERLINK("https://app.vivvix.com/360/KMI/IntelliDrive/ApplUI/Pages/CreativePages/CustomReportCreativeDetail.aspx?App=23&amp;ReportView=4&amp;Qid=1696098&amp;Row=1048&amp;Col=1","No Title Assigned - #15279250400")</f>
        <v/>
      </c>
      <c r="B1056" s="0" t="s">
        <v>1039</v>
      </c>
      <c r="E1056" s="0" t="s">
        <v>12</v>
      </c>
      <c r="F1056" s="0" t="s">
        <v>12</v>
      </c>
      <c r="G1056" s="0" t="s">
        <v>204</v>
      </c>
      <c r="I1056" s="5">
        <v>436.519600</v>
      </c>
      <c r="J1056" s="5">
        <v>1.000000</v>
      </c>
    </row>
    <row r="1057" spans="1:11">
      <c r="A1057" s="22" t="str">
        <f>HYPERLINK("https://app.vivvix.com/360/KMI/IntelliDrive/ApplUI/Pages/CreativePages/CustomReportCreativeDetail.aspx?App=23&amp;ReportView=4&amp;Qid=1696098&amp;Row=1049&amp;Col=1","No Title Assigned - #15279286108")</f>
        <v/>
      </c>
      <c r="B1057" s="0" t="s">
        <v>1040</v>
      </c>
      <c r="E1057" s="0" t="s">
        <v>12</v>
      </c>
      <c r="F1057" s="0" t="s">
        <v>12</v>
      </c>
      <c r="G1057" s="0" t="s">
        <v>17</v>
      </c>
      <c r="I1057" s="5">
        <v>241.200000</v>
      </c>
      <c r="J1057" s="5">
        <v>57.000000</v>
      </c>
    </row>
    <row r="1058" spans="1:11">
      <c r="A1058" s="22" t="str">
        <f>HYPERLINK("https://app.vivvix.com/360/KMI/IntelliDrive/ApplUI/Pages/CreativePages/CustomReportCreativeDetail.aspx?App=23&amp;ReportView=4&amp;Qid=1696098&amp;Row=1050&amp;Col=1","No Title Assigned - #15279313150")</f>
        <v/>
      </c>
      <c r="B1058" s="0" t="s">
        <v>1041</v>
      </c>
      <c r="E1058" s="0" t="s">
        <v>12</v>
      </c>
      <c r="F1058" s="0" t="s">
        <v>12</v>
      </c>
      <c r="G1058" s="0" t="s">
        <v>204</v>
      </c>
      <c r="I1058" s="5">
        <v>10608.820700</v>
      </c>
      <c r="J1058" s="5">
        <v>2.000000</v>
      </c>
    </row>
    <row r="1059" spans="1:11">
      <c r="A1059" s="22" t="str">
        <f>HYPERLINK("https://app.vivvix.com/360/KMI/IntelliDrive/ApplUI/Pages/CreativePages/CustomReportCreativeDetail.aspx?App=23&amp;ReportView=4&amp;Qid=1696098&amp;Row=1051&amp;Col=1","No Title Assigned - #15279313152")</f>
        <v/>
      </c>
      <c r="B1059" s="0" t="s">
        <v>1042</v>
      </c>
      <c r="E1059" s="0" t="s">
        <v>12</v>
      </c>
      <c r="F1059" s="0" t="s">
        <v>12</v>
      </c>
      <c r="G1059" s="0" t="s">
        <v>204</v>
      </c>
      <c r="I1059" s="5">
        <v>10368.727500</v>
      </c>
      <c r="J1059" s="5">
        <v>1.000000</v>
      </c>
    </row>
    <row r="1060" spans="1:11">
      <c r="A1060" s="22" t="str">
        <f>HYPERLINK("https://app.vivvix.com/360/KMI/IntelliDrive/ApplUI/Pages/CreativePages/CustomReportCreativeDetail.aspx?App=23&amp;ReportView=4&amp;Qid=1696098&amp;Row=1052&amp;Col=1","No Title Assigned - #15279313198")</f>
        <v/>
      </c>
      <c r="B1060" s="0" t="s">
        <v>1043</v>
      </c>
      <c r="E1060" s="0" t="s">
        <v>12</v>
      </c>
      <c r="F1060" s="0" t="s">
        <v>12</v>
      </c>
      <c r="G1060" s="0" t="s">
        <v>204</v>
      </c>
      <c r="I1060" s="5">
        <v>240.093200</v>
      </c>
      <c r="J1060" s="5">
        <v>1.000000</v>
      </c>
    </row>
    <row r="1061" spans="1:11">
      <c r="A1061" s="22" t="str">
        <f>HYPERLINK("https://app.vivvix.com/360/KMI/IntelliDrive/ApplUI/Pages/CreativePages/CustomReportCreativeDetail.aspx?App=23&amp;ReportView=4&amp;Qid=1696098&amp;Row=1053&amp;Col=1","No Title Assigned - #15279313493")</f>
        <v/>
      </c>
      <c r="B1061" s="0" t="s">
        <v>1044</v>
      </c>
      <c r="E1061" s="0" t="s">
        <v>12</v>
      </c>
      <c r="F1061" s="0" t="s">
        <v>12</v>
      </c>
      <c r="G1061" s="0" t="s">
        <v>204</v>
      </c>
      <c r="I1061" s="5">
        <v>463.107400</v>
      </c>
      <c r="J1061" s="5">
        <v>1.000000</v>
      </c>
    </row>
    <row r="1062" spans="1:11">
      <c r="A1062" s="22" t="str">
        <f>HYPERLINK("https://app.vivvix.com/360/KMI/IntelliDrive/ApplUI/Pages/CreativePages/CustomReportCreativeDetail.aspx?App=23&amp;ReportView=4&amp;Qid=1696098&amp;Row=1054&amp;Col=1","No Title Assigned - #15279356904")</f>
        <v/>
      </c>
      <c r="B1062" s="0" t="s">
        <v>1045</v>
      </c>
      <c r="E1062" s="0" t="s">
        <v>12</v>
      </c>
      <c r="F1062" s="0" t="s">
        <v>12</v>
      </c>
      <c r="G1062" s="0" t="s">
        <v>17</v>
      </c>
      <c r="I1062" s="5">
        <v>139.642000</v>
      </c>
      <c r="J1062" s="5">
        <v>30.000000</v>
      </c>
    </row>
    <row r="1063" spans="1:11">
      <c r="A1063" s="22" t="str">
        <f>HYPERLINK("https://app.vivvix.com/360/KMI/IntelliDrive/ApplUI/Pages/CreativePages/CustomReportCreativeDetail.aspx?App=23&amp;ReportView=4&amp;Qid=1696098&amp;Row=1055&amp;Col=1","No Title Assigned - #15279371777")</f>
        <v/>
      </c>
      <c r="B1063" s="0" t="s">
        <v>1046</v>
      </c>
      <c r="E1063" s="0" t="s">
        <v>12</v>
      </c>
      <c r="F1063" s="0" t="s">
        <v>12</v>
      </c>
      <c r="G1063" s="0" t="s">
        <v>204</v>
      </c>
      <c r="I1063" s="5">
        <v>30343.250000</v>
      </c>
      <c r="J1063" s="5">
        <v>1.000000</v>
      </c>
    </row>
    <row r="1064" spans="1:11">
      <c r="A1064" s="22" t="str">
        <f>HYPERLINK("https://app.vivvix.com/360/KMI/IntelliDrive/ApplUI/Pages/CreativePages/CustomReportCreativeDetail.aspx?App=23&amp;ReportView=4&amp;Qid=1696098&amp;Row=1056&amp;Col=1","No Title Assigned - #15279377773")</f>
        <v/>
      </c>
      <c r="B1064" s="0" t="s">
        <v>1047</v>
      </c>
      <c r="E1064" s="0" t="s">
        <v>12</v>
      </c>
      <c r="F1064" s="0" t="s">
        <v>12</v>
      </c>
      <c r="G1064" s="0" t="s">
        <v>204</v>
      </c>
      <c r="I1064" s="5">
        <v>75.816800</v>
      </c>
      <c r="J1064" s="5">
        <v>1.000000</v>
      </c>
    </row>
    <row r="1065" spans="1:11">
      <c r="A1065" s="22" t="str">
        <f>HYPERLINK("https://app.vivvix.com/360/KMI/IntelliDrive/ApplUI/Pages/CreativePages/CustomReportCreativeDetail.aspx?App=23&amp;ReportView=4&amp;Qid=1696098&amp;Row=1057&amp;Col=1","No Title Assigned - #15279377997")</f>
        <v/>
      </c>
      <c r="B1065" s="0" t="s">
        <v>1048</v>
      </c>
      <c r="E1065" s="0" t="s">
        <v>12</v>
      </c>
      <c r="F1065" s="0" t="s">
        <v>12</v>
      </c>
      <c r="G1065" s="0" t="s">
        <v>204</v>
      </c>
      <c r="I1065" s="5">
        <v>75.816800</v>
      </c>
      <c r="J1065" s="5">
        <v>1.000000</v>
      </c>
    </row>
    <row r="1066" spans="1:11">
      <c r="A1066" s="22" t="str">
        <f>HYPERLINK("https://app.vivvix.com/360/KMI/IntelliDrive/ApplUI/Pages/CreativePages/CustomReportCreativeDetail.aspx?App=23&amp;ReportView=4&amp;Qid=1696098&amp;Row=1058&amp;Col=1","No Title Assigned - #15279412323")</f>
        <v/>
      </c>
      <c r="B1066" s="0" t="s">
        <v>1049</v>
      </c>
      <c r="E1066" s="0" t="s">
        <v>12</v>
      </c>
      <c r="F1066" s="0" t="s">
        <v>12</v>
      </c>
      <c r="G1066" s="0" t="s">
        <v>204</v>
      </c>
      <c r="I1066" s="5">
        <v>827.719000</v>
      </c>
      <c r="J1066" s="5">
        <v>11.000000</v>
      </c>
    </row>
    <row r="1067" spans="1:11">
      <c r="A1067" s="22" t="str">
        <f>HYPERLINK("https://app.vivvix.com/360/KMI/IntelliDrive/ApplUI/Pages/CreativePages/CustomReportCreativeDetail.aspx?App=23&amp;ReportView=4&amp;Qid=1696098&amp;Row=1059&amp;Col=1","No Title Assigned - #15279540143")</f>
        <v/>
      </c>
      <c r="B1067" s="0" t="s">
        <v>1050</v>
      </c>
      <c r="E1067" s="0" t="s">
        <v>12</v>
      </c>
      <c r="F1067" s="0" t="s">
        <v>12</v>
      </c>
      <c r="G1067" s="0" t="s">
        <v>204</v>
      </c>
      <c r="I1067" s="5">
        <v>4635.926800</v>
      </c>
      <c r="J1067" s="5">
        <v>1.000000</v>
      </c>
    </row>
    <row r="1068" spans="1:11">
      <c r="A1068" s="22" t="str">
        <f>HYPERLINK("https://app.vivvix.com/360/KMI/IntelliDrive/ApplUI/Pages/CreativePages/CustomReportCreativeDetail.aspx?App=23&amp;ReportView=4&amp;Qid=1696098&amp;Row=1060&amp;Col=1","No Title Assigned - #15279540340")</f>
        <v/>
      </c>
      <c r="B1068" s="0" t="s">
        <v>1051</v>
      </c>
      <c r="E1068" s="0" t="s">
        <v>12</v>
      </c>
      <c r="F1068" s="0" t="s">
        <v>12</v>
      </c>
      <c r="G1068" s="0" t="s">
        <v>204</v>
      </c>
      <c r="I1068" s="5">
        <v>506.361200</v>
      </c>
      <c r="J1068" s="5">
        <v>1.000000</v>
      </c>
    </row>
    <row r="1069" spans="1:11">
      <c r="A1069" s="22" t="str">
        <f>HYPERLINK("https://app.vivvix.com/360/KMI/IntelliDrive/ApplUI/Pages/CreativePages/CustomReportCreativeDetail.aspx?App=23&amp;ReportView=4&amp;Qid=1696098&amp;Row=1061&amp;Col=1","No Title Assigned - #15279587250")</f>
        <v/>
      </c>
      <c r="B1069" s="0" t="s">
        <v>1052</v>
      </c>
      <c r="E1069" s="0" t="s">
        <v>12</v>
      </c>
      <c r="F1069" s="0" t="s">
        <v>12</v>
      </c>
      <c r="G1069" s="0" t="s">
        <v>204</v>
      </c>
      <c r="I1069" s="5">
        <v>2230.818600</v>
      </c>
      <c r="J1069" s="5">
        <v>1.000000</v>
      </c>
    </row>
    <row r="1070" spans="1:11">
      <c r="A1070" s="22" t="str">
        <f>HYPERLINK("https://app.vivvix.com/360/KMI/IntelliDrive/ApplUI/Pages/CreativePages/CustomReportCreativeDetail.aspx?App=23&amp;ReportView=4&amp;Qid=1696098&amp;Row=1062&amp;Col=1","No Title Assigned - #15279591506")</f>
        <v/>
      </c>
      <c r="B1070" s="0" t="s">
        <v>1053</v>
      </c>
      <c r="E1070" s="0" t="s">
        <v>12</v>
      </c>
      <c r="F1070" s="0" t="s">
        <v>12</v>
      </c>
      <c r="G1070" s="0" t="s">
        <v>204</v>
      </c>
      <c r="I1070" s="5">
        <v>905.070200</v>
      </c>
      <c r="J1070" s="5">
        <v>1.000000</v>
      </c>
    </row>
    <row r="1071" spans="1:11">
      <c r="A1071" s="22" t="str">
        <f>HYPERLINK("https://app.vivvix.com/360/KMI/IntelliDrive/ApplUI/Pages/CreativePages/CustomReportCreativeDetail.aspx?App=23&amp;ReportView=4&amp;Qid=1696098&amp;Row=1063&amp;Col=1","No Title Assigned - #15279606743")</f>
        <v/>
      </c>
      <c r="B1071" s="0" t="s">
        <v>1054</v>
      </c>
      <c r="E1071" s="0" t="s">
        <v>12</v>
      </c>
      <c r="F1071" s="0" t="s">
        <v>12</v>
      </c>
      <c r="G1071" s="0" t="s">
        <v>204</v>
      </c>
      <c r="I1071" s="5">
        <v>5141.302700</v>
      </c>
      <c r="J1071" s="5">
        <v>16.000000</v>
      </c>
    </row>
    <row r="1072" spans="1:11">
      <c r="A1072" s="22" t="str">
        <f>HYPERLINK("https://app.vivvix.com/360/KMI/IntelliDrive/ApplUI/Pages/CreativePages/CustomReportCreativeDetail.aspx?App=23&amp;ReportView=4&amp;Qid=1696098&amp;Row=1064&amp;Col=1","No Title Assigned - #15279636954")</f>
        <v/>
      </c>
      <c r="B1072" s="0" t="s">
        <v>1055</v>
      </c>
      <c r="E1072" s="0" t="s">
        <v>12</v>
      </c>
      <c r="F1072" s="0" t="s">
        <v>12</v>
      </c>
      <c r="G1072" s="0" t="s">
        <v>204</v>
      </c>
      <c r="I1072" s="5">
        <v>583.635500</v>
      </c>
      <c r="J1072" s="5">
        <v>1.000000</v>
      </c>
    </row>
    <row r="1073" spans="1:11">
      <c r="A1073" s="22" t="str">
        <f>HYPERLINK("https://app.vivvix.com/360/KMI/IntelliDrive/ApplUI/Pages/CreativePages/CustomReportCreativeDetail.aspx?App=23&amp;ReportView=4&amp;Qid=1696098&amp;Row=1065&amp;Col=1","No Title Assigned - #15279640312")</f>
        <v/>
      </c>
      <c r="B1073" s="0" t="s">
        <v>1056</v>
      </c>
      <c r="E1073" s="0" t="s">
        <v>12</v>
      </c>
      <c r="F1073" s="0" t="s">
        <v>12</v>
      </c>
      <c r="G1073" s="0" t="s">
        <v>204</v>
      </c>
      <c r="I1073" s="5">
        <v>295.937200</v>
      </c>
      <c r="J1073" s="5">
        <v>4.000000</v>
      </c>
    </row>
    <row r="1074" spans="1:11">
      <c r="A1074" s="22" t="str">
        <f>HYPERLINK("https://app.vivvix.com/360/KMI/IntelliDrive/ApplUI/Pages/CreativePages/CustomReportCreativeDetail.aspx?App=23&amp;ReportView=4&amp;Qid=1696098&amp;Row=1066&amp;Col=1","No Title Assigned - #15279640405")</f>
        <v/>
      </c>
      <c r="B1074" s="0" t="s">
        <v>1057</v>
      </c>
      <c r="E1074" s="0" t="s">
        <v>12</v>
      </c>
      <c r="F1074" s="0" t="s">
        <v>12</v>
      </c>
      <c r="G1074" s="0" t="s">
        <v>17</v>
      </c>
      <c r="I1074" s="5">
        <v>153255.470000</v>
      </c>
      <c r="J1074" s="5">
        <v>12.000000</v>
      </c>
    </row>
    <row r="1075" spans="1:11">
      <c r="A1075" s="22" t="str">
        <f>HYPERLINK("https://app.vivvix.com/360/KMI/IntelliDrive/ApplUI/Pages/CreativePages/CustomReportCreativeDetail.aspx?App=23&amp;ReportView=4&amp;Qid=1696098&amp;Row=1067&amp;Col=1","No Title Assigned - #15279640408")</f>
        <v/>
      </c>
      <c r="B1075" s="0" t="s">
        <v>1058</v>
      </c>
      <c r="E1075" s="0" t="s">
        <v>12</v>
      </c>
      <c r="F1075" s="0" t="s">
        <v>12</v>
      </c>
      <c r="G1075" s="0" t="s">
        <v>17</v>
      </c>
      <c r="I1075" s="5">
        <v>97642.207000</v>
      </c>
      <c r="J1075" s="5">
        <v>9.000000</v>
      </c>
    </row>
    <row r="1076" spans="1:11">
      <c r="A1076" s="22" t="str">
        <f>HYPERLINK("https://app.vivvix.com/360/KMI/IntelliDrive/ApplUI/Pages/CreativePages/CustomReportCreativeDetail.aspx?App=23&amp;ReportView=4&amp;Qid=1696098&amp;Row=1068&amp;Col=1","No Title Assigned - #15279644603")</f>
        <v/>
      </c>
      <c r="B1076" s="0" t="s">
        <v>1059</v>
      </c>
      <c r="E1076" s="0" t="s">
        <v>12</v>
      </c>
      <c r="F1076" s="0" t="s">
        <v>12</v>
      </c>
      <c r="G1076" s="0" t="s">
        <v>204</v>
      </c>
      <c r="I1076" s="5">
        <v>73.984300</v>
      </c>
      <c r="J1076" s="5">
        <v>1.000000</v>
      </c>
    </row>
    <row r="1077" spans="1:11">
      <c r="A1077" s="22" t="str">
        <f>HYPERLINK("https://app.vivvix.com/360/KMI/IntelliDrive/ApplUI/Pages/CreativePages/CustomReportCreativeDetail.aspx?App=23&amp;ReportView=4&amp;Qid=1696098&amp;Row=1069&amp;Col=1","No Title Assigned - #15279644604")</f>
        <v/>
      </c>
      <c r="B1077" s="0" t="s">
        <v>1060</v>
      </c>
      <c r="E1077" s="0" t="s">
        <v>12</v>
      </c>
      <c r="F1077" s="0" t="s">
        <v>12</v>
      </c>
      <c r="G1077" s="0" t="s">
        <v>204</v>
      </c>
      <c r="I1077" s="5">
        <v>73.984300</v>
      </c>
      <c r="J1077" s="5">
        <v>1.000000</v>
      </c>
    </row>
    <row r="1078" spans="1:11">
      <c r="A1078" s="22" t="str">
        <f>HYPERLINK("https://app.vivvix.com/360/KMI/IntelliDrive/ApplUI/Pages/CreativePages/CustomReportCreativeDetail.aspx?App=23&amp;ReportView=4&amp;Qid=1696098&amp;Row=1070&amp;Col=1","No Title Assigned - #15279646390")</f>
        <v/>
      </c>
      <c r="B1078" s="0" t="s">
        <v>1061</v>
      </c>
      <c r="E1078" s="0" t="s">
        <v>12</v>
      </c>
      <c r="F1078" s="0" t="s">
        <v>12</v>
      </c>
      <c r="G1078" s="0" t="s">
        <v>204</v>
      </c>
      <c r="I1078" s="5">
        <v>41.218600</v>
      </c>
      <c r="J1078" s="5">
        <v>1.000000</v>
      </c>
    </row>
    <row r="1079" spans="1:11">
      <c r="A1079" s="22" t="str">
        <f>HYPERLINK("https://app.vivvix.com/360/KMI/IntelliDrive/ApplUI/Pages/CreativePages/CustomReportCreativeDetail.aspx?App=23&amp;ReportView=4&amp;Qid=1696098&amp;Row=1071&amp;Col=1","No Title Assigned - #15279647823")</f>
        <v/>
      </c>
      <c r="B1079" s="0" t="s">
        <v>1062</v>
      </c>
      <c r="E1079" s="0" t="s">
        <v>12</v>
      </c>
      <c r="F1079" s="0" t="s">
        <v>12</v>
      </c>
      <c r="G1079" s="0" t="s">
        <v>204</v>
      </c>
      <c r="I1079" s="5">
        <v>97.867800</v>
      </c>
      <c r="J1079" s="5">
        <v>1.000000</v>
      </c>
    </row>
    <row r="1080" spans="1:11">
      <c r="A1080" s="22" t="str">
        <f>HYPERLINK("https://app.vivvix.com/360/KMI/IntelliDrive/ApplUI/Pages/CreativePages/CustomReportCreativeDetail.aspx?App=23&amp;ReportView=4&amp;Qid=1696098&amp;Row=1072&amp;Col=1","No Title Assigned - #15279647844")</f>
        <v/>
      </c>
      <c r="B1080" s="0" t="s">
        <v>1063</v>
      </c>
      <c r="E1080" s="0" t="s">
        <v>12</v>
      </c>
      <c r="F1080" s="0" t="s">
        <v>12</v>
      </c>
      <c r="G1080" s="0" t="s">
        <v>204</v>
      </c>
      <c r="I1080" s="5">
        <v>97.867800</v>
      </c>
      <c r="J1080" s="5">
        <v>1.000000</v>
      </c>
    </row>
    <row r="1081" spans="1:11">
      <c r="A1081" s="22" t="str">
        <f>HYPERLINK("https://app.vivvix.com/360/KMI/IntelliDrive/ApplUI/Pages/CreativePages/CustomReportCreativeDetail.aspx?App=23&amp;ReportView=4&amp;Qid=1696098&amp;Row=1073&amp;Col=1","No Title Assigned - #15279647853")</f>
        <v/>
      </c>
      <c r="B1081" s="0" t="s">
        <v>1064</v>
      </c>
      <c r="E1081" s="0" t="s">
        <v>12</v>
      </c>
      <c r="F1081" s="0" t="s">
        <v>12</v>
      </c>
      <c r="G1081" s="0" t="s">
        <v>204</v>
      </c>
      <c r="I1081" s="5">
        <v>97.867800</v>
      </c>
      <c r="J1081" s="5">
        <v>1.000000</v>
      </c>
    </row>
    <row r="1082" spans="1:11">
      <c r="A1082" s="22" t="str">
        <f>HYPERLINK("https://app.vivvix.com/360/KMI/IntelliDrive/ApplUI/Pages/CreativePages/CustomReportCreativeDetail.aspx?App=23&amp;ReportView=4&amp;Qid=1696098&amp;Row=1074&amp;Col=1","No Title Assigned - #15279658073")</f>
        <v/>
      </c>
      <c r="B1082" s="0" t="s">
        <v>1065</v>
      </c>
      <c r="E1082" s="0" t="s">
        <v>12</v>
      </c>
      <c r="F1082" s="0" t="s">
        <v>12</v>
      </c>
      <c r="G1082" s="0" t="s">
        <v>17</v>
      </c>
      <c r="I1082" s="5">
        <v>9.463000</v>
      </c>
      <c r="J1082" s="5">
        <v>2.000000</v>
      </c>
    </row>
    <row r="1083" spans="1:11">
      <c r="A1083" s="22" t="str">
        <f>HYPERLINK("https://app.vivvix.com/360/KMI/IntelliDrive/ApplUI/Pages/CreativePages/CustomReportCreativeDetail.aspx?App=23&amp;ReportView=4&amp;Qid=1696098&amp;Row=1075&amp;Col=1","No Title Assigned - #15279667620")</f>
        <v/>
      </c>
      <c r="B1083" s="0" t="s">
        <v>1066</v>
      </c>
      <c r="E1083" s="0" t="s">
        <v>12</v>
      </c>
      <c r="F1083" s="0" t="s">
        <v>12</v>
      </c>
      <c r="G1083" s="0" t="s">
        <v>204</v>
      </c>
      <c r="I1083" s="5">
        <v>73.984300</v>
      </c>
      <c r="J1083" s="5">
        <v>1.000000</v>
      </c>
    </row>
    <row r="1084" spans="1:11">
      <c r="A1084" s="22" t="str">
        <f>HYPERLINK("https://app.vivvix.com/360/KMI/IntelliDrive/ApplUI/Pages/CreativePages/CustomReportCreativeDetail.aspx?App=23&amp;ReportView=4&amp;Qid=1696098&amp;Row=1076&amp;Col=1","No Title Assigned - #15279667621")</f>
        <v/>
      </c>
      <c r="B1084" s="0" t="s">
        <v>1067</v>
      </c>
      <c r="E1084" s="0" t="s">
        <v>12</v>
      </c>
      <c r="F1084" s="0" t="s">
        <v>12</v>
      </c>
      <c r="G1084" s="0" t="s">
        <v>204</v>
      </c>
      <c r="I1084" s="5">
        <v>73.984300</v>
      </c>
      <c r="J1084" s="5">
        <v>1.000000</v>
      </c>
    </row>
    <row r="1085" spans="1:11">
      <c r="A1085" s="22" t="str">
        <f>HYPERLINK("https://app.vivvix.com/360/KMI/IntelliDrive/ApplUI/Pages/CreativePages/CustomReportCreativeDetail.aspx?App=23&amp;ReportView=4&amp;Qid=1696098&amp;Row=1077&amp;Col=1","No Title Assigned - #15279691667")</f>
        <v/>
      </c>
      <c r="B1085" s="0" t="s">
        <v>1068</v>
      </c>
      <c r="E1085" s="0" t="s">
        <v>12</v>
      </c>
      <c r="F1085" s="0" t="s">
        <v>12</v>
      </c>
      <c r="G1085" s="0" t="s">
        <v>204</v>
      </c>
      <c r="I1085" s="5">
        <v>412.063300</v>
      </c>
      <c r="J1085" s="5">
        <v>1.000000</v>
      </c>
    </row>
    <row r="1086" spans="1:11">
      <c r="A1086" s="22" t="str">
        <f>HYPERLINK("https://app.vivvix.com/360/KMI/IntelliDrive/ApplUI/Pages/CreativePages/CustomReportCreativeDetail.aspx?App=23&amp;ReportView=4&amp;Qid=1696098&amp;Row=1078&amp;Col=1","No Title Assigned - #15279700748")</f>
        <v/>
      </c>
      <c r="B1086" s="0" t="s">
        <v>1069</v>
      </c>
      <c r="E1086" s="0" t="s">
        <v>12</v>
      </c>
      <c r="F1086" s="0" t="s">
        <v>12</v>
      </c>
      <c r="G1086" s="0" t="s">
        <v>17</v>
      </c>
      <c r="I1086" s="5">
        <v>1159.542000</v>
      </c>
      <c r="J1086" s="5">
        <v>5.000000</v>
      </c>
    </row>
    <row r="1087" spans="1:11">
      <c r="A1087" s="22" t="str">
        <f>HYPERLINK("https://app.vivvix.com/360/KMI/IntelliDrive/ApplUI/Pages/CreativePages/CustomReportCreativeDetail.aspx?App=23&amp;ReportView=4&amp;Qid=1696098&amp;Row=1079&amp;Col=1","No Title Assigned - #15279704009")</f>
        <v/>
      </c>
      <c r="B1087" s="0" t="s">
        <v>1070</v>
      </c>
      <c r="E1087" s="0" t="s">
        <v>12</v>
      </c>
      <c r="F1087" s="0" t="s">
        <v>12</v>
      </c>
      <c r="G1087" s="0" t="s">
        <v>204</v>
      </c>
      <c r="I1087" s="5">
        <v>41.218600</v>
      </c>
      <c r="J1087" s="5">
        <v>1.000000</v>
      </c>
    </row>
    <row r="1088" spans="1:11">
      <c r="A1088" s="22" t="str">
        <f>HYPERLINK("https://app.vivvix.com/360/KMI/IntelliDrive/ApplUI/Pages/CreativePages/CustomReportCreativeDetail.aspx?App=23&amp;ReportView=4&amp;Qid=1696098&amp;Row=1080&amp;Col=1","No Title Assigned - #15279704835")</f>
        <v/>
      </c>
      <c r="B1088" s="0" t="s">
        <v>1071</v>
      </c>
      <c r="E1088" s="0" t="s">
        <v>12</v>
      </c>
      <c r="F1088" s="0" t="s">
        <v>12</v>
      </c>
      <c r="G1088" s="0" t="s">
        <v>204</v>
      </c>
      <c r="I1088" s="5">
        <v>503.527700</v>
      </c>
      <c r="J1088" s="5">
        <v>1.000000</v>
      </c>
    </row>
    <row r="1089" spans="1:11">
      <c r="A1089" s="22" t="str">
        <f>HYPERLINK("https://app.vivvix.com/360/KMI/IntelliDrive/ApplUI/Pages/CreativePages/CustomReportCreativeDetail.aspx?App=23&amp;ReportView=4&amp;Qid=1696098&amp;Row=1081&amp;Col=1","No Title Assigned - #15279705473")</f>
        <v/>
      </c>
      <c r="B1089" s="0" t="s">
        <v>1072</v>
      </c>
      <c r="E1089" s="0" t="s">
        <v>12</v>
      </c>
      <c r="F1089" s="0" t="s">
        <v>12</v>
      </c>
      <c r="G1089" s="0" t="s">
        <v>204</v>
      </c>
      <c r="I1089" s="5">
        <v>239.704100</v>
      </c>
      <c r="J1089" s="5">
        <v>1.000000</v>
      </c>
    </row>
    <row r="1090" spans="1:11">
      <c r="A1090" s="22" t="str">
        <f>HYPERLINK("https://app.vivvix.com/360/KMI/IntelliDrive/ApplUI/Pages/CreativePages/CustomReportCreativeDetail.aspx?App=23&amp;ReportView=4&amp;Qid=1696098&amp;Row=1082&amp;Col=1","No Title Assigned - #15279713001")</f>
        <v/>
      </c>
      <c r="B1090" s="0" t="s">
        <v>1073</v>
      </c>
      <c r="E1090" s="0" t="s">
        <v>12</v>
      </c>
      <c r="F1090" s="0" t="s">
        <v>12</v>
      </c>
      <c r="G1090" s="0" t="s">
        <v>204</v>
      </c>
      <c r="I1090" s="5">
        <v>97.867800</v>
      </c>
      <c r="J1090" s="5">
        <v>1.000000</v>
      </c>
    </row>
    <row r="1091" spans="1:11">
      <c r="A1091" s="22" t="str">
        <f>HYPERLINK("https://app.vivvix.com/360/KMI/IntelliDrive/ApplUI/Pages/CreativePages/CustomReportCreativeDetail.aspx?App=23&amp;ReportView=4&amp;Qid=1696098&amp;Row=1083&amp;Col=1","No Title Assigned - #15279713015")</f>
        <v/>
      </c>
      <c r="B1091" s="0" t="s">
        <v>1074</v>
      </c>
      <c r="E1091" s="0" t="s">
        <v>12</v>
      </c>
      <c r="F1091" s="0" t="s">
        <v>12</v>
      </c>
      <c r="G1091" s="0" t="s">
        <v>204</v>
      </c>
      <c r="I1091" s="5">
        <v>2688.569200</v>
      </c>
      <c r="J1091" s="5">
        <v>2.000000</v>
      </c>
    </row>
    <row r="1092" spans="1:11">
      <c r="A1092" s="22" t="str">
        <f>HYPERLINK("https://app.vivvix.com/360/KMI/IntelliDrive/ApplUI/Pages/CreativePages/CustomReportCreativeDetail.aspx?App=23&amp;ReportView=4&amp;Qid=1696098&amp;Row=1084&amp;Col=1","No Title Assigned - #15279713039")</f>
        <v/>
      </c>
      <c r="B1092" s="0" t="s">
        <v>1075</v>
      </c>
      <c r="E1092" s="0" t="s">
        <v>12</v>
      </c>
      <c r="F1092" s="0" t="s">
        <v>12</v>
      </c>
      <c r="G1092" s="0" t="s">
        <v>204</v>
      </c>
      <c r="I1092" s="5">
        <v>3356.146600</v>
      </c>
      <c r="J1092" s="5">
        <v>2.000000</v>
      </c>
    </row>
    <row r="1093" spans="1:11">
      <c r="A1093" s="22" t="str">
        <f>HYPERLINK("https://app.vivvix.com/360/KMI/IntelliDrive/ApplUI/Pages/CreativePages/CustomReportCreativeDetail.aspx?App=23&amp;ReportView=4&amp;Qid=1696098&amp;Row=1085&amp;Col=1","No Title Assigned - #15279745797")</f>
        <v/>
      </c>
      <c r="B1093" s="0" t="s">
        <v>1076</v>
      </c>
      <c r="E1093" s="0" t="s">
        <v>12</v>
      </c>
      <c r="F1093" s="0" t="s">
        <v>12</v>
      </c>
      <c r="G1093" s="0" t="s">
        <v>204</v>
      </c>
      <c r="I1093" s="5">
        <v>6967.743200</v>
      </c>
      <c r="J1093" s="5">
        <v>1.000000</v>
      </c>
    </row>
    <row r="1094" spans="1:11">
      <c r="A1094" s="22" t="str">
        <f>HYPERLINK("https://app.vivvix.com/360/KMI/IntelliDrive/ApplUI/Pages/CreativePages/CustomReportCreativeDetail.aspx?App=23&amp;ReportView=4&amp;Qid=1696098&amp;Row=1086&amp;Col=1","No Title Assigned - #15279751176")</f>
        <v/>
      </c>
      <c r="B1094" s="0" t="s">
        <v>1077</v>
      </c>
      <c r="E1094" s="0" t="s">
        <v>12</v>
      </c>
      <c r="F1094" s="0" t="s">
        <v>12</v>
      </c>
      <c r="G1094" s="0" t="s">
        <v>204</v>
      </c>
      <c r="I1094" s="5">
        <v>935.175300</v>
      </c>
      <c r="J1094" s="5">
        <v>1.000000</v>
      </c>
    </row>
    <row r="1095" spans="1:11">
      <c r="A1095" s="22" t="str">
        <f>HYPERLINK("https://app.vivvix.com/360/KMI/IntelliDrive/ApplUI/Pages/CreativePages/CustomReportCreativeDetail.aspx?App=23&amp;ReportView=4&amp;Qid=1696098&amp;Row=1087&amp;Col=1","No Title Assigned - #15279755298")</f>
        <v/>
      </c>
      <c r="B1095" s="0" t="s">
        <v>1078</v>
      </c>
      <c r="E1095" s="0" t="s">
        <v>12</v>
      </c>
      <c r="F1095" s="0" t="s">
        <v>12</v>
      </c>
      <c r="G1095" s="0" t="s">
        <v>204</v>
      </c>
      <c r="I1095" s="5">
        <v>5454.211400</v>
      </c>
      <c r="J1095" s="5">
        <v>1.000000</v>
      </c>
    </row>
    <row r="1096" spans="1:11">
      <c r="A1096" s="22" t="str">
        <f>HYPERLINK("https://app.vivvix.com/360/KMI/IntelliDrive/ApplUI/Pages/CreativePages/CustomReportCreativeDetail.aspx?App=23&amp;ReportView=4&amp;Qid=1696098&amp;Row=1088&amp;Col=1","No Title Assigned - #15279774035")</f>
        <v/>
      </c>
      <c r="B1096" s="0" t="s">
        <v>1079</v>
      </c>
      <c r="E1096" s="0" t="s">
        <v>12</v>
      </c>
      <c r="F1096" s="0" t="s">
        <v>12</v>
      </c>
      <c r="G1096" s="0" t="s">
        <v>17</v>
      </c>
      <c r="I1096" s="5">
        <v>49.340000</v>
      </c>
      <c r="J1096" s="5">
        <v>7.000000</v>
      </c>
    </row>
    <row r="1097" spans="1:11">
      <c r="A1097" s="22" t="str">
        <f>HYPERLINK("https://app.vivvix.com/360/KMI/IntelliDrive/ApplUI/Pages/CreativePages/CustomReportCreativeDetail.aspx?App=23&amp;ReportView=4&amp;Qid=1696098&amp;Row=1089&amp;Col=1","No Title Assigned - #15279806100")</f>
        <v/>
      </c>
      <c r="B1097" s="0" t="s">
        <v>1080</v>
      </c>
      <c r="E1097" s="0" t="s">
        <v>12</v>
      </c>
      <c r="F1097" s="0" t="s">
        <v>12</v>
      </c>
      <c r="G1097" s="0" t="s">
        <v>17</v>
      </c>
      <c r="I1097" s="5">
        <v>5.723000</v>
      </c>
      <c r="J1097" s="5">
        <v>1.000000</v>
      </c>
    </row>
    <row r="1098" spans="1:11">
      <c r="A1098" s="22" t="str">
        <f>HYPERLINK("https://app.vivvix.com/360/KMI/IntelliDrive/ApplUI/Pages/CreativePages/CustomReportCreativeDetail.aspx?App=23&amp;ReportView=4&amp;Qid=1696098&amp;Row=1090&amp;Col=1","No Title Assigned - #15279809413")</f>
        <v/>
      </c>
      <c r="B1098" s="0" t="s">
        <v>1081</v>
      </c>
      <c r="E1098" s="0" t="s">
        <v>12</v>
      </c>
      <c r="F1098" s="0" t="s">
        <v>12</v>
      </c>
      <c r="G1098" s="0" t="s">
        <v>204</v>
      </c>
      <c r="I1098" s="5">
        <v>590.740000</v>
      </c>
      <c r="J1098" s="5">
        <v>1.000000</v>
      </c>
    </row>
    <row r="1099" spans="1:11">
      <c r="A1099" s="22" t="str">
        <f>HYPERLINK("https://app.vivvix.com/360/KMI/IntelliDrive/ApplUI/Pages/CreativePages/CustomReportCreativeDetail.aspx?App=23&amp;ReportView=4&amp;Qid=1696098&amp;Row=1091&amp;Col=1","No Title Assigned - #15279812550")</f>
        <v/>
      </c>
      <c r="B1099" s="0" t="s">
        <v>1082</v>
      </c>
      <c r="E1099" s="0" t="s">
        <v>12</v>
      </c>
      <c r="F1099" s="0" t="s">
        <v>12</v>
      </c>
      <c r="G1099" s="0" t="s">
        <v>204</v>
      </c>
      <c r="I1099" s="5">
        <v>1940.318400</v>
      </c>
      <c r="J1099" s="5">
        <v>1.000000</v>
      </c>
    </row>
    <row r="1100" spans="1:11">
      <c r="A1100" s="22" t="str">
        <f>HYPERLINK("https://app.vivvix.com/360/KMI/IntelliDrive/ApplUI/Pages/CreativePages/CustomReportCreativeDetail.aspx?App=23&amp;ReportView=4&amp;Qid=1696098&amp;Row=1092&amp;Col=1","No Title Assigned - #15279812558")</f>
        <v/>
      </c>
      <c r="B1100" s="0" t="s">
        <v>1083</v>
      </c>
      <c r="E1100" s="0" t="s">
        <v>12</v>
      </c>
      <c r="F1100" s="0" t="s">
        <v>12</v>
      </c>
      <c r="G1100" s="0" t="s">
        <v>204</v>
      </c>
      <c r="I1100" s="5">
        <v>4123.614300</v>
      </c>
      <c r="J1100" s="5">
        <v>1.000000</v>
      </c>
    </row>
    <row r="1101" spans="1:11">
      <c r="A1101" s="22" t="str">
        <f>HYPERLINK("https://app.vivvix.com/360/KMI/IntelliDrive/ApplUI/Pages/CreativePages/CustomReportCreativeDetail.aspx?App=23&amp;ReportView=4&amp;Qid=1696098&amp;Row=1093&amp;Col=1","No Title Assigned - #15279812560")</f>
        <v/>
      </c>
      <c r="B1101" s="0" t="s">
        <v>1084</v>
      </c>
      <c r="E1101" s="0" t="s">
        <v>12</v>
      </c>
      <c r="F1101" s="0" t="s">
        <v>12</v>
      </c>
      <c r="G1101" s="0" t="s">
        <v>204</v>
      </c>
      <c r="I1101" s="5">
        <v>12370.842900</v>
      </c>
      <c r="J1101" s="5">
        <v>3.000000</v>
      </c>
    </row>
    <row r="1102" spans="1:11">
      <c r="A1102" s="22" t="str">
        <f>HYPERLINK("https://app.vivvix.com/360/KMI/IntelliDrive/ApplUI/Pages/CreativePages/CustomReportCreativeDetail.aspx?App=23&amp;ReportView=4&amp;Qid=1696098&amp;Row=1094&amp;Col=1","No Title Assigned - #15279812567")</f>
        <v/>
      </c>
      <c r="B1102" s="0" t="s">
        <v>1085</v>
      </c>
      <c r="E1102" s="0" t="s">
        <v>12</v>
      </c>
      <c r="F1102" s="0" t="s">
        <v>12</v>
      </c>
      <c r="G1102" s="0" t="s">
        <v>204</v>
      </c>
      <c r="I1102" s="5">
        <v>4123.614300</v>
      </c>
      <c r="J1102" s="5">
        <v>1.000000</v>
      </c>
    </row>
    <row r="1103" spans="1:11">
      <c r="A1103" s="22" t="str">
        <f>HYPERLINK("https://app.vivvix.com/360/KMI/IntelliDrive/ApplUI/Pages/CreativePages/CustomReportCreativeDetail.aspx?App=23&amp;ReportView=4&amp;Qid=1696098&amp;Row=1095&amp;Col=1","No Title Assigned - #15279812585")</f>
        <v/>
      </c>
      <c r="B1103" s="0" t="s">
        <v>1086</v>
      </c>
      <c r="E1103" s="0" t="s">
        <v>12</v>
      </c>
      <c r="F1103" s="0" t="s">
        <v>12</v>
      </c>
      <c r="G1103" s="0" t="s">
        <v>17</v>
      </c>
      <c r="I1103" s="5">
        <v>1212.536000</v>
      </c>
      <c r="J1103" s="5">
        <v>4.000000</v>
      </c>
    </row>
    <row r="1104" spans="1:11">
      <c r="A1104" s="22" t="str">
        <f>HYPERLINK("https://app.vivvix.com/360/KMI/IntelliDrive/ApplUI/Pages/CreativePages/CustomReportCreativeDetail.aspx?App=23&amp;ReportView=4&amp;Qid=1696098&amp;Row=1096&amp;Col=1","No Title Assigned - #15279812588")</f>
        <v/>
      </c>
      <c r="B1104" s="0" t="s">
        <v>1087</v>
      </c>
      <c r="E1104" s="0" t="s">
        <v>12</v>
      </c>
      <c r="F1104" s="0" t="s">
        <v>12</v>
      </c>
      <c r="G1104" s="0" t="s">
        <v>17</v>
      </c>
      <c r="I1104" s="5">
        <v>3380.441000</v>
      </c>
      <c r="J1104" s="5">
        <v>3.000000</v>
      </c>
    </row>
    <row r="1105" spans="1:11">
      <c r="A1105" s="22" t="str">
        <f>HYPERLINK("https://app.vivvix.com/360/KMI/IntelliDrive/ApplUI/Pages/CreativePages/CustomReportCreativeDetail.aspx?App=23&amp;ReportView=4&amp;Qid=1696098&amp;Row=1097&amp;Col=1","No Title Assigned - #15279812589")</f>
        <v/>
      </c>
      <c r="B1105" s="0" t="s">
        <v>1088</v>
      </c>
      <c r="E1105" s="0" t="s">
        <v>12</v>
      </c>
      <c r="F1105" s="0" t="s">
        <v>12</v>
      </c>
      <c r="G1105" s="0" t="s">
        <v>17</v>
      </c>
      <c r="I1105" s="5">
        <v>16858.322000</v>
      </c>
      <c r="J1105" s="5">
        <v>2.000000</v>
      </c>
    </row>
    <row r="1106" spans="1:11">
      <c r="A1106" s="22" t="str">
        <f>HYPERLINK("https://app.vivvix.com/360/KMI/IntelliDrive/ApplUI/Pages/CreativePages/CustomReportCreativeDetail.aspx?App=23&amp;ReportView=4&amp;Qid=1696098&amp;Row=1098&amp;Col=1","No Title Assigned - #15279838615")</f>
        <v/>
      </c>
      <c r="B1106" s="0" t="s">
        <v>1089</v>
      </c>
      <c r="E1106" s="0" t="s">
        <v>12</v>
      </c>
      <c r="F1106" s="0" t="s">
        <v>12</v>
      </c>
      <c r="G1106" s="0" t="s">
        <v>204</v>
      </c>
      <c r="I1106" s="5">
        <v>41.218600</v>
      </c>
      <c r="J1106" s="5">
        <v>1.000000</v>
      </c>
    </row>
    <row r="1107" spans="1:11">
      <c r="A1107" s="22" t="str">
        <f>HYPERLINK("https://app.vivvix.com/360/KMI/IntelliDrive/ApplUI/Pages/CreativePages/CustomReportCreativeDetail.aspx?App=23&amp;ReportView=4&amp;Qid=1696098&amp;Row=1099&amp;Col=1","No Title Assigned - #15279866551")</f>
        <v/>
      </c>
      <c r="B1107" s="0" t="s">
        <v>1090</v>
      </c>
      <c r="E1107" s="0" t="s">
        <v>12</v>
      </c>
      <c r="F1107" s="0" t="s">
        <v>12</v>
      </c>
      <c r="G1107" s="0" t="s">
        <v>204</v>
      </c>
      <c r="I1107" s="5">
        <v>41.218600</v>
      </c>
      <c r="J1107" s="5">
        <v>1.000000</v>
      </c>
    </row>
    <row r="1108" spans="1:11">
      <c r="A1108" s="22" t="str">
        <f>HYPERLINK("https://app.vivvix.com/360/KMI/IntelliDrive/ApplUI/Pages/CreativePages/CustomReportCreativeDetail.aspx?App=23&amp;ReportView=4&amp;Qid=1696098&amp;Row=1100&amp;Col=1","No Title Assigned - #15279866553")</f>
        <v/>
      </c>
      <c r="B1108" s="0" t="s">
        <v>1091</v>
      </c>
      <c r="E1108" s="0" t="s">
        <v>12</v>
      </c>
      <c r="F1108" s="0" t="s">
        <v>12</v>
      </c>
      <c r="G1108" s="0" t="s">
        <v>204</v>
      </c>
      <c r="I1108" s="5">
        <v>41.218600</v>
      </c>
      <c r="J1108" s="5">
        <v>1.000000</v>
      </c>
    </row>
    <row r="1109" spans="1:11">
      <c r="A1109" s="22" t="str">
        <f>HYPERLINK("https://app.vivvix.com/360/KMI/IntelliDrive/ApplUI/Pages/CreativePages/CustomReportCreativeDetail.aspx?App=23&amp;ReportView=4&amp;Qid=1696098&amp;Row=1101&amp;Col=1","No Title Assigned - #15279866837")</f>
        <v/>
      </c>
      <c r="B1109" s="0" t="s">
        <v>1092</v>
      </c>
      <c r="E1109" s="0" t="s">
        <v>12</v>
      </c>
      <c r="F1109" s="0" t="s">
        <v>12</v>
      </c>
      <c r="G1109" s="0" t="s">
        <v>204</v>
      </c>
      <c r="I1109" s="5">
        <v>8567.189500</v>
      </c>
      <c r="J1109" s="5">
        <v>3.000000</v>
      </c>
    </row>
    <row r="1110" spans="1:11">
      <c r="A1110" s="22" t="str">
        <f>HYPERLINK("https://app.vivvix.com/360/KMI/IntelliDrive/ApplUI/Pages/CreativePages/CustomReportCreativeDetail.aspx?App=23&amp;ReportView=4&amp;Qid=1696098&amp;Row=1102&amp;Col=1","No Title Assigned - #15279872699")</f>
        <v/>
      </c>
      <c r="B1110" s="0" t="s">
        <v>1093</v>
      </c>
      <c r="E1110" s="0" t="s">
        <v>12</v>
      </c>
      <c r="F1110" s="0" t="s">
        <v>12</v>
      </c>
      <c r="G1110" s="0" t="s">
        <v>17</v>
      </c>
      <c r="I1110" s="5">
        <v>12593.567000</v>
      </c>
      <c r="J1110" s="5">
        <v>3.000000</v>
      </c>
    </row>
    <row r="1111" spans="1:11">
      <c r="A1111" s="22" t="str">
        <f>HYPERLINK("https://app.vivvix.com/360/KMI/IntelliDrive/ApplUI/Pages/CreativePages/CustomReportCreativeDetail.aspx?App=23&amp;ReportView=4&amp;Qid=1696098&amp;Row=1103&amp;Col=1","No Title Assigned - #15279874141")</f>
        <v/>
      </c>
      <c r="B1111" s="0" t="s">
        <v>1094</v>
      </c>
      <c r="E1111" s="0" t="s">
        <v>12</v>
      </c>
      <c r="F1111" s="0" t="s">
        <v>12</v>
      </c>
      <c r="G1111" s="0" t="s">
        <v>204</v>
      </c>
      <c r="I1111" s="5">
        <v>200.419100</v>
      </c>
      <c r="J1111" s="5">
        <v>1.000000</v>
      </c>
    </row>
    <row r="1112" spans="1:11">
      <c r="A1112" s="22" t="str">
        <f>HYPERLINK("https://app.vivvix.com/360/KMI/IntelliDrive/ApplUI/Pages/CreativePages/CustomReportCreativeDetail.aspx?App=23&amp;ReportView=4&amp;Qid=1696098&amp;Row=1104&amp;Col=1","No Title Assigned - #15279876850")</f>
        <v/>
      </c>
      <c r="B1112" s="0" t="s">
        <v>1095</v>
      </c>
      <c r="E1112" s="0" t="s">
        <v>12</v>
      </c>
      <c r="F1112" s="0" t="s">
        <v>12</v>
      </c>
      <c r="G1112" s="0" t="s">
        <v>204</v>
      </c>
      <c r="I1112" s="5">
        <v>41.218600</v>
      </c>
      <c r="J1112" s="5">
        <v>1.000000</v>
      </c>
    </row>
    <row r="1113" spans="1:11">
      <c r="A1113" s="22" t="str">
        <f>HYPERLINK("https://app.vivvix.com/360/KMI/IntelliDrive/ApplUI/Pages/CreativePages/CustomReportCreativeDetail.aspx?App=23&amp;ReportView=4&amp;Qid=1696098&amp;Row=1105&amp;Col=1","No Title Assigned - #15279877095")</f>
        <v/>
      </c>
      <c r="B1113" s="0" t="s">
        <v>1096</v>
      </c>
      <c r="E1113" s="0" t="s">
        <v>12</v>
      </c>
      <c r="F1113" s="0" t="s">
        <v>12</v>
      </c>
      <c r="G1113" s="0" t="s">
        <v>204</v>
      </c>
      <c r="I1113" s="5">
        <v>123.655800</v>
      </c>
      <c r="J1113" s="5">
        <v>3.000000</v>
      </c>
    </row>
    <row r="1114" spans="1:11">
      <c r="A1114" s="22" t="str">
        <f>HYPERLINK("https://app.vivvix.com/360/KMI/IntelliDrive/ApplUI/Pages/CreativePages/CustomReportCreativeDetail.aspx?App=23&amp;ReportView=4&amp;Qid=1696098&amp;Row=1106&amp;Col=1","No Title Assigned - #15279892922")</f>
        <v/>
      </c>
      <c r="B1114" s="0" t="s">
        <v>1097</v>
      </c>
      <c r="E1114" s="0" t="s">
        <v>12</v>
      </c>
      <c r="F1114" s="0" t="s">
        <v>12</v>
      </c>
      <c r="G1114" s="0" t="s">
        <v>204</v>
      </c>
      <c r="I1114" s="5">
        <v>239.704100</v>
      </c>
      <c r="J1114" s="5">
        <v>1.000000</v>
      </c>
    </row>
    <row r="1115" spans="1:11">
      <c r="A1115" s="22" t="str">
        <f>HYPERLINK("https://app.vivvix.com/360/KMI/IntelliDrive/ApplUI/Pages/CreativePages/CustomReportCreativeDetail.aspx?App=23&amp;ReportView=4&amp;Qid=1696098&amp;Row=1107&amp;Col=1","No Title Assigned - #15279896474")</f>
        <v/>
      </c>
      <c r="B1115" s="0" t="s">
        <v>1098</v>
      </c>
      <c r="E1115" s="0" t="s">
        <v>12</v>
      </c>
      <c r="F1115" s="0" t="s">
        <v>12</v>
      </c>
      <c r="G1115" s="0" t="s">
        <v>204</v>
      </c>
      <c r="I1115" s="5">
        <v>886.183400</v>
      </c>
      <c r="J1115" s="5">
        <v>1.000000</v>
      </c>
    </row>
    <row r="1116" spans="1:11">
      <c r="A1116" s="22" t="str">
        <f>HYPERLINK("https://app.vivvix.com/360/KMI/IntelliDrive/ApplUI/Pages/CreativePages/CustomReportCreativeDetail.aspx?App=23&amp;ReportView=4&amp;Qid=1696098&amp;Row=1108&amp;Col=1","No Title Assigned - #15279898386")</f>
        <v/>
      </c>
      <c r="B1116" s="0" t="s">
        <v>1099</v>
      </c>
      <c r="E1116" s="0" t="s">
        <v>12</v>
      </c>
      <c r="F1116" s="0" t="s">
        <v>12</v>
      </c>
      <c r="G1116" s="0" t="s">
        <v>204</v>
      </c>
      <c r="I1116" s="5">
        <v>415.723600</v>
      </c>
      <c r="J1116" s="5">
        <v>1.000000</v>
      </c>
    </row>
    <row r="1117" spans="1:11">
      <c r="A1117" s="22" t="str">
        <f>HYPERLINK("https://app.vivvix.com/360/KMI/IntelliDrive/ApplUI/Pages/CreativePages/CustomReportCreativeDetail.aspx?App=23&amp;ReportView=4&amp;Qid=1696098&amp;Row=1109&amp;Col=1","No Title Assigned - #15279949562")</f>
        <v/>
      </c>
      <c r="B1117" s="0" t="s">
        <v>1100</v>
      </c>
      <c r="E1117" s="0" t="s">
        <v>12</v>
      </c>
      <c r="F1117" s="0" t="s">
        <v>12</v>
      </c>
      <c r="G1117" s="0" t="s">
        <v>204</v>
      </c>
      <c r="I1117" s="5">
        <v>716.301500</v>
      </c>
      <c r="J1117" s="5">
        <v>2.000000</v>
      </c>
    </row>
    <row r="1118" spans="1:11">
      <c r="A1118" s="22" t="str">
        <f>HYPERLINK("https://app.vivvix.com/360/KMI/IntelliDrive/ApplUI/Pages/CreativePages/CustomReportCreativeDetail.aspx?App=23&amp;ReportView=4&amp;Qid=1696098&amp;Row=1110&amp;Col=1","No Title Assigned - #15279952925")</f>
        <v/>
      </c>
      <c r="B1118" s="0" t="s">
        <v>1101</v>
      </c>
      <c r="E1118" s="0" t="s">
        <v>12</v>
      </c>
      <c r="F1118" s="0" t="s">
        <v>12</v>
      </c>
      <c r="G1118" s="0" t="s">
        <v>204</v>
      </c>
      <c r="I1118" s="5">
        <v>812.287000</v>
      </c>
      <c r="J1118" s="5">
        <v>1.000000</v>
      </c>
    </row>
    <row r="1119" spans="1:11">
      <c r="A1119" s="22" t="str">
        <f>HYPERLINK("https://app.vivvix.com/360/KMI/IntelliDrive/ApplUI/Pages/CreativePages/CustomReportCreativeDetail.aspx?App=23&amp;ReportView=4&amp;Qid=1696098&amp;Row=1111&amp;Col=1","No Title Assigned - #15280020863")</f>
        <v/>
      </c>
      <c r="B1119" s="0" t="s">
        <v>1102</v>
      </c>
      <c r="E1119" s="0" t="s">
        <v>12</v>
      </c>
      <c r="F1119" s="0" t="s">
        <v>12</v>
      </c>
      <c r="G1119" s="0" t="s">
        <v>17</v>
      </c>
      <c r="I1119" s="5">
        <v>32.397000</v>
      </c>
      <c r="J1119" s="5">
        <v>3.000000</v>
      </c>
    </row>
    <row r="1120" spans="1:11">
      <c r="A1120" s="22" t="str">
        <f>HYPERLINK("https://app.vivvix.com/360/KMI/IntelliDrive/ApplUI/Pages/CreativePages/CustomReportCreativeDetail.aspx?App=23&amp;ReportView=4&amp;Qid=1696098&amp;Row=1112&amp;Col=1","No Title Assigned - #15280037373")</f>
        <v/>
      </c>
      <c r="B1120" s="0" t="s">
        <v>1103</v>
      </c>
      <c r="E1120" s="0" t="s">
        <v>12</v>
      </c>
      <c r="F1120" s="0" t="s">
        <v>12</v>
      </c>
      <c r="G1120" s="0" t="s">
        <v>17</v>
      </c>
      <c r="I1120" s="5">
        <v>43.617000</v>
      </c>
      <c r="J1120" s="5">
        <v>6.000000</v>
      </c>
    </row>
    <row r="1121" spans="1:11">
      <c r="A1121" s="22" t="str">
        <f>HYPERLINK("https://app.vivvix.com/360/KMI/IntelliDrive/ApplUI/Pages/CreativePages/CustomReportCreativeDetail.aspx?App=23&amp;ReportView=4&amp;Qid=1696098&amp;Row=1113&amp;Col=1","No Title Assigned - #15280041623")</f>
        <v/>
      </c>
      <c r="B1121" s="0" t="s">
        <v>1104</v>
      </c>
      <c r="E1121" s="0" t="s">
        <v>12</v>
      </c>
      <c r="F1121" s="0" t="s">
        <v>12</v>
      </c>
      <c r="G1121" s="0" t="s">
        <v>204</v>
      </c>
      <c r="I1121" s="5">
        <v>522.507100</v>
      </c>
      <c r="J1121" s="5">
        <v>1.000000</v>
      </c>
    </row>
    <row r="1122" spans="1:11">
      <c r="A1122" s="22" t="str">
        <f>HYPERLINK("https://app.vivvix.com/360/KMI/IntelliDrive/ApplUI/Pages/CreativePages/CustomReportCreativeDetail.aspx?App=23&amp;ReportView=4&amp;Qid=1696098&amp;Row=1114&amp;Col=1","No Title Assigned - #15280048594")</f>
        <v/>
      </c>
      <c r="B1122" s="0" t="s">
        <v>1105</v>
      </c>
      <c r="E1122" s="0" t="s">
        <v>12</v>
      </c>
      <c r="F1122" s="0" t="s">
        <v>12</v>
      </c>
      <c r="G1122" s="0" t="s">
        <v>204</v>
      </c>
      <c r="I1122" s="5">
        <v>150.001600</v>
      </c>
      <c r="J1122" s="5">
        <v>2.000000</v>
      </c>
    </row>
    <row r="1123" spans="1:11">
      <c r="A1123" s="22" t="str">
        <f>HYPERLINK("https://app.vivvix.com/360/KMI/IntelliDrive/ApplUI/Pages/CreativePages/CustomReportCreativeDetail.aspx?App=23&amp;ReportView=4&amp;Qid=1696098&amp;Row=1115&amp;Col=1","No Title Assigned - #15280105719")</f>
        <v/>
      </c>
      <c r="B1123" s="0" t="s">
        <v>1106</v>
      </c>
      <c r="E1123" s="0" t="s">
        <v>12</v>
      </c>
      <c r="F1123" s="0" t="s">
        <v>12</v>
      </c>
      <c r="G1123" s="0" t="s">
        <v>204</v>
      </c>
      <c r="I1123" s="5">
        <v>546.848800</v>
      </c>
      <c r="J1123" s="5">
        <v>1.000000</v>
      </c>
    </row>
    <row r="1124" spans="1:11">
      <c r="A1124" s="22" t="str">
        <f>HYPERLINK("https://app.vivvix.com/360/KMI/IntelliDrive/ApplUI/Pages/CreativePages/CustomReportCreativeDetail.aspx?App=23&amp;ReportView=4&amp;Qid=1696098&amp;Row=1116&amp;Col=1","No Title Assigned - #15280116679")</f>
        <v/>
      </c>
      <c r="B1124" s="0" t="s">
        <v>1107</v>
      </c>
      <c r="E1124" s="0" t="s">
        <v>12</v>
      </c>
      <c r="F1124" s="0" t="s">
        <v>12</v>
      </c>
      <c r="G1124" s="0" t="s">
        <v>204</v>
      </c>
      <c r="I1124" s="5">
        <v>54.899200</v>
      </c>
      <c r="J1124" s="5">
        <v>1.000000</v>
      </c>
    </row>
    <row r="1125" spans="1:11">
      <c r="A1125" s="22" t="str">
        <f>HYPERLINK("https://app.vivvix.com/360/KMI/IntelliDrive/ApplUI/Pages/CreativePages/CustomReportCreativeDetail.aspx?App=23&amp;ReportView=4&amp;Qid=1696098&amp;Row=1117&amp;Col=1","No Title Assigned - #15280132679")</f>
        <v/>
      </c>
      <c r="B1125" s="0" t="s">
        <v>1108</v>
      </c>
      <c r="E1125" s="0" t="s">
        <v>12</v>
      </c>
      <c r="F1125" s="0" t="s">
        <v>12</v>
      </c>
      <c r="G1125" s="0" t="s">
        <v>204</v>
      </c>
      <c r="I1125" s="5">
        <v>707.563400</v>
      </c>
      <c r="J1125" s="5">
        <v>1.000000</v>
      </c>
    </row>
    <row r="1126" spans="1:11">
      <c r="A1126" s="22" t="str">
        <f>HYPERLINK("https://app.vivvix.com/360/KMI/IntelliDrive/ApplUI/Pages/CreativePages/CustomReportCreativeDetail.aspx?App=23&amp;ReportView=4&amp;Qid=1696098&amp;Row=1118&amp;Col=1","No Title Assigned - #15280164760")</f>
        <v/>
      </c>
      <c r="B1126" s="0" t="s">
        <v>1109</v>
      </c>
      <c r="E1126" s="0" t="s">
        <v>12</v>
      </c>
      <c r="F1126" s="0" t="s">
        <v>12</v>
      </c>
      <c r="G1126" s="0" t="s">
        <v>17</v>
      </c>
      <c r="I1126" s="5">
        <v>21.598000</v>
      </c>
      <c r="J1126" s="5">
        <v>2.000000</v>
      </c>
    </row>
    <row r="1127" spans="1:11">
      <c r="A1127" s="22" t="str">
        <f>HYPERLINK("https://app.vivvix.com/360/KMI/IntelliDrive/ApplUI/Pages/CreativePages/CustomReportCreativeDetail.aspx?App=23&amp;ReportView=4&amp;Qid=1696098&amp;Row=1119&amp;Col=1","No Title Assigned - #15280185629")</f>
        <v/>
      </c>
      <c r="B1127" s="0" t="s">
        <v>1110</v>
      </c>
      <c r="E1127" s="0" t="s">
        <v>12</v>
      </c>
      <c r="F1127" s="0" t="s">
        <v>12</v>
      </c>
      <c r="G1127" s="0" t="s">
        <v>204</v>
      </c>
      <c r="I1127" s="5">
        <v>75.000800</v>
      </c>
      <c r="J1127" s="5">
        <v>1.000000</v>
      </c>
    </row>
    <row r="1128" spans="1:11">
      <c r="A1128" s="22" t="str">
        <f>HYPERLINK("https://app.vivvix.com/360/KMI/IntelliDrive/ApplUI/Pages/CreativePages/CustomReportCreativeDetail.aspx?App=23&amp;ReportView=4&amp;Qid=1696098&amp;Row=1120&amp;Col=1","No Title Assigned - #15280185668")</f>
        <v/>
      </c>
      <c r="B1128" s="0" t="s">
        <v>1111</v>
      </c>
      <c r="E1128" s="0" t="s">
        <v>12</v>
      </c>
      <c r="F1128" s="0" t="s">
        <v>12</v>
      </c>
      <c r="G1128" s="0" t="s">
        <v>204</v>
      </c>
      <c r="I1128" s="5">
        <v>75.000800</v>
      </c>
      <c r="J1128" s="5">
        <v>1.000000</v>
      </c>
    </row>
    <row r="1129" spans="1:11">
      <c r="A1129" s="22" t="str">
        <f>HYPERLINK("https://app.vivvix.com/360/KMI/IntelliDrive/ApplUI/Pages/CreativePages/CustomReportCreativeDetail.aspx?App=23&amp;ReportView=4&amp;Qid=1696098&amp;Row=1121&amp;Col=1","No Title Assigned - #15280188853")</f>
        <v/>
      </c>
      <c r="B1129" s="0" t="s">
        <v>1112</v>
      </c>
      <c r="E1129" s="0" t="s">
        <v>12</v>
      </c>
      <c r="F1129" s="0" t="s">
        <v>12</v>
      </c>
      <c r="G1129" s="0" t="s">
        <v>204</v>
      </c>
      <c r="I1129" s="5">
        <v>54.899200</v>
      </c>
      <c r="J1129" s="5">
        <v>1.000000</v>
      </c>
    </row>
    <row r="1130" spans="1:11">
      <c r="A1130" s="22" t="str">
        <f>HYPERLINK("https://app.vivvix.com/360/KMI/IntelliDrive/ApplUI/Pages/CreativePages/CustomReportCreativeDetail.aspx?App=23&amp;ReportView=4&amp;Qid=1696098&amp;Row=1122&amp;Col=1","No Title Assigned - #15280188855")</f>
        <v/>
      </c>
      <c r="B1130" s="0" t="s">
        <v>1113</v>
      </c>
      <c r="E1130" s="0" t="s">
        <v>12</v>
      </c>
      <c r="F1130" s="0" t="s">
        <v>12</v>
      </c>
      <c r="G1130" s="0" t="s">
        <v>204</v>
      </c>
      <c r="I1130" s="5">
        <v>54.899200</v>
      </c>
      <c r="J1130" s="5">
        <v>1.000000</v>
      </c>
    </row>
    <row r="1131" spans="1:11">
      <c r="A1131" s="22" t="str">
        <f>HYPERLINK("https://app.vivvix.com/360/KMI/IntelliDrive/ApplUI/Pages/CreativePages/CustomReportCreativeDetail.aspx?App=23&amp;ReportView=4&amp;Qid=1696098&amp;Row=1123&amp;Col=1","No Title Assigned - #15280193603")</f>
        <v/>
      </c>
      <c r="B1131" s="0" t="s">
        <v>1114</v>
      </c>
      <c r="E1131" s="0" t="s">
        <v>12</v>
      </c>
      <c r="F1131" s="0" t="s">
        <v>12</v>
      </c>
      <c r="G1131" s="0" t="s">
        <v>204</v>
      </c>
      <c r="I1131" s="5">
        <v>75.000800</v>
      </c>
      <c r="J1131" s="5">
        <v>1.000000</v>
      </c>
    </row>
    <row r="1132" spans="1:11">
      <c r="A1132" s="22" t="str">
        <f>HYPERLINK("https://app.vivvix.com/360/KMI/IntelliDrive/ApplUI/Pages/CreativePages/CustomReportCreativeDetail.aspx?App=23&amp;ReportView=4&amp;Qid=1696098&amp;Row=1124&amp;Col=1","No Title Assigned - #15280200811")</f>
        <v/>
      </c>
      <c r="B1132" s="0" t="s">
        <v>1115</v>
      </c>
      <c r="E1132" s="0" t="s">
        <v>12</v>
      </c>
      <c r="F1132" s="0" t="s">
        <v>12</v>
      </c>
      <c r="G1132" s="0" t="s">
        <v>204</v>
      </c>
      <c r="I1132" s="5">
        <v>4231.096200</v>
      </c>
      <c r="J1132" s="5">
        <v>1.000000</v>
      </c>
    </row>
    <row r="1133" spans="1:11">
      <c r="A1133" s="22" t="str">
        <f>HYPERLINK("https://app.vivvix.com/360/KMI/IntelliDrive/ApplUI/Pages/CreativePages/CustomReportCreativeDetail.aspx?App=23&amp;ReportView=4&amp;Qid=1696098&amp;Row=1125&amp;Col=1","No Title Assigned - #15280222833")</f>
        <v/>
      </c>
      <c r="B1133" s="0" t="s">
        <v>1116</v>
      </c>
      <c r="E1133" s="0" t="s">
        <v>12</v>
      </c>
      <c r="F1133" s="0" t="s">
        <v>12</v>
      </c>
      <c r="G1133" s="0" t="s">
        <v>204</v>
      </c>
      <c r="I1133" s="5">
        <v>150.001600</v>
      </c>
      <c r="J1133" s="5">
        <v>2.000000</v>
      </c>
    </row>
    <row r="1134" spans="1:11">
      <c r="A1134" s="22" t="str">
        <f>HYPERLINK("https://app.vivvix.com/360/KMI/IntelliDrive/ApplUI/Pages/CreativePages/CustomReportCreativeDetail.aspx?App=23&amp;ReportView=4&amp;Qid=1696098&amp;Row=1126&amp;Col=1","No Title Assigned - #15280223005")</f>
        <v/>
      </c>
      <c r="B1134" s="0" t="s">
        <v>1117</v>
      </c>
      <c r="E1134" s="0" t="s">
        <v>12</v>
      </c>
      <c r="F1134" s="0" t="s">
        <v>12</v>
      </c>
      <c r="G1134" s="0" t="s">
        <v>204</v>
      </c>
      <c r="I1134" s="5">
        <v>54.899200</v>
      </c>
      <c r="J1134" s="5">
        <v>1.000000</v>
      </c>
    </row>
    <row r="1135" spans="1:11">
      <c r="A1135" s="22" t="str">
        <f>HYPERLINK("https://app.vivvix.com/360/KMI/IntelliDrive/ApplUI/Pages/CreativePages/CustomReportCreativeDetail.aspx?App=23&amp;ReportView=4&amp;Qid=1696098&amp;Row=1127&amp;Col=1","No Title Assigned - #15280223006")</f>
        <v/>
      </c>
      <c r="B1135" s="0" t="s">
        <v>1118</v>
      </c>
      <c r="E1135" s="0" t="s">
        <v>12</v>
      </c>
      <c r="F1135" s="0" t="s">
        <v>12</v>
      </c>
      <c r="G1135" s="0" t="s">
        <v>204</v>
      </c>
      <c r="I1135" s="5">
        <v>54.899200</v>
      </c>
      <c r="J1135" s="5">
        <v>1.000000</v>
      </c>
    </row>
    <row r="1136" spans="1:11">
      <c r="A1136" s="22" t="str">
        <f>HYPERLINK("https://app.vivvix.com/360/KMI/IntelliDrive/ApplUI/Pages/CreativePages/CustomReportCreativeDetail.aspx?App=23&amp;ReportView=4&amp;Qid=1696098&amp;Row=1128&amp;Col=1","No Title Assigned - #15280223007")</f>
        <v/>
      </c>
      <c r="B1136" s="0" t="s">
        <v>1119</v>
      </c>
      <c r="E1136" s="0" t="s">
        <v>12</v>
      </c>
      <c r="F1136" s="0" t="s">
        <v>12</v>
      </c>
      <c r="G1136" s="0" t="s">
        <v>204</v>
      </c>
      <c r="I1136" s="5">
        <v>54.899200</v>
      </c>
      <c r="J1136" s="5">
        <v>1.000000</v>
      </c>
    </row>
    <row r="1137" spans="1:11">
      <c r="A1137" s="22" t="str">
        <f>HYPERLINK("https://app.vivvix.com/360/KMI/IntelliDrive/ApplUI/Pages/CreativePages/CustomReportCreativeDetail.aspx?App=23&amp;ReportView=4&amp;Qid=1696098&amp;Row=1129&amp;Col=1","No Title Assigned - #15280227508")</f>
        <v/>
      </c>
      <c r="B1137" s="0" t="s">
        <v>1120</v>
      </c>
      <c r="E1137" s="0" t="s">
        <v>12</v>
      </c>
      <c r="F1137" s="0" t="s">
        <v>12</v>
      </c>
      <c r="G1137" s="0" t="s">
        <v>204</v>
      </c>
      <c r="I1137" s="5">
        <v>295.331400</v>
      </c>
      <c r="J1137" s="5">
        <v>1.000000</v>
      </c>
    </row>
    <row r="1138" spans="1:11">
      <c r="A1138" s="22" t="str">
        <f>HYPERLINK("https://app.vivvix.com/360/KMI/IntelliDrive/ApplUI/Pages/CreativePages/CustomReportCreativeDetail.aspx?App=23&amp;ReportView=4&amp;Qid=1696098&amp;Row=1130&amp;Col=1","No Title Assigned - #15280267768")</f>
        <v/>
      </c>
      <c r="B1138" s="0" t="s">
        <v>1121</v>
      </c>
      <c r="E1138" s="0" t="s">
        <v>12</v>
      </c>
      <c r="F1138" s="0" t="s">
        <v>12</v>
      </c>
      <c r="G1138" s="0" t="s">
        <v>204</v>
      </c>
      <c r="I1138" s="5">
        <v>13219.986300</v>
      </c>
      <c r="J1138" s="5">
        <v>1.000000</v>
      </c>
    </row>
    <row r="1139" spans="1:11">
      <c r="A1139" s="22" t="str">
        <f>HYPERLINK("https://app.vivvix.com/360/KMI/IntelliDrive/ApplUI/Pages/CreativePages/CustomReportCreativeDetail.aspx?App=23&amp;ReportView=4&amp;Qid=1696098&amp;Row=1131&amp;Col=1","No Title Assigned - #15280296281")</f>
        <v/>
      </c>
      <c r="B1139" s="0" t="s">
        <v>1122</v>
      </c>
      <c r="E1139" s="0" t="s">
        <v>12</v>
      </c>
      <c r="F1139" s="0" t="s">
        <v>12</v>
      </c>
      <c r="G1139" s="0" t="s">
        <v>204</v>
      </c>
      <c r="I1139" s="5">
        <v>109.798400</v>
      </c>
      <c r="J1139" s="5">
        <v>2.000000</v>
      </c>
    </row>
    <row r="1140" spans="1:11">
      <c r="A1140" s="22" t="str">
        <f>HYPERLINK("https://app.vivvix.com/360/KMI/IntelliDrive/ApplUI/Pages/CreativePages/CustomReportCreativeDetail.aspx?App=23&amp;ReportView=4&amp;Qid=1696098&amp;Row=1132&amp;Col=1","No Title Assigned - #15280310023")</f>
        <v/>
      </c>
      <c r="B1140" s="0" t="s">
        <v>1123</v>
      </c>
      <c r="E1140" s="0" t="s">
        <v>12</v>
      </c>
      <c r="F1140" s="0" t="s">
        <v>12</v>
      </c>
      <c r="G1140" s="0" t="s">
        <v>204</v>
      </c>
      <c r="I1140" s="5">
        <v>2590.701400</v>
      </c>
      <c r="J1140" s="5">
        <v>1.000000</v>
      </c>
    </row>
    <row r="1141" spans="1:11">
      <c r="A1141" s="22" t="str">
        <f>HYPERLINK("https://app.vivvix.com/360/KMI/IntelliDrive/ApplUI/Pages/CreativePages/CustomReportCreativeDetail.aspx?App=23&amp;ReportView=4&amp;Qid=1696098&amp;Row=1133&amp;Col=1","No Title Assigned - #15280312876")</f>
        <v/>
      </c>
      <c r="B1141" s="0" t="s">
        <v>1124</v>
      </c>
      <c r="E1141" s="0" t="s">
        <v>12</v>
      </c>
      <c r="F1141" s="0" t="s">
        <v>12</v>
      </c>
      <c r="G1141" s="0" t="s">
        <v>204</v>
      </c>
      <c r="I1141" s="5">
        <v>75.000800</v>
      </c>
      <c r="J1141" s="5">
        <v>1.000000</v>
      </c>
    </row>
    <row r="1142" spans="1:11">
      <c r="A1142" s="22" t="str">
        <f>HYPERLINK("https://app.vivvix.com/360/KMI/IntelliDrive/ApplUI/Pages/CreativePages/CustomReportCreativeDetail.aspx?App=23&amp;ReportView=4&amp;Qid=1696098&amp;Row=1134&amp;Col=1","No Title Assigned - #15280313673")</f>
        <v/>
      </c>
      <c r="B1142" s="0" t="s">
        <v>1125</v>
      </c>
      <c r="E1142" s="0" t="s">
        <v>12</v>
      </c>
      <c r="F1142" s="0" t="s">
        <v>12</v>
      </c>
      <c r="G1142" s="0" t="s">
        <v>204</v>
      </c>
      <c r="I1142" s="5">
        <v>592.756300</v>
      </c>
      <c r="J1142" s="5">
        <v>1.000000</v>
      </c>
    </row>
    <row r="1143" spans="1:11">
      <c r="A1143" s="22" t="str">
        <f>HYPERLINK("https://app.vivvix.com/360/KMI/IntelliDrive/ApplUI/Pages/CreativePages/CustomReportCreativeDetail.aspx?App=23&amp;ReportView=4&amp;Qid=1696098&amp;Row=1135&amp;Col=1","No Title Assigned - #15280348480")</f>
        <v/>
      </c>
      <c r="B1143" s="0" t="s">
        <v>1126</v>
      </c>
      <c r="E1143" s="0" t="s">
        <v>12</v>
      </c>
      <c r="F1143" s="0" t="s">
        <v>12</v>
      </c>
      <c r="G1143" s="0" t="s">
        <v>204</v>
      </c>
      <c r="I1143" s="5">
        <v>245.137200</v>
      </c>
      <c r="J1143" s="5">
        <v>2.000000</v>
      </c>
    </row>
    <row r="1144" spans="1:11">
      <c r="A1144" s="22" t="str">
        <f>HYPERLINK("https://app.vivvix.com/360/KMI/IntelliDrive/ApplUI/Pages/CreativePages/CustomReportCreativeDetail.aspx?App=23&amp;ReportView=4&amp;Qid=1696098&amp;Row=1136&amp;Col=1","No Title Assigned - #15280350378")</f>
        <v/>
      </c>
      <c r="B1144" s="0" t="s">
        <v>1127</v>
      </c>
      <c r="E1144" s="0" t="s">
        <v>12</v>
      </c>
      <c r="F1144" s="0" t="s">
        <v>12</v>
      </c>
      <c r="G1144" s="0" t="s">
        <v>204</v>
      </c>
      <c r="I1144" s="5">
        <v>75.000800</v>
      </c>
      <c r="J1144" s="5">
        <v>1.000000</v>
      </c>
    </row>
    <row r="1145" spans="1:11">
      <c r="A1145" s="22" t="str">
        <f>HYPERLINK("https://app.vivvix.com/360/KMI/IntelliDrive/ApplUI/Pages/CreativePages/CustomReportCreativeDetail.aspx?App=23&amp;ReportView=4&amp;Qid=1696098&amp;Row=1137&amp;Col=1","No Title Assigned - #15280351800")</f>
        <v/>
      </c>
      <c r="B1145" s="0" t="s">
        <v>1128</v>
      </c>
      <c r="E1145" s="0" t="s">
        <v>12</v>
      </c>
      <c r="F1145" s="0" t="s">
        <v>12</v>
      </c>
      <c r="G1145" s="0" t="s">
        <v>17</v>
      </c>
      <c r="I1145" s="5">
        <v>29.078000</v>
      </c>
      <c r="J1145" s="5">
        <v>4.000000</v>
      </c>
    </row>
    <row r="1146" spans="1:11">
      <c r="A1146" s="22" t="str">
        <f>HYPERLINK("https://app.vivvix.com/360/KMI/IntelliDrive/ApplUI/Pages/CreativePages/CustomReportCreativeDetail.aspx?App=23&amp;ReportView=4&amp;Qid=1696098&amp;Row=1138&amp;Col=1","No Title Assigned - #15280353693")</f>
        <v/>
      </c>
      <c r="B1146" s="0" t="s">
        <v>1129</v>
      </c>
      <c r="E1146" s="0" t="s">
        <v>12</v>
      </c>
      <c r="F1146" s="0" t="s">
        <v>12</v>
      </c>
      <c r="G1146" s="0" t="s">
        <v>204</v>
      </c>
      <c r="I1146" s="5">
        <v>590.034200</v>
      </c>
      <c r="J1146" s="5">
        <v>1.000000</v>
      </c>
    </row>
    <row r="1147" spans="1:11">
      <c r="A1147" s="22" t="str">
        <f>HYPERLINK("https://app.vivvix.com/360/KMI/IntelliDrive/ApplUI/Pages/CreativePages/CustomReportCreativeDetail.aspx?App=23&amp;ReportView=4&amp;Qid=1696098&amp;Row=1139&amp;Col=1","No Title Assigned - #15280357889")</f>
        <v/>
      </c>
      <c r="B1147" s="0" t="s">
        <v>1130</v>
      </c>
      <c r="E1147" s="0" t="s">
        <v>12</v>
      </c>
      <c r="F1147" s="0" t="s">
        <v>12</v>
      </c>
      <c r="G1147" s="0" t="s">
        <v>17</v>
      </c>
      <c r="I1147" s="5">
        <v>3878.753000</v>
      </c>
      <c r="J1147" s="5">
        <v>2.000000</v>
      </c>
    </row>
    <row r="1148" spans="1:11">
      <c r="A1148" s="22" t="str">
        <f>HYPERLINK("https://app.vivvix.com/360/KMI/IntelliDrive/ApplUI/Pages/CreativePages/CustomReportCreativeDetail.aspx?App=23&amp;ReportView=4&amp;Qid=1696098&amp;Row=1140&amp;Col=1","No Title Assigned - #15280360921")</f>
        <v/>
      </c>
      <c r="B1148" s="0" t="s">
        <v>1131</v>
      </c>
      <c r="E1148" s="0" t="s">
        <v>12</v>
      </c>
      <c r="F1148" s="0" t="s">
        <v>12</v>
      </c>
      <c r="G1148" s="0" t="s">
        <v>204</v>
      </c>
      <c r="I1148" s="5">
        <v>608.659000</v>
      </c>
      <c r="J1148" s="5">
        <v>1.000000</v>
      </c>
    </row>
    <row r="1149" spans="1:11">
      <c r="A1149" s="22" t="str">
        <f>HYPERLINK("https://app.vivvix.com/360/KMI/IntelliDrive/ApplUI/Pages/CreativePages/CustomReportCreativeDetail.aspx?App=23&amp;ReportView=4&amp;Qid=1696098&amp;Row=1141&amp;Col=1","No Title Assigned - #15280365257")</f>
        <v/>
      </c>
      <c r="B1149" s="0" t="s">
        <v>1132</v>
      </c>
      <c r="E1149" s="0" t="s">
        <v>12</v>
      </c>
      <c r="F1149" s="0" t="s">
        <v>12</v>
      </c>
      <c r="G1149" s="0" t="s">
        <v>204</v>
      </c>
      <c r="I1149" s="5">
        <v>828.716800</v>
      </c>
      <c r="J1149" s="5">
        <v>2.000000</v>
      </c>
    </row>
    <row r="1150" spans="1:11">
      <c r="A1150" s="22" t="str">
        <f>HYPERLINK("https://app.vivvix.com/360/KMI/IntelliDrive/ApplUI/Pages/CreativePages/CustomReportCreativeDetail.aspx?App=23&amp;ReportView=4&amp;Qid=1696098&amp;Row=1142&amp;Col=1","No Title Assigned - #15280365482")</f>
        <v/>
      </c>
      <c r="B1150" s="0" t="s">
        <v>1133</v>
      </c>
      <c r="E1150" s="0" t="s">
        <v>12</v>
      </c>
      <c r="F1150" s="0" t="s">
        <v>12</v>
      </c>
      <c r="G1150" s="0" t="s">
        <v>204</v>
      </c>
      <c r="I1150" s="5">
        <v>2426.760500</v>
      </c>
      <c r="J1150" s="5">
        <v>1.000000</v>
      </c>
    </row>
    <row r="1151" spans="1:11">
      <c r="A1151" s="22" t="str">
        <f>HYPERLINK("https://app.vivvix.com/360/KMI/IntelliDrive/ApplUI/Pages/CreativePages/CustomReportCreativeDetail.aspx?App=23&amp;ReportView=4&amp;Qid=1696098&amp;Row=1143&amp;Col=1","No Title Assigned - #15280367411")</f>
        <v/>
      </c>
      <c r="B1151" s="0" t="s">
        <v>1134</v>
      </c>
      <c r="E1151" s="0" t="s">
        <v>12</v>
      </c>
      <c r="F1151" s="0" t="s">
        <v>12</v>
      </c>
      <c r="G1151" s="0" t="s">
        <v>204</v>
      </c>
      <c r="I1151" s="5">
        <v>245.184700</v>
      </c>
      <c r="J1151" s="5">
        <v>1.000000</v>
      </c>
    </row>
    <row r="1152" spans="1:11">
      <c r="A1152" s="22" t="str">
        <f>HYPERLINK("https://app.vivvix.com/360/KMI/IntelliDrive/ApplUI/Pages/CreativePages/CustomReportCreativeDetail.aspx?App=23&amp;ReportView=4&amp;Qid=1696098&amp;Row=1144&amp;Col=1","No Title Assigned - #15280367428")</f>
        <v/>
      </c>
      <c r="B1152" s="0" t="s">
        <v>1135</v>
      </c>
      <c r="E1152" s="0" t="s">
        <v>12</v>
      </c>
      <c r="F1152" s="0" t="s">
        <v>12</v>
      </c>
      <c r="G1152" s="0" t="s">
        <v>204</v>
      </c>
      <c r="I1152" s="5">
        <v>245.184700</v>
      </c>
      <c r="J1152" s="5">
        <v>1.000000</v>
      </c>
    </row>
    <row r="1153" spans="1:11">
      <c r="A1153" s="22" t="str">
        <f>HYPERLINK("https://app.vivvix.com/360/KMI/IntelliDrive/ApplUI/Pages/CreativePages/CustomReportCreativeDetail.aspx?App=23&amp;ReportView=4&amp;Qid=1696098&amp;Row=1145&amp;Col=1","No Title Assigned - #15280398328")</f>
        <v/>
      </c>
      <c r="B1153" s="0" t="s">
        <v>1136</v>
      </c>
      <c r="E1153" s="0" t="s">
        <v>12</v>
      </c>
      <c r="F1153" s="0" t="s">
        <v>12</v>
      </c>
      <c r="G1153" s="0" t="s">
        <v>204</v>
      </c>
      <c r="I1153" s="5">
        <v>75.000800</v>
      </c>
      <c r="J1153" s="5">
        <v>1.000000</v>
      </c>
    </row>
    <row r="1154" spans="1:11">
      <c r="A1154" s="22" t="str">
        <f>HYPERLINK("https://app.vivvix.com/360/KMI/IntelliDrive/ApplUI/Pages/CreativePages/CustomReportCreativeDetail.aspx?App=23&amp;ReportView=4&amp;Qid=1696098&amp;Row=1146&amp;Col=1","No Title Assigned - #15280398751")</f>
        <v/>
      </c>
      <c r="B1154" s="0" t="s">
        <v>1137</v>
      </c>
      <c r="E1154" s="0" t="s">
        <v>12</v>
      </c>
      <c r="F1154" s="0" t="s">
        <v>12</v>
      </c>
      <c r="G1154" s="0" t="s">
        <v>204</v>
      </c>
      <c r="I1154" s="5">
        <v>432.759400</v>
      </c>
      <c r="J1154" s="5">
        <v>1.000000</v>
      </c>
    </row>
    <row r="1155" spans="1:11">
      <c r="A1155" s="22" t="str">
        <f>HYPERLINK("https://app.vivvix.com/360/KMI/IntelliDrive/ApplUI/Pages/CreativePages/CustomReportCreativeDetail.aspx?App=23&amp;ReportView=4&amp;Qid=1696098&amp;Row=1147&amp;Col=1","No Title Assigned - #15280401246")</f>
        <v/>
      </c>
      <c r="B1155" s="0" t="s">
        <v>1138</v>
      </c>
      <c r="E1155" s="0" t="s">
        <v>12</v>
      </c>
      <c r="F1155" s="0" t="s">
        <v>12</v>
      </c>
      <c r="G1155" s="0" t="s">
        <v>204</v>
      </c>
      <c r="I1155" s="5">
        <v>432.759400</v>
      </c>
      <c r="J1155" s="5">
        <v>1.000000</v>
      </c>
    </row>
    <row r="1156" spans="1:11">
      <c r="A1156" s="22" t="str">
        <f>HYPERLINK("https://app.vivvix.com/360/KMI/IntelliDrive/ApplUI/Pages/CreativePages/CustomReportCreativeDetail.aspx?App=23&amp;ReportView=4&amp;Qid=1696098&amp;Row=1148&amp;Col=1","No Title Assigned - #15280417386")</f>
        <v/>
      </c>
      <c r="B1156" s="0" t="s">
        <v>1139</v>
      </c>
      <c r="E1156" s="0" t="s">
        <v>12</v>
      </c>
      <c r="F1156" s="0" t="s">
        <v>12</v>
      </c>
      <c r="G1156" s="0" t="s">
        <v>204</v>
      </c>
      <c r="I1156" s="5">
        <v>4649.663600</v>
      </c>
      <c r="J1156" s="5">
        <v>1.000000</v>
      </c>
    </row>
    <row r="1157" spans="1:11">
      <c r="A1157" s="22" t="str">
        <f>HYPERLINK("https://app.vivvix.com/360/KMI/IntelliDrive/ApplUI/Pages/CreativePages/CustomReportCreativeDetail.aspx?App=23&amp;ReportView=4&amp;Qid=1696098&amp;Row=1149&amp;Col=1","No Title Assigned - #15280421209")</f>
        <v/>
      </c>
      <c r="B1157" s="0" t="s">
        <v>1140</v>
      </c>
      <c r="E1157" s="0" t="s">
        <v>12</v>
      </c>
      <c r="F1157" s="0" t="s">
        <v>12</v>
      </c>
      <c r="G1157" s="0" t="s">
        <v>204</v>
      </c>
      <c r="I1157" s="5">
        <v>530.660700</v>
      </c>
      <c r="J1157" s="5">
        <v>1.000000</v>
      </c>
    </row>
    <row r="1158" spans="1:11">
      <c r="A1158" s="22" t="str">
        <f>HYPERLINK("https://app.vivvix.com/360/KMI/IntelliDrive/ApplUI/Pages/CreativePages/CustomReportCreativeDetail.aspx?App=23&amp;ReportView=4&amp;Qid=1696098&amp;Row=1150&amp;Col=1","No Title Assigned - #15280442437")</f>
        <v/>
      </c>
      <c r="B1158" s="0" t="s">
        <v>1141</v>
      </c>
      <c r="E1158" s="0" t="s">
        <v>12</v>
      </c>
      <c r="F1158" s="0" t="s">
        <v>12</v>
      </c>
      <c r="G1158" s="0" t="s">
        <v>204</v>
      </c>
      <c r="I1158" s="5">
        <v>75.000800</v>
      </c>
      <c r="J1158" s="5">
        <v>1.000000</v>
      </c>
    </row>
    <row r="1159" spans="1:11">
      <c r="A1159" s="22" t="str">
        <f>HYPERLINK("https://app.vivvix.com/360/KMI/IntelliDrive/ApplUI/Pages/CreativePages/CustomReportCreativeDetail.aspx?App=23&amp;ReportView=4&amp;Qid=1696098&amp;Row=1151&amp;Col=1","No Title Assigned - #15280470308")</f>
        <v/>
      </c>
      <c r="B1159" s="0" t="s">
        <v>1142</v>
      </c>
      <c r="E1159" s="0" t="s">
        <v>12</v>
      </c>
      <c r="F1159" s="0" t="s">
        <v>12</v>
      </c>
      <c r="G1159" s="0" t="s">
        <v>204</v>
      </c>
      <c r="I1159" s="5">
        <v>263.397100</v>
      </c>
      <c r="J1159" s="5">
        <v>1.000000</v>
      </c>
    </row>
    <row r="1160" spans="1:11">
      <c r="A1160" s="22" t="str">
        <f>HYPERLINK("https://app.vivvix.com/360/KMI/IntelliDrive/ApplUI/Pages/CreativePages/CustomReportCreativeDetail.aspx?App=23&amp;ReportView=4&amp;Qid=1696098&amp;Row=1152&amp;Col=1","No Title Assigned - #15280489983")</f>
        <v/>
      </c>
      <c r="B1160" s="0" t="s">
        <v>1143</v>
      </c>
      <c r="E1160" s="0" t="s">
        <v>12</v>
      </c>
      <c r="F1160" s="0" t="s">
        <v>12</v>
      </c>
      <c r="G1160" s="0" t="s">
        <v>17</v>
      </c>
      <c r="I1160" s="5">
        <v>10.799000</v>
      </c>
      <c r="J1160" s="5">
        <v>1.000000</v>
      </c>
    </row>
    <row r="1161" spans="1:11">
      <c r="A1161" s="22" t="str">
        <f>HYPERLINK("https://app.vivvix.com/360/KMI/IntelliDrive/ApplUI/Pages/CreativePages/CustomReportCreativeDetail.aspx?App=23&amp;ReportView=4&amp;Qid=1696098&amp;Row=1153&amp;Col=1","No Title Assigned - #15280563460")</f>
        <v/>
      </c>
      <c r="B1161" s="0" t="s">
        <v>1144</v>
      </c>
      <c r="E1161" s="0" t="s">
        <v>12</v>
      </c>
      <c r="F1161" s="0" t="s">
        <v>12</v>
      </c>
      <c r="G1161" s="0" t="s">
        <v>17</v>
      </c>
      <c r="I1161" s="5">
        <v>21.598000</v>
      </c>
      <c r="J1161" s="5">
        <v>2.000000</v>
      </c>
    </row>
    <row r="1162" spans="1:11">
      <c r="A1162" s="22" t="str">
        <f>HYPERLINK("https://app.vivvix.com/360/KMI/IntelliDrive/ApplUI/Pages/CreativePages/CustomReportCreativeDetail.aspx?App=23&amp;ReportView=4&amp;Qid=1696098&amp;Row=1154&amp;Col=1","No Title Assigned - #15280601149")</f>
        <v/>
      </c>
      <c r="B1162" s="0" t="s">
        <v>1145</v>
      </c>
      <c r="E1162" s="0" t="s">
        <v>12</v>
      </c>
      <c r="F1162" s="0" t="s">
        <v>12</v>
      </c>
      <c r="G1162" s="0" t="s">
        <v>204</v>
      </c>
      <c r="I1162" s="5">
        <v>3174.166700</v>
      </c>
      <c r="J1162" s="5">
        <v>9.000000</v>
      </c>
    </row>
    <row r="1163" spans="1:11">
      <c r="A1163" s="22" t="str">
        <f>HYPERLINK("https://app.vivvix.com/360/KMI/IntelliDrive/ApplUI/Pages/CreativePages/CustomReportCreativeDetail.aspx?App=23&amp;ReportView=4&amp;Qid=1696098&amp;Row=1155&amp;Col=1","No Title Assigned - #15280601150")</f>
        <v/>
      </c>
      <c r="B1163" s="0" t="s">
        <v>1146</v>
      </c>
      <c r="E1163" s="0" t="s">
        <v>12</v>
      </c>
      <c r="F1163" s="0" t="s">
        <v>12</v>
      </c>
      <c r="G1163" s="0" t="s">
        <v>204</v>
      </c>
      <c r="I1163" s="5">
        <v>162.562800</v>
      </c>
      <c r="J1163" s="5">
        <v>1.000000</v>
      </c>
    </row>
    <row r="1164" spans="1:11">
      <c r="A1164" s="22" t="str">
        <f>HYPERLINK("https://app.vivvix.com/360/KMI/IntelliDrive/ApplUI/Pages/CreativePages/CustomReportCreativeDetail.aspx?App=23&amp;ReportView=4&amp;Qid=1696098&amp;Row=1156&amp;Col=1","No Title Assigned - #15280606582")</f>
        <v/>
      </c>
      <c r="B1164" s="0" t="s">
        <v>1147</v>
      </c>
      <c r="E1164" s="0" t="s">
        <v>12</v>
      </c>
      <c r="F1164" s="0" t="s">
        <v>12</v>
      </c>
      <c r="G1164" s="0" t="s">
        <v>204</v>
      </c>
      <c r="I1164" s="5">
        <v>295.331400</v>
      </c>
      <c r="J1164" s="5">
        <v>1.000000</v>
      </c>
    </row>
    <row r="1165" spans="1:11">
      <c r="A1165" s="22" t="str">
        <f>HYPERLINK("https://app.vivvix.com/360/KMI/IntelliDrive/ApplUI/Pages/CreativePages/CustomReportCreativeDetail.aspx?App=23&amp;ReportView=4&amp;Qid=1696098&amp;Row=1157&amp;Col=1","No Title Assigned - #15280612784")</f>
        <v/>
      </c>
      <c r="B1165" s="0" t="s">
        <v>1148</v>
      </c>
      <c r="E1165" s="0" t="s">
        <v>12</v>
      </c>
      <c r="F1165" s="0" t="s">
        <v>12</v>
      </c>
      <c r="G1165" s="0" t="s">
        <v>204</v>
      </c>
      <c r="I1165" s="5">
        <v>162.562800</v>
      </c>
      <c r="J1165" s="5">
        <v>1.000000</v>
      </c>
    </row>
    <row r="1166" spans="1:11">
      <c r="A1166" s="22" t="str">
        <f>HYPERLINK("https://app.vivvix.com/360/KMI/IntelliDrive/ApplUI/Pages/CreativePages/CustomReportCreativeDetail.aspx?App=23&amp;ReportView=4&amp;Qid=1696098&amp;Row=1158&amp;Col=1","No Title Assigned - #15280612875")</f>
        <v/>
      </c>
      <c r="B1166" s="0" t="s">
        <v>1149</v>
      </c>
      <c r="E1166" s="0" t="s">
        <v>12</v>
      </c>
      <c r="F1166" s="0" t="s">
        <v>12</v>
      </c>
      <c r="G1166" s="0" t="s">
        <v>204</v>
      </c>
      <c r="I1166" s="5">
        <v>162.562800</v>
      </c>
      <c r="J1166" s="5">
        <v>1.000000</v>
      </c>
    </row>
    <row r="1167" spans="1:11">
      <c r="A1167" s="22" t="str">
        <f>HYPERLINK("https://app.vivvix.com/360/KMI/IntelliDrive/ApplUI/Pages/CreativePages/CustomReportCreativeDetail.aspx?App=23&amp;ReportView=4&amp;Qid=1696098&amp;Row=1159&amp;Col=1","No Title Assigned - #15280648236")</f>
        <v/>
      </c>
      <c r="B1167" s="0" t="s">
        <v>1150</v>
      </c>
      <c r="E1167" s="0" t="s">
        <v>12</v>
      </c>
      <c r="F1167" s="0" t="s">
        <v>12</v>
      </c>
      <c r="G1167" s="0" t="s">
        <v>204</v>
      </c>
      <c r="I1167" s="5">
        <v>4231.096200</v>
      </c>
      <c r="J1167" s="5">
        <v>1.000000</v>
      </c>
    </row>
    <row r="1168" spans="1:11">
      <c r="A1168" s="22" t="str">
        <f>HYPERLINK("https://app.vivvix.com/360/KMI/IntelliDrive/ApplUI/Pages/CreativePages/CustomReportCreativeDetail.aspx?App=23&amp;ReportView=4&amp;Qid=1696098&amp;Row=1160&amp;Col=1","No Title Assigned - #15280653286")</f>
        <v/>
      </c>
      <c r="B1168" s="0" t="s">
        <v>1151</v>
      </c>
      <c r="E1168" s="0" t="s">
        <v>12</v>
      </c>
      <c r="F1168" s="0" t="s">
        <v>12</v>
      </c>
      <c r="G1168" s="0" t="s">
        <v>204</v>
      </c>
      <c r="I1168" s="5">
        <v>9373.798400</v>
      </c>
      <c r="J1168" s="5">
        <v>2.000000</v>
      </c>
    </row>
    <row r="1169" spans="1:11">
      <c r="A1169" s="22" t="str">
        <f>HYPERLINK("https://app.vivvix.com/360/KMI/IntelliDrive/ApplUI/Pages/CreativePages/CustomReportCreativeDetail.aspx?App=23&amp;ReportView=4&amp;Qid=1696098&amp;Row=1161&amp;Col=1","No Title Assigned - #15280653287")</f>
        <v/>
      </c>
      <c r="B1169" s="0" t="s">
        <v>1152</v>
      </c>
      <c r="E1169" s="0" t="s">
        <v>12</v>
      </c>
      <c r="F1169" s="0" t="s">
        <v>12</v>
      </c>
      <c r="G1169" s="0" t="s">
        <v>204</v>
      </c>
      <c r="I1169" s="5">
        <v>7587.964400</v>
      </c>
      <c r="J1169" s="5">
        <v>1.000000</v>
      </c>
    </row>
    <row r="1170" spans="1:11">
      <c r="A1170" s="22" t="str">
        <f>HYPERLINK("https://app.vivvix.com/360/KMI/IntelliDrive/ApplUI/Pages/CreativePages/CustomReportCreativeDetail.aspx?App=23&amp;ReportView=4&amp;Qid=1696098&amp;Row=1162&amp;Col=1","No Title Assigned - #15280680138")</f>
        <v/>
      </c>
      <c r="B1170" s="0" t="s">
        <v>1153</v>
      </c>
      <c r="E1170" s="0" t="s">
        <v>12</v>
      </c>
      <c r="F1170" s="0" t="s">
        <v>12</v>
      </c>
      <c r="G1170" s="0" t="s">
        <v>204</v>
      </c>
      <c r="I1170" s="5">
        <v>574.826900</v>
      </c>
      <c r="J1170" s="5">
        <v>1.000000</v>
      </c>
    </row>
    <row r="1171" spans="1:11">
      <c r="A1171" s="22" t="str">
        <f>HYPERLINK("https://app.vivvix.com/360/KMI/IntelliDrive/ApplUI/Pages/CreativePages/CustomReportCreativeDetail.aspx?App=23&amp;ReportView=4&amp;Qid=1696098&amp;Row=1163&amp;Col=1","No Title Assigned - #15280680402")</f>
        <v/>
      </c>
      <c r="B1171" s="0" t="s">
        <v>1154</v>
      </c>
      <c r="E1171" s="0" t="s">
        <v>12</v>
      </c>
      <c r="F1171" s="0" t="s">
        <v>12</v>
      </c>
      <c r="G1171" s="0" t="s">
        <v>204</v>
      </c>
      <c r="I1171" s="5">
        <v>4231.096200</v>
      </c>
      <c r="J1171" s="5">
        <v>1.000000</v>
      </c>
    </row>
    <row r="1172" spans="1:11">
      <c r="A1172" s="22" t="str">
        <f>HYPERLINK("https://app.vivvix.com/360/KMI/IntelliDrive/ApplUI/Pages/CreativePages/CustomReportCreativeDetail.aspx?App=23&amp;ReportView=4&amp;Qid=1696098&amp;Row=1164&amp;Col=1","No Title Assigned - #15280680428")</f>
        <v/>
      </c>
      <c r="B1172" s="0" t="s">
        <v>1155</v>
      </c>
      <c r="E1172" s="0" t="s">
        <v>12</v>
      </c>
      <c r="F1172" s="0" t="s">
        <v>12</v>
      </c>
      <c r="G1172" s="0" t="s">
        <v>204</v>
      </c>
      <c r="I1172" s="5">
        <v>4231.096200</v>
      </c>
      <c r="J1172" s="5">
        <v>1.000000</v>
      </c>
    </row>
    <row r="1173" spans="1:11">
      <c r="A1173" s="22" t="str">
        <f>HYPERLINK("https://app.vivvix.com/360/KMI/IntelliDrive/ApplUI/Pages/CreativePages/CustomReportCreativeDetail.aspx?App=23&amp;ReportView=4&amp;Qid=1696098&amp;Row=1165&amp;Col=1","No Title Assigned - #15280681595")</f>
        <v/>
      </c>
      <c r="B1173" s="0" t="s">
        <v>1156</v>
      </c>
      <c r="E1173" s="0" t="s">
        <v>12</v>
      </c>
      <c r="F1173" s="0" t="s">
        <v>12</v>
      </c>
      <c r="G1173" s="0" t="s">
        <v>204</v>
      </c>
      <c r="I1173" s="5">
        <v>162.562800</v>
      </c>
      <c r="J1173" s="5">
        <v>1.000000</v>
      </c>
    </row>
    <row r="1174" spans="1:11">
      <c r="A1174" s="22" t="str">
        <f>HYPERLINK("https://app.vivvix.com/360/KMI/IntelliDrive/ApplUI/Pages/CreativePages/CustomReportCreativeDetail.aspx?App=23&amp;ReportView=4&amp;Qid=1696098&amp;Row=1166&amp;Col=1","No Title Assigned - #15280681628")</f>
        <v/>
      </c>
      <c r="B1174" s="0" t="s">
        <v>1157</v>
      </c>
      <c r="E1174" s="0" t="s">
        <v>12</v>
      </c>
      <c r="F1174" s="0" t="s">
        <v>12</v>
      </c>
      <c r="G1174" s="0" t="s">
        <v>204</v>
      </c>
      <c r="I1174" s="5">
        <v>162.562800</v>
      </c>
      <c r="J1174" s="5">
        <v>1.000000</v>
      </c>
    </row>
    <row r="1175" spans="1:11">
      <c r="A1175" s="22" t="str">
        <f>HYPERLINK("https://app.vivvix.com/360/KMI/IntelliDrive/ApplUI/Pages/CreativePages/CustomReportCreativeDetail.aspx?App=23&amp;ReportView=4&amp;Qid=1696098&amp;Row=1167&amp;Col=1","No Title Assigned - #15280691544")</f>
        <v/>
      </c>
      <c r="B1175" s="0" t="s">
        <v>1158</v>
      </c>
      <c r="E1175" s="0" t="s">
        <v>12</v>
      </c>
      <c r="F1175" s="0" t="s">
        <v>12</v>
      </c>
      <c r="G1175" s="0" t="s">
        <v>204</v>
      </c>
      <c r="I1175" s="5">
        <v>545.101700</v>
      </c>
      <c r="J1175" s="5">
        <v>1.000000</v>
      </c>
    </row>
    <row r="1176" spans="1:11">
      <c r="A1176" s="22" t="str">
        <f>HYPERLINK("https://app.vivvix.com/360/KMI/IntelliDrive/ApplUI/Pages/CreativePages/CustomReportCreativeDetail.aspx?App=23&amp;ReportView=4&amp;Qid=1696098&amp;Row=1168&amp;Col=1","No Title Assigned - #15280719731")</f>
        <v/>
      </c>
      <c r="B1176" s="0" t="s">
        <v>1159</v>
      </c>
      <c r="E1176" s="0" t="s">
        <v>12</v>
      </c>
      <c r="F1176" s="0" t="s">
        <v>12</v>
      </c>
      <c r="G1176" s="0" t="s">
        <v>204</v>
      </c>
      <c r="I1176" s="5">
        <v>997.603900</v>
      </c>
      <c r="J1176" s="5">
        <v>1.000000</v>
      </c>
    </row>
    <row r="1177" spans="1:11">
      <c r="A1177" s="22" t="str">
        <f>HYPERLINK("https://app.vivvix.com/360/KMI/IntelliDrive/ApplUI/Pages/CreativePages/CustomReportCreativeDetail.aspx?App=23&amp;ReportView=4&amp;Qid=1696098&amp;Row=1169&amp;Col=1","No Title Assigned - #15280728450")</f>
        <v/>
      </c>
      <c r="B1177" s="0" t="s">
        <v>1160</v>
      </c>
      <c r="E1177" s="0" t="s">
        <v>12</v>
      </c>
      <c r="F1177" s="0" t="s">
        <v>12</v>
      </c>
      <c r="G1177" s="0" t="s">
        <v>204</v>
      </c>
      <c r="I1177" s="5">
        <v>263.397100</v>
      </c>
      <c r="J1177" s="5">
        <v>1.000000</v>
      </c>
    </row>
    <row r="1178" spans="1:11">
      <c r="A1178" s="22" t="str">
        <f>HYPERLINK("https://app.vivvix.com/360/KMI/IntelliDrive/ApplUI/Pages/CreativePages/CustomReportCreativeDetail.aspx?App=23&amp;ReportView=4&amp;Qid=1696098&amp;Row=1170&amp;Col=1","No Title Assigned - #15280755092")</f>
        <v/>
      </c>
      <c r="B1178" s="0" t="s">
        <v>1161</v>
      </c>
      <c r="E1178" s="0" t="s">
        <v>12</v>
      </c>
      <c r="F1178" s="0" t="s">
        <v>12</v>
      </c>
      <c r="G1178" s="0" t="s">
        <v>204</v>
      </c>
      <c r="I1178" s="5">
        <v>546.542600</v>
      </c>
      <c r="J1178" s="5">
        <v>1.000000</v>
      </c>
    </row>
    <row r="1179" spans="1:11">
      <c r="A1179" s="22" t="str">
        <f>HYPERLINK("https://app.vivvix.com/360/KMI/IntelliDrive/ApplUI/Pages/CreativePages/CustomReportCreativeDetail.aspx?App=23&amp;ReportView=4&amp;Qid=1696098&amp;Row=1171&amp;Col=1","No Title Assigned - #15280761119")</f>
        <v/>
      </c>
      <c r="B1179" s="0" t="s">
        <v>1162</v>
      </c>
      <c r="E1179" s="0" t="s">
        <v>12</v>
      </c>
      <c r="F1179" s="0" t="s">
        <v>12</v>
      </c>
      <c r="G1179" s="0" t="s">
        <v>204</v>
      </c>
      <c r="I1179" s="5">
        <v>54.899200</v>
      </c>
      <c r="J1179" s="5">
        <v>1.000000</v>
      </c>
    </row>
    <row r="1180" spans="1:11">
      <c r="A1180" s="22" t="str">
        <f>HYPERLINK("https://app.vivvix.com/360/KMI/IntelliDrive/ApplUI/Pages/CreativePages/CustomReportCreativeDetail.aspx?App=23&amp;ReportView=4&amp;Qid=1696098&amp;Row=1172&amp;Col=1","No Title Assigned - #15280781765")</f>
        <v/>
      </c>
      <c r="B1180" s="0" t="s">
        <v>1163</v>
      </c>
      <c r="E1180" s="0" t="s">
        <v>12</v>
      </c>
      <c r="F1180" s="0" t="s">
        <v>12</v>
      </c>
      <c r="G1180" s="0" t="s">
        <v>204</v>
      </c>
      <c r="I1180" s="5">
        <v>368.525400</v>
      </c>
      <c r="J1180" s="5">
        <v>1.000000</v>
      </c>
    </row>
    <row r="1181" spans="1:11">
      <c r="A1181" s="22" t="str">
        <f>HYPERLINK("https://app.vivvix.com/360/KMI/IntelliDrive/ApplUI/Pages/CreativePages/CustomReportCreativeDetail.aspx?App=23&amp;ReportView=4&amp;Qid=1696098&amp;Row=1173&amp;Col=1","No Title Assigned - #15280781779")</f>
        <v/>
      </c>
      <c r="B1181" s="0" t="s">
        <v>1164</v>
      </c>
      <c r="E1181" s="0" t="s">
        <v>12</v>
      </c>
      <c r="F1181" s="0" t="s">
        <v>12</v>
      </c>
      <c r="G1181" s="0" t="s">
        <v>204</v>
      </c>
      <c r="I1181" s="5">
        <v>368.525400</v>
      </c>
      <c r="J1181" s="5">
        <v>1.000000</v>
      </c>
    </row>
    <row r="1182" spans="1:11">
      <c r="A1182" s="22" t="str">
        <f>HYPERLINK("https://app.vivvix.com/360/KMI/IntelliDrive/ApplUI/Pages/CreativePages/CustomReportCreativeDetail.aspx?App=23&amp;ReportView=4&amp;Qid=1696098&amp;Row=1174&amp;Col=1","No Title Assigned - #15280782986")</f>
        <v/>
      </c>
      <c r="B1182" s="0" t="s">
        <v>1165</v>
      </c>
      <c r="E1182" s="0" t="s">
        <v>12</v>
      </c>
      <c r="F1182" s="0" t="s">
        <v>12</v>
      </c>
      <c r="G1182" s="0" t="s">
        <v>204</v>
      </c>
      <c r="I1182" s="5">
        <v>14904.357400</v>
      </c>
      <c r="J1182" s="5">
        <v>1.000000</v>
      </c>
    </row>
    <row r="1183" spans="1:11">
      <c r="A1183" s="22" t="str">
        <f>HYPERLINK("https://app.vivvix.com/360/KMI/IntelliDrive/ApplUI/Pages/CreativePages/CustomReportCreativeDetail.aspx?App=23&amp;ReportView=4&amp;Qid=1696098&amp;Row=1175&amp;Col=1","No Title Assigned - #15280783192")</f>
        <v/>
      </c>
      <c r="B1183" s="0" t="s">
        <v>1166</v>
      </c>
      <c r="E1183" s="0" t="s">
        <v>12</v>
      </c>
      <c r="F1183" s="0" t="s">
        <v>12</v>
      </c>
      <c r="G1183" s="0" t="s">
        <v>204</v>
      </c>
      <c r="I1183" s="5">
        <v>3258.278800</v>
      </c>
      <c r="J1183" s="5">
        <v>1.000000</v>
      </c>
    </row>
    <row r="1184" spans="1:11">
      <c r="A1184" s="22" t="str">
        <f>HYPERLINK("https://app.vivvix.com/360/KMI/IntelliDrive/ApplUI/Pages/CreativePages/CustomReportCreativeDetail.aspx?App=23&amp;ReportView=4&amp;Qid=1696098&amp;Row=1176&amp;Col=1","No Title Assigned - #15280807271")</f>
        <v/>
      </c>
      <c r="B1184" s="0" t="s">
        <v>1167</v>
      </c>
      <c r="E1184" s="0" t="s">
        <v>12</v>
      </c>
      <c r="F1184" s="0" t="s">
        <v>12</v>
      </c>
      <c r="G1184" s="0" t="s">
        <v>204</v>
      </c>
      <c r="I1184" s="5">
        <v>753.716000</v>
      </c>
      <c r="J1184" s="5">
        <v>1.000000</v>
      </c>
    </row>
    <row r="1185" spans="1:11">
      <c r="A1185" s="22" t="str">
        <f>HYPERLINK("https://app.vivvix.com/360/KMI/IntelliDrive/ApplUI/Pages/CreativePages/CustomReportCreativeDetail.aspx?App=23&amp;ReportView=4&amp;Qid=1696098&amp;Row=1177&amp;Col=1","No Title Assigned - #15280823504")</f>
        <v/>
      </c>
      <c r="B1185" s="0" t="s">
        <v>1168</v>
      </c>
      <c r="E1185" s="0" t="s">
        <v>12</v>
      </c>
      <c r="F1185" s="0" t="s">
        <v>12</v>
      </c>
      <c r="G1185" s="0" t="s">
        <v>204</v>
      </c>
      <c r="I1185" s="5">
        <v>704.603800</v>
      </c>
      <c r="J1185" s="5">
        <v>2.000000</v>
      </c>
    </row>
    <row r="1186" spans="1:11">
      <c r="A1186" s="22" t="str">
        <f>HYPERLINK("https://app.vivvix.com/360/KMI/IntelliDrive/ApplUI/Pages/CreativePages/CustomReportCreativeDetail.aspx?App=23&amp;ReportView=4&amp;Qid=1696098&amp;Row=1178&amp;Col=1","No Title Assigned - #15280865265")</f>
        <v/>
      </c>
      <c r="B1186" s="0" t="s">
        <v>1169</v>
      </c>
      <c r="E1186" s="0" t="s">
        <v>12</v>
      </c>
      <c r="F1186" s="0" t="s">
        <v>12</v>
      </c>
      <c r="G1186" s="0" t="s">
        <v>204</v>
      </c>
      <c r="I1186" s="5">
        <v>1964.337800</v>
      </c>
      <c r="J1186" s="5">
        <v>1.000000</v>
      </c>
    </row>
    <row r="1187" spans="1:11">
      <c r="A1187" s="22" t="str">
        <f>HYPERLINK("https://app.vivvix.com/360/KMI/IntelliDrive/ApplUI/Pages/CreativePages/CustomReportCreativeDetail.aspx?App=23&amp;ReportView=4&amp;Qid=1696098&amp;Row=1179&amp;Col=1","No Title Assigned - #15280868978")</f>
        <v/>
      </c>
      <c r="B1187" s="0" t="s">
        <v>1170</v>
      </c>
      <c r="E1187" s="0" t="s">
        <v>12</v>
      </c>
      <c r="F1187" s="0" t="s">
        <v>12</v>
      </c>
      <c r="G1187" s="0" t="s">
        <v>204</v>
      </c>
      <c r="I1187" s="5">
        <v>1700.644600</v>
      </c>
      <c r="J1187" s="5">
        <v>2.000000</v>
      </c>
    </row>
    <row r="1188" spans="1:11">
      <c r="A1188" s="22" t="str">
        <f>HYPERLINK("https://app.vivvix.com/360/KMI/IntelliDrive/ApplUI/Pages/CreativePages/CustomReportCreativeDetail.aspx?App=23&amp;ReportView=4&amp;Qid=1696098&amp;Row=1180&amp;Col=1","No Title Assigned - #15280884509")</f>
        <v/>
      </c>
      <c r="B1188" s="0" t="s">
        <v>1171</v>
      </c>
      <c r="E1188" s="0" t="s">
        <v>12</v>
      </c>
      <c r="F1188" s="0" t="s">
        <v>12</v>
      </c>
      <c r="G1188" s="0" t="s">
        <v>204</v>
      </c>
      <c r="I1188" s="5">
        <v>173.446000</v>
      </c>
      <c r="J1188" s="5">
        <v>1.000000</v>
      </c>
    </row>
    <row r="1189" spans="1:11">
      <c r="A1189" s="22" t="str">
        <f>HYPERLINK("https://app.vivvix.com/360/KMI/IntelliDrive/ApplUI/Pages/CreativePages/CustomReportCreativeDetail.aspx?App=23&amp;ReportView=4&amp;Qid=1696098&amp;Row=1181&amp;Col=1","No Title Assigned - #15280884522")</f>
        <v/>
      </c>
      <c r="B1189" s="0" t="s">
        <v>1172</v>
      </c>
      <c r="E1189" s="0" t="s">
        <v>12</v>
      </c>
      <c r="F1189" s="0" t="s">
        <v>12</v>
      </c>
      <c r="G1189" s="0" t="s">
        <v>204</v>
      </c>
      <c r="I1189" s="5">
        <v>173.446000</v>
      </c>
      <c r="J1189" s="5">
        <v>1.000000</v>
      </c>
    </row>
    <row r="1190" spans="1:11">
      <c r="A1190" s="22" t="str">
        <f>HYPERLINK("https://app.vivvix.com/360/KMI/IntelliDrive/ApplUI/Pages/CreativePages/CustomReportCreativeDetail.aspx?App=23&amp;ReportView=4&amp;Qid=1696098&amp;Row=1182&amp;Col=1","No Title Assigned - #15280901909")</f>
        <v/>
      </c>
      <c r="B1190" s="0" t="s">
        <v>1173</v>
      </c>
      <c r="E1190" s="0" t="s">
        <v>12</v>
      </c>
      <c r="F1190" s="0" t="s">
        <v>12</v>
      </c>
      <c r="G1190" s="0" t="s">
        <v>204</v>
      </c>
      <c r="I1190" s="5">
        <v>505.719900</v>
      </c>
      <c r="J1190" s="5">
        <v>1.000000</v>
      </c>
    </row>
    <row r="1191" spans="1:11">
      <c r="A1191" s="22" t="str">
        <f>HYPERLINK("https://app.vivvix.com/360/KMI/IntelliDrive/ApplUI/Pages/CreativePages/CustomReportCreativeDetail.aspx?App=23&amp;ReportView=4&amp;Qid=1696098&amp;Row=1183&amp;Col=1","No Title Assigned - #15280927188")</f>
        <v/>
      </c>
      <c r="B1191" s="0" t="s">
        <v>1174</v>
      </c>
      <c r="E1191" s="0" t="s">
        <v>12</v>
      </c>
      <c r="F1191" s="0" t="s">
        <v>12</v>
      </c>
      <c r="G1191" s="0" t="s">
        <v>204</v>
      </c>
      <c r="I1191" s="5">
        <v>1929.565800</v>
      </c>
      <c r="J1191" s="5">
        <v>1.000000</v>
      </c>
    </row>
    <row r="1192" spans="1:11">
      <c r="A1192" s="22" t="str">
        <f>HYPERLINK("https://app.vivvix.com/360/KMI/IntelliDrive/ApplUI/Pages/CreativePages/CustomReportCreativeDetail.aspx?App=23&amp;ReportView=4&amp;Qid=1696098&amp;Row=1184&amp;Col=1","No Title Assigned - #15280957327")</f>
        <v/>
      </c>
      <c r="B1192" s="0" t="s">
        <v>1175</v>
      </c>
      <c r="E1192" s="0" t="s">
        <v>12</v>
      </c>
      <c r="F1192" s="0" t="s">
        <v>12</v>
      </c>
      <c r="G1192" s="0" t="s">
        <v>204</v>
      </c>
      <c r="I1192" s="5">
        <v>476.395100</v>
      </c>
      <c r="J1192" s="5">
        <v>1.000000</v>
      </c>
    </row>
    <row r="1193" spans="1:11">
      <c r="A1193" s="22" t="str">
        <f>HYPERLINK("https://app.vivvix.com/360/KMI/IntelliDrive/ApplUI/Pages/CreativePages/CustomReportCreativeDetail.aspx?App=23&amp;ReportView=4&amp;Qid=1696098&amp;Row=1185&amp;Col=1","No Title Assigned - #15280964175")</f>
        <v/>
      </c>
      <c r="B1193" s="0" t="s">
        <v>1176</v>
      </c>
      <c r="E1193" s="0" t="s">
        <v>12</v>
      </c>
      <c r="F1193" s="0" t="s">
        <v>12</v>
      </c>
      <c r="G1193" s="0" t="s">
        <v>204</v>
      </c>
      <c r="I1193" s="5">
        <v>997.603900</v>
      </c>
      <c r="J1193" s="5">
        <v>1.000000</v>
      </c>
    </row>
    <row r="1194" spans="1:11">
      <c r="A1194" s="22" t="str">
        <f>HYPERLINK("https://app.vivvix.com/360/KMI/IntelliDrive/ApplUI/Pages/CreativePages/CustomReportCreativeDetail.aspx?App=23&amp;ReportView=4&amp;Qid=1696098&amp;Row=1186&amp;Col=1","No Title Assigned - #15280964213")</f>
        <v/>
      </c>
      <c r="B1194" s="0" t="s">
        <v>1177</v>
      </c>
      <c r="E1194" s="0" t="s">
        <v>12</v>
      </c>
      <c r="F1194" s="0" t="s">
        <v>12</v>
      </c>
      <c r="G1194" s="0" t="s">
        <v>204</v>
      </c>
      <c r="I1194" s="5">
        <v>997.603900</v>
      </c>
      <c r="J1194" s="5">
        <v>1.000000</v>
      </c>
    </row>
    <row r="1195" spans="1:11">
      <c r="A1195" s="22" t="str">
        <f>HYPERLINK("https://app.vivvix.com/360/KMI/IntelliDrive/ApplUI/Pages/CreativePages/CustomReportCreativeDetail.aspx?App=23&amp;ReportView=4&amp;Qid=1696098&amp;Row=1187&amp;Col=1","No Title Assigned - #15280968094")</f>
        <v/>
      </c>
      <c r="B1195" s="0" t="s">
        <v>1178</v>
      </c>
      <c r="E1195" s="0" t="s">
        <v>12</v>
      </c>
      <c r="F1195" s="0" t="s">
        <v>12</v>
      </c>
      <c r="G1195" s="0" t="s">
        <v>204</v>
      </c>
      <c r="I1195" s="5">
        <v>544.779300</v>
      </c>
      <c r="J1195" s="5">
        <v>1.000000</v>
      </c>
    </row>
    <row r="1196" spans="1:11">
      <c r="A1196" s="22" t="str">
        <f>HYPERLINK("https://app.vivvix.com/360/KMI/IntelliDrive/ApplUI/Pages/CreativePages/CustomReportCreativeDetail.aspx?App=23&amp;ReportView=4&amp;Qid=1696098&amp;Row=1188&amp;Col=1","No Title Assigned - #15280969509")</f>
        <v/>
      </c>
      <c r="B1196" s="0" t="s">
        <v>1179</v>
      </c>
      <c r="E1196" s="0" t="s">
        <v>12</v>
      </c>
      <c r="F1196" s="0" t="s">
        <v>12</v>
      </c>
      <c r="G1196" s="0" t="s">
        <v>17</v>
      </c>
      <c r="I1196" s="5">
        <v>14.539000</v>
      </c>
      <c r="J1196" s="5">
        <v>2.000000</v>
      </c>
    </row>
    <row r="1197" spans="1:11">
      <c r="A1197" s="22" t="str">
        <f>HYPERLINK("https://app.vivvix.com/360/KMI/IntelliDrive/ApplUI/Pages/CreativePages/CustomReportCreativeDetail.aspx?App=23&amp;ReportView=4&amp;Qid=1696098&amp;Row=1189&amp;Col=1","No Title Assigned - #15280972990")</f>
        <v/>
      </c>
      <c r="B1197" s="0" t="s">
        <v>1180</v>
      </c>
      <c r="E1197" s="0" t="s">
        <v>12</v>
      </c>
      <c r="F1197" s="0" t="s">
        <v>12</v>
      </c>
      <c r="G1197" s="0" t="s">
        <v>204</v>
      </c>
      <c r="I1197" s="5">
        <v>54.899200</v>
      </c>
      <c r="J1197" s="5">
        <v>1.000000</v>
      </c>
    </row>
    <row r="1198" spans="1:11">
      <c r="A1198" s="22" t="str">
        <f>HYPERLINK("https://app.vivvix.com/360/KMI/IntelliDrive/ApplUI/Pages/CreativePages/CustomReportCreativeDetail.aspx?App=23&amp;ReportView=4&amp;Qid=1696098&amp;Row=1190&amp;Col=1","No Title Assigned - #15280974073")</f>
        <v/>
      </c>
      <c r="B1198" s="0" t="s">
        <v>1181</v>
      </c>
      <c r="E1198" s="0" t="s">
        <v>12</v>
      </c>
      <c r="F1198" s="0" t="s">
        <v>12</v>
      </c>
      <c r="G1198" s="0" t="s">
        <v>204</v>
      </c>
      <c r="I1198" s="5">
        <v>173.446000</v>
      </c>
      <c r="J1198" s="5">
        <v>1.000000</v>
      </c>
    </row>
    <row r="1199" spans="1:11">
      <c r="A1199" s="22" t="str">
        <f>HYPERLINK("https://app.vivvix.com/360/KMI/IntelliDrive/ApplUI/Pages/CreativePages/CustomReportCreativeDetail.aspx?App=23&amp;ReportView=4&amp;Qid=1696098&amp;Row=1191&amp;Col=1","No Title Assigned - #15280974983")</f>
        <v/>
      </c>
      <c r="B1199" s="0" t="s">
        <v>1182</v>
      </c>
      <c r="E1199" s="0" t="s">
        <v>12</v>
      </c>
      <c r="F1199" s="0" t="s">
        <v>12</v>
      </c>
      <c r="G1199" s="0" t="s">
        <v>204</v>
      </c>
      <c r="I1199" s="5">
        <v>54.899200</v>
      </c>
      <c r="J1199" s="5">
        <v>1.000000</v>
      </c>
    </row>
    <row r="1200" spans="1:11">
      <c r="A1200" s="22" t="str">
        <f>HYPERLINK("https://app.vivvix.com/360/KMI/IntelliDrive/ApplUI/Pages/CreativePages/CustomReportCreativeDetail.aspx?App=23&amp;ReportView=4&amp;Qid=1696098&amp;Row=1192&amp;Col=1","No Title Assigned - #15281000699")</f>
        <v/>
      </c>
      <c r="B1200" s="0" t="s">
        <v>1183</v>
      </c>
      <c r="E1200" s="0" t="s">
        <v>12</v>
      </c>
      <c r="F1200" s="0" t="s">
        <v>12</v>
      </c>
      <c r="G1200" s="0" t="s">
        <v>204</v>
      </c>
      <c r="I1200" s="5">
        <v>12439.998000</v>
      </c>
      <c r="J1200" s="5">
        <v>1.000000</v>
      </c>
    </row>
    <row r="1201" spans="1:11">
      <c r="A1201" s="22" t="str">
        <f>HYPERLINK("https://app.vivvix.com/360/KMI/IntelliDrive/ApplUI/Pages/CreativePages/CustomReportCreativeDetail.aspx?App=23&amp;ReportView=4&amp;Qid=1696098&amp;Row=1193&amp;Col=1","No Title Assigned - #15281002865")</f>
        <v/>
      </c>
      <c r="B1201" s="0" t="s">
        <v>1184</v>
      </c>
      <c r="E1201" s="0" t="s">
        <v>12</v>
      </c>
      <c r="F1201" s="0" t="s">
        <v>12</v>
      </c>
      <c r="G1201" s="0" t="s">
        <v>204</v>
      </c>
      <c r="I1201" s="5">
        <v>992.748000</v>
      </c>
      <c r="J1201" s="5">
        <v>5.000000</v>
      </c>
    </row>
    <row r="1202" spans="1:11">
      <c r="A1202" s="22" t="str">
        <f>HYPERLINK("https://app.vivvix.com/360/KMI/IntelliDrive/ApplUI/Pages/CreativePages/CustomReportCreativeDetail.aspx?App=23&amp;ReportView=4&amp;Qid=1696098&amp;Row=1194&amp;Col=1","No Title Assigned - #15281002866")</f>
        <v/>
      </c>
      <c r="B1202" s="0" t="s">
        <v>1185</v>
      </c>
      <c r="E1202" s="0" t="s">
        <v>12</v>
      </c>
      <c r="F1202" s="0" t="s">
        <v>12</v>
      </c>
      <c r="G1202" s="0" t="s">
        <v>204</v>
      </c>
      <c r="I1202" s="5">
        <v>590.034200</v>
      </c>
      <c r="J1202" s="5">
        <v>1.000000</v>
      </c>
    </row>
    <row r="1203" spans="1:11">
      <c r="A1203" s="22" t="str">
        <f>HYPERLINK("https://app.vivvix.com/360/KMI/IntelliDrive/ApplUI/Pages/CreativePages/CustomReportCreativeDetail.aspx?App=23&amp;ReportView=4&amp;Qid=1696098&amp;Row=1195&amp;Col=1","No Title Assigned - #15281020480")</f>
        <v/>
      </c>
      <c r="B1203" s="0" t="s">
        <v>1186</v>
      </c>
      <c r="E1203" s="0" t="s">
        <v>12</v>
      </c>
      <c r="F1203" s="0" t="s">
        <v>12</v>
      </c>
      <c r="G1203" s="0" t="s">
        <v>17</v>
      </c>
      <c r="I1203" s="5">
        <v>14.539000</v>
      </c>
      <c r="J1203" s="5">
        <v>2.000000</v>
      </c>
    </row>
    <row r="1204" spans="1:11">
      <c r="A1204" s="22" t="str">
        <f>HYPERLINK("https://app.vivvix.com/360/KMI/IntelliDrive/ApplUI/Pages/CreativePages/CustomReportCreativeDetail.aspx?App=23&amp;ReportView=4&amp;Qid=1696098&amp;Row=1196&amp;Col=1","No Title Assigned - #15281054577")</f>
        <v/>
      </c>
      <c r="B1204" s="0" t="s">
        <v>1187</v>
      </c>
      <c r="E1204" s="0" t="s">
        <v>12</v>
      </c>
      <c r="F1204" s="0" t="s">
        <v>12</v>
      </c>
      <c r="G1204" s="0" t="s">
        <v>17</v>
      </c>
      <c r="I1204" s="5">
        <v>10.799000</v>
      </c>
      <c r="J1204" s="5">
        <v>1.000000</v>
      </c>
    </row>
    <row r="1205" spans="1:11">
      <c r="A1205" s="22" t="str">
        <f>HYPERLINK("https://app.vivvix.com/360/KMI/IntelliDrive/ApplUI/Pages/CreativePages/CustomReportCreativeDetail.aspx?App=23&amp;ReportView=4&amp;Qid=1696098&amp;Row=1197&amp;Col=1","No Title Assigned - #15281056274")</f>
        <v/>
      </c>
      <c r="B1205" s="0" t="s">
        <v>1188</v>
      </c>
      <c r="E1205" s="0" t="s">
        <v>12</v>
      </c>
      <c r="F1205" s="0" t="s">
        <v>12</v>
      </c>
      <c r="G1205" s="0" t="s">
        <v>17</v>
      </c>
      <c r="I1205" s="5">
        <v>21.598000</v>
      </c>
      <c r="J1205" s="5">
        <v>2.000000</v>
      </c>
    </row>
    <row r="1206" spans="1:11">
      <c r="A1206" s="22" t="str">
        <f>HYPERLINK("https://app.vivvix.com/360/KMI/IntelliDrive/ApplUI/Pages/CreativePages/CustomReportCreativeDetail.aspx?App=23&amp;ReportView=4&amp;Qid=1696098&amp;Row=1198&amp;Col=1","No Title Assigned - #15281060394")</f>
        <v/>
      </c>
      <c r="B1206" s="0" t="s">
        <v>1189</v>
      </c>
      <c r="E1206" s="0" t="s">
        <v>12</v>
      </c>
      <c r="F1206" s="0" t="s">
        <v>12</v>
      </c>
      <c r="G1206" s="0" t="s">
        <v>204</v>
      </c>
      <c r="I1206" s="5">
        <v>866.977500</v>
      </c>
      <c r="J1206" s="5">
        <v>1.000000</v>
      </c>
    </row>
    <row r="1207" spans="1:11">
      <c r="A1207" s="22" t="str">
        <f>HYPERLINK("https://app.vivvix.com/360/KMI/IntelliDrive/ApplUI/Pages/CreativePages/CustomReportCreativeDetail.aspx?App=23&amp;ReportView=4&amp;Qid=1696098&amp;Row=1199&amp;Col=1","No Title Assigned - #15281077478")</f>
        <v/>
      </c>
      <c r="B1207" s="0" t="s">
        <v>1190</v>
      </c>
      <c r="E1207" s="0" t="s">
        <v>12</v>
      </c>
      <c r="F1207" s="0" t="s">
        <v>12</v>
      </c>
      <c r="G1207" s="0" t="s">
        <v>204</v>
      </c>
      <c r="I1207" s="5">
        <v>526.794200</v>
      </c>
      <c r="J1207" s="5">
        <v>2.000000</v>
      </c>
    </row>
    <row r="1208" spans="1:11">
      <c r="A1208" s="22" t="str">
        <f>HYPERLINK("https://app.vivvix.com/360/KMI/IntelliDrive/ApplUI/Pages/CreativePages/CustomReportCreativeDetail.aspx?App=23&amp;ReportView=4&amp;Qid=1696098&amp;Row=1200&amp;Col=1","No Title Assigned - #15281187555")</f>
        <v/>
      </c>
      <c r="B1208" s="0" t="s">
        <v>1191</v>
      </c>
      <c r="E1208" s="0" t="s">
        <v>12</v>
      </c>
      <c r="F1208" s="0" t="s">
        <v>12</v>
      </c>
      <c r="G1208" s="0" t="s">
        <v>17</v>
      </c>
      <c r="I1208" s="5">
        <v>28520.412000</v>
      </c>
      <c r="J1208" s="5">
        <v>1.000000</v>
      </c>
    </row>
    <row r="1209" spans="1:11">
      <c r="A1209" s="22" t="str">
        <f>HYPERLINK("https://app.vivvix.com/360/KMI/IntelliDrive/ApplUI/Pages/CreativePages/CustomReportCreativeDetail.aspx?App=23&amp;ReportView=4&amp;Qid=1696098&amp;Row=1201&amp;Col=1","No Title Assigned - #15281217458")</f>
        <v/>
      </c>
      <c r="B1209" s="0" t="s">
        <v>1192</v>
      </c>
      <c r="E1209" s="0" t="s">
        <v>12</v>
      </c>
      <c r="F1209" s="0" t="s">
        <v>12</v>
      </c>
      <c r="G1209" s="0" t="s">
        <v>204</v>
      </c>
      <c r="I1209" s="5">
        <v>2590.701400</v>
      </c>
      <c r="J1209" s="5">
        <v>1.000000</v>
      </c>
    </row>
    <row r="1210" spans="1:11">
      <c r="A1210" s="22" t="str">
        <f>HYPERLINK("https://app.vivvix.com/360/KMI/IntelliDrive/ApplUI/Pages/CreativePages/CustomReportCreativeDetail.aspx?App=23&amp;ReportView=4&amp;Qid=1696098&amp;Row=1202&amp;Col=1","No Title Assigned - #15281235504")</f>
        <v/>
      </c>
      <c r="B1210" s="0" t="s">
        <v>1193</v>
      </c>
      <c r="E1210" s="0" t="s">
        <v>12</v>
      </c>
      <c r="F1210" s="0" t="s">
        <v>12</v>
      </c>
      <c r="G1210" s="0" t="s">
        <v>204</v>
      </c>
      <c r="I1210" s="5">
        <v>753.716000</v>
      </c>
      <c r="J1210" s="5">
        <v>1.000000</v>
      </c>
    </row>
    <row r="1211" spans="1:11">
      <c r="A1211" s="22" t="str">
        <f>HYPERLINK("https://app.vivvix.com/360/KMI/IntelliDrive/ApplUI/Pages/CreativePages/CustomReportCreativeDetail.aspx?App=23&amp;ReportView=4&amp;Qid=1696098&amp;Row=1203&amp;Col=1","No Title Assigned - #15281243864")</f>
        <v/>
      </c>
      <c r="B1211" s="0" t="s">
        <v>1194</v>
      </c>
      <c r="E1211" s="0" t="s">
        <v>12</v>
      </c>
      <c r="F1211" s="0" t="s">
        <v>12</v>
      </c>
      <c r="G1211" s="0" t="s">
        <v>204</v>
      </c>
      <c r="I1211" s="5">
        <v>263.397100</v>
      </c>
      <c r="J1211" s="5">
        <v>1.000000</v>
      </c>
    </row>
    <row r="1212" spans="1:11">
      <c r="A1212" s="22" t="str">
        <f>HYPERLINK("https://app.vivvix.com/360/KMI/IntelliDrive/ApplUI/Pages/CreativePages/CustomReportCreativeDetail.aspx?App=23&amp;ReportView=4&amp;Qid=1696098&amp;Row=1204&amp;Col=1","No Title Assigned - #15281277591")</f>
        <v/>
      </c>
      <c r="B1212" s="0" t="s">
        <v>1195</v>
      </c>
      <c r="E1212" s="0" t="s">
        <v>12</v>
      </c>
      <c r="F1212" s="0" t="s">
        <v>12</v>
      </c>
      <c r="G1212" s="0" t="s">
        <v>204</v>
      </c>
      <c r="I1212" s="5">
        <v>3258.278800</v>
      </c>
      <c r="J1212" s="5">
        <v>1.000000</v>
      </c>
    </row>
    <row r="1213" spans="1:11">
      <c r="A1213" s="22" t="str">
        <f>HYPERLINK("https://app.vivvix.com/360/KMI/IntelliDrive/ApplUI/Pages/CreativePages/CustomReportCreativeDetail.aspx?App=23&amp;ReportView=4&amp;Qid=1696098&amp;Row=1205&amp;Col=1","No Title Assigned - #15281318127")</f>
        <v/>
      </c>
      <c r="B1213" s="0" t="s">
        <v>1196</v>
      </c>
      <c r="E1213" s="0" t="s">
        <v>12</v>
      </c>
      <c r="F1213" s="0" t="s">
        <v>12</v>
      </c>
      <c r="G1213" s="0" t="s">
        <v>204</v>
      </c>
      <c r="I1213" s="5">
        <v>3258.278800</v>
      </c>
      <c r="J1213" s="5">
        <v>1.000000</v>
      </c>
    </row>
    <row r="1214" spans="1:11">
      <c r="A1214" s="22" t="str">
        <f>HYPERLINK("https://app.vivvix.com/360/KMI/IntelliDrive/ApplUI/Pages/CreativePages/CustomReportCreativeDetail.aspx?App=23&amp;ReportView=4&amp;Qid=1696098&amp;Row=1206&amp;Col=1","No Title Assigned - #15281336068")</f>
        <v/>
      </c>
      <c r="B1214" s="0" t="s">
        <v>1197</v>
      </c>
      <c r="E1214" s="0" t="s">
        <v>12</v>
      </c>
      <c r="F1214" s="0" t="s">
        <v>12</v>
      </c>
      <c r="G1214" s="0" t="s">
        <v>204</v>
      </c>
      <c r="I1214" s="5">
        <v>501.878600</v>
      </c>
      <c r="J1214" s="5">
        <v>1.000000</v>
      </c>
    </row>
    <row r="1215" spans="1:11">
      <c r="A1215" s="22" t="str">
        <f>HYPERLINK("https://app.vivvix.com/360/KMI/IntelliDrive/ApplUI/Pages/CreativePages/CustomReportCreativeDetail.aspx?App=23&amp;ReportView=4&amp;Qid=1696098&amp;Row=1207&amp;Col=1","No Title Assigned - #15281352694")</f>
        <v/>
      </c>
      <c r="B1215" s="0" t="s">
        <v>1198</v>
      </c>
      <c r="E1215" s="0" t="s">
        <v>12</v>
      </c>
      <c r="F1215" s="0" t="s">
        <v>12</v>
      </c>
      <c r="G1215" s="0" t="s">
        <v>204</v>
      </c>
      <c r="I1215" s="5">
        <v>540.073100</v>
      </c>
      <c r="J1215" s="5">
        <v>1.000000</v>
      </c>
    </row>
    <row r="1216" spans="1:11">
      <c r="A1216" s="22" t="str">
        <f>HYPERLINK("https://app.vivvix.com/360/KMI/IntelliDrive/ApplUI/Pages/CreativePages/CustomReportCreativeDetail.aspx?App=23&amp;ReportView=4&amp;Qid=1696098&amp;Row=1208&amp;Col=1","No Title Assigned - #15281373183")</f>
        <v/>
      </c>
      <c r="B1216" s="0" t="s">
        <v>1199</v>
      </c>
      <c r="E1216" s="0" t="s">
        <v>12</v>
      </c>
      <c r="F1216" s="0" t="s">
        <v>12</v>
      </c>
      <c r="G1216" s="0" t="s">
        <v>204</v>
      </c>
      <c r="I1216" s="5">
        <v>54.899200</v>
      </c>
      <c r="J1216" s="5">
        <v>1.000000</v>
      </c>
    </row>
    <row r="1217" spans="1:11">
      <c r="A1217" s="22" t="str">
        <f>HYPERLINK("https://app.vivvix.com/360/KMI/IntelliDrive/ApplUI/Pages/CreativePages/CustomReportCreativeDetail.aspx?App=23&amp;ReportView=4&amp;Qid=1696098&amp;Row=1209&amp;Col=1","No Title Assigned - #15281456638")</f>
        <v/>
      </c>
      <c r="B1217" s="0" t="s">
        <v>1200</v>
      </c>
      <c r="E1217" s="0" t="s">
        <v>12</v>
      </c>
      <c r="F1217" s="0" t="s">
        <v>12</v>
      </c>
      <c r="G1217" s="0" t="s">
        <v>204</v>
      </c>
      <c r="I1217" s="5">
        <v>3564.086900</v>
      </c>
      <c r="J1217" s="5">
        <v>1.000000</v>
      </c>
    </row>
    <row r="1218" spans="1:11">
      <c r="A1218" s="22" t="str">
        <f>HYPERLINK("https://app.vivvix.com/360/KMI/IntelliDrive/ApplUI/Pages/CreativePages/CustomReportCreativeDetail.aspx?App=23&amp;ReportView=4&amp;Qid=1696098&amp;Row=1210&amp;Col=1","No Title Assigned - #15281456685")</f>
        <v/>
      </c>
      <c r="B1218" s="0" t="s">
        <v>1201</v>
      </c>
      <c r="E1218" s="0" t="s">
        <v>12</v>
      </c>
      <c r="F1218" s="0" t="s">
        <v>12</v>
      </c>
      <c r="G1218" s="0" t="s">
        <v>17</v>
      </c>
      <c r="I1218" s="5">
        <v>1293.335000</v>
      </c>
      <c r="J1218" s="5">
        <v>1.000000</v>
      </c>
    </row>
    <row r="1219" spans="1:11">
      <c r="A1219" s="22" t="str">
        <f>HYPERLINK("https://app.vivvix.com/360/KMI/IntelliDrive/ApplUI/Pages/CreativePages/CustomReportCreativeDetail.aspx?App=23&amp;ReportView=4&amp;Qid=1696098&amp;Row=1211&amp;Col=1","No Title Assigned - #15281466624")</f>
        <v/>
      </c>
      <c r="B1219" s="0" t="s">
        <v>1202</v>
      </c>
      <c r="E1219" s="0" t="s">
        <v>12</v>
      </c>
      <c r="F1219" s="0" t="s">
        <v>12</v>
      </c>
      <c r="G1219" s="0" t="s">
        <v>204</v>
      </c>
      <c r="I1219" s="5">
        <v>870.819400</v>
      </c>
      <c r="J1219" s="5">
        <v>1.000000</v>
      </c>
    </row>
    <row r="1220" spans="1:11">
      <c r="A1220" s="22" t="str">
        <f>HYPERLINK("https://app.vivvix.com/360/KMI/IntelliDrive/ApplUI/Pages/CreativePages/CustomReportCreativeDetail.aspx?App=23&amp;ReportView=4&amp;Qid=1696098&amp;Row=1212&amp;Col=1","No Title Assigned - #15281515457")</f>
        <v/>
      </c>
      <c r="B1220" s="0" t="s">
        <v>1203</v>
      </c>
      <c r="E1220" s="0" t="s">
        <v>12</v>
      </c>
      <c r="F1220" s="0" t="s">
        <v>12</v>
      </c>
      <c r="G1220" s="0" t="s">
        <v>204</v>
      </c>
      <c r="I1220" s="5">
        <v>824.394100</v>
      </c>
      <c r="J1220" s="5">
        <v>1.000000</v>
      </c>
    </row>
    <row r="1221" spans="1:11">
      <c r="A1221" s="22" t="str">
        <f>HYPERLINK("https://app.vivvix.com/360/KMI/IntelliDrive/ApplUI/Pages/CreativePages/CustomReportCreativeDetail.aspx?App=23&amp;ReportView=4&amp;Qid=1696098&amp;Row=1213&amp;Col=1","No Title Assigned - #15281575018")</f>
        <v/>
      </c>
      <c r="B1221" s="0" t="s">
        <v>1204</v>
      </c>
      <c r="E1221" s="0" t="s">
        <v>12</v>
      </c>
      <c r="F1221" s="0" t="s">
        <v>12</v>
      </c>
      <c r="G1221" s="0" t="s">
        <v>204</v>
      </c>
      <c r="I1221" s="5">
        <v>20799.925800</v>
      </c>
      <c r="J1221" s="5">
        <v>1.000000</v>
      </c>
    </row>
    <row r="1222" spans="1:11">
      <c r="A1222" s="22" t="str">
        <f>HYPERLINK("https://app.vivvix.com/360/KMI/IntelliDrive/ApplUI/Pages/CreativePages/CustomReportCreativeDetail.aspx?App=23&amp;ReportView=4&amp;Qid=1696098&amp;Row=1214&amp;Col=1","No Title Assigned - #15281576433")</f>
        <v/>
      </c>
      <c r="B1222" s="0" t="s">
        <v>1205</v>
      </c>
      <c r="E1222" s="0" t="s">
        <v>12</v>
      </c>
      <c r="F1222" s="0" t="s">
        <v>12</v>
      </c>
      <c r="G1222" s="0" t="s">
        <v>204</v>
      </c>
      <c r="I1222" s="5">
        <v>14068.421900</v>
      </c>
      <c r="J1222" s="5">
        <v>1.000000</v>
      </c>
    </row>
    <row r="1223" spans="1:11">
      <c r="A1223" s="22" t="str">
        <f>HYPERLINK("https://app.vivvix.com/360/KMI/IntelliDrive/ApplUI/Pages/CreativePages/CustomReportCreativeDetail.aspx?App=23&amp;ReportView=4&amp;Qid=1696098&amp;Row=1215&amp;Col=1","No Title Assigned - #15281585080")</f>
        <v/>
      </c>
      <c r="B1223" s="0" t="s">
        <v>1206</v>
      </c>
      <c r="E1223" s="0" t="s">
        <v>12</v>
      </c>
      <c r="F1223" s="0" t="s">
        <v>12</v>
      </c>
      <c r="G1223" s="0" t="s">
        <v>204</v>
      </c>
      <c r="I1223" s="5">
        <v>3564.086900</v>
      </c>
      <c r="J1223" s="5">
        <v>1.000000</v>
      </c>
    </row>
    <row r="1224" spans="1:11">
      <c r="A1224" s="22" t="str">
        <f>HYPERLINK("https://app.vivvix.com/360/KMI/IntelliDrive/ApplUI/Pages/CreativePages/CustomReportCreativeDetail.aspx?App=23&amp;ReportView=4&amp;Qid=1696098&amp;Row=1216&amp;Col=1","No Title Assigned - #15281585087")</f>
        <v/>
      </c>
      <c r="B1224" s="0" t="s">
        <v>1207</v>
      </c>
      <c r="E1224" s="0" t="s">
        <v>12</v>
      </c>
      <c r="F1224" s="0" t="s">
        <v>12</v>
      </c>
      <c r="G1224" s="0" t="s">
        <v>204</v>
      </c>
      <c r="I1224" s="5">
        <v>3564.086900</v>
      </c>
      <c r="J1224" s="5">
        <v>1.000000</v>
      </c>
    </row>
    <row r="1225" spans="1:11">
      <c r="A1225" s="22" t="str">
        <f>HYPERLINK("https://app.vivvix.com/360/KMI/IntelliDrive/ApplUI/Pages/CreativePages/CustomReportCreativeDetail.aspx?App=23&amp;ReportView=4&amp;Qid=1696098&amp;Row=1217&amp;Col=1","No Title Assigned - #15281586922")</f>
        <v/>
      </c>
      <c r="B1225" s="0" t="s">
        <v>1208</v>
      </c>
      <c r="E1225" s="0" t="s">
        <v>12</v>
      </c>
      <c r="F1225" s="0" t="s">
        <v>12</v>
      </c>
      <c r="G1225" s="0" t="s">
        <v>204</v>
      </c>
      <c r="I1225" s="5">
        <v>32589.271500</v>
      </c>
      <c r="J1225" s="5">
        <v>1.000000</v>
      </c>
    </row>
    <row r="1226" spans="1:11">
      <c r="A1226" s="22" t="str">
        <f>HYPERLINK("https://app.vivvix.com/360/KMI/IntelliDrive/ApplUI/Pages/CreativePages/CustomReportCreativeDetail.aspx?App=23&amp;ReportView=4&amp;Qid=1696098&amp;Row=1218&amp;Col=1","No Title Assigned - #15281611133")</f>
        <v/>
      </c>
      <c r="B1226" s="0" t="s">
        <v>1209</v>
      </c>
      <c r="E1226" s="0" t="s">
        <v>12</v>
      </c>
      <c r="F1226" s="0" t="s">
        <v>12</v>
      </c>
      <c r="G1226" s="0" t="s">
        <v>204</v>
      </c>
      <c r="I1226" s="5">
        <v>1359.503400</v>
      </c>
      <c r="J1226" s="5">
        <v>1.000000</v>
      </c>
    </row>
    <row r="1227" spans="1:11">
      <c r="A1227" s="22" t="str">
        <f>HYPERLINK("https://app.vivvix.com/360/KMI/IntelliDrive/ApplUI/Pages/CreativePages/CustomReportCreativeDetail.aspx?App=23&amp;ReportView=4&amp;Qid=1696098&amp;Row=1219&amp;Col=1","No Title Assigned - #15281638202")</f>
        <v/>
      </c>
      <c r="B1227" s="0" t="s">
        <v>1210</v>
      </c>
      <c r="E1227" s="0" t="s">
        <v>12</v>
      </c>
      <c r="F1227" s="0" t="s">
        <v>12</v>
      </c>
      <c r="G1227" s="0" t="s">
        <v>204</v>
      </c>
      <c r="I1227" s="5">
        <v>34130.637500</v>
      </c>
      <c r="J1227" s="5">
        <v>24.000000</v>
      </c>
    </row>
    <row r="1228" spans="1:11">
      <c r="A1228" s="22" t="str">
        <f>HYPERLINK("https://app.vivvix.com/360/KMI/IntelliDrive/ApplUI/Pages/CreativePages/CustomReportCreativeDetail.aspx?App=23&amp;ReportView=4&amp;Qid=1696098&amp;Row=1220&amp;Col=1","No Title Assigned - #15281639765")</f>
        <v/>
      </c>
      <c r="B1228" s="0" t="s">
        <v>1211</v>
      </c>
      <c r="E1228" s="0" t="s">
        <v>12</v>
      </c>
      <c r="F1228" s="0" t="s">
        <v>12</v>
      </c>
      <c r="G1228" s="0" t="s">
        <v>204</v>
      </c>
      <c r="I1228" s="5">
        <v>523.772700</v>
      </c>
      <c r="J1228" s="5">
        <v>1.000000</v>
      </c>
    </row>
    <row r="1229" spans="1:11">
      <c r="A1229" s="22" t="str">
        <f>HYPERLINK("https://app.vivvix.com/360/KMI/IntelliDrive/ApplUI/Pages/CreativePages/CustomReportCreativeDetail.aspx?App=23&amp;ReportView=4&amp;Qid=1696098&amp;Row=1221&amp;Col=1","No Title Assigned - #15281678060")</f>
        <v/>
      </c>
      <c r="B1229" s="0" t="s">
        <v>1212</v>
      </c>
      <c r="E1229" s="0" t="s">
        <v>12</v>
      </c>
      <c r="F1229" s="0" t="s">
        <v>12</v>
      </c>
      <c r="G1229" s="0" t="s">
        <v>204</v>
      </c>
      <c r="I1229" s="5">
        <v>712.633100</v>
      </c>
      <c r="J1229" s="5">
        <v>1.000000</v>
      </c>
    </row>
    <row r="1230" spans="1:11">
      <c r="A1230" s="22" t="str">
        <f>HYPERLINK("https://app.vivvix.com/360/KMI/IntelliDrive/ApplUI/Pages/CreativePages/CustomReportCreativeDetail.aspx?App=23&amp;ReportView=4&amp;Qid=1696098&amp;Row=1222&amp;Col=1","No Title Assigned - #15281678061")</f>
        <v/>
      </c>
      <c r="B1230" s="0" t="s">
        <v>1213</v>
      </c>
      <c r="E1230" s="0" t="s">
        <v>12</v>
      </c>
      <c r="F1230" s="0" t="s">
        <v>12</v>
      </c>
      <c r="G1230" s="0" t="s">
        <v>204</v>
      </c>
      <c r="I1230" s="5">
        <v>712.633100</v>
      </c>
      <c r="J1230" s="5">
        <v>1.000000</v>
      </c>
    </row>
    <row r="1231" spans="1:11">
      <c r="A1231" s="22" t="str">
        <f>HYPERLINK("https://app.vivvix.com/360/KMI/IntelliDrive/ApplUI/Pages/CreativePages/CustomReportCreativeDetail.aspx?App=23&amp;ReportView=4&amp;Qid=1696098&amp;Row=1223&amp;Col=1","No Title Assigned - #15281684773")</f>
        <v/>
      </c>
      <c r="B1231" s="0" t="s">
        <v>1214</v>
      </c>
      <c r="E1231" s="0" t="s">
        <v>12</v>
      </c>
      <c r="F1231" s="0" t="s">
        <v>12</v>
      </c>
      <c r="G1231" s="0" t="s">
        <v>204</v>
      </c>
      <c r="I1231" s="5">
        <v>3564.086900</v>
      </c>
      <c r="J1231" s="5">
        <v>1.000000</v>
      </c>
    </row>
    <row r="1232" spans="1:11">
      <c r="A1232" s="22" t="str">
        <f>HYPERLINK("https://app.vivvix.com/360/KMI/IntelliDrive/ApplUI/Pages/CreativePages/CustomReportCreativeDetail.aspx?App=23&amp;ReportView=4&amp;Qid=1696098&amp;Row=1224&amp;Col=1","No Title Assigned - #15281708443")</f>
        <v/>
      </c>
      <c r="B1232" s="0" t="s">
        <v>1215</v>
      </c>
      <c r="E1232" s="0" t="s">
        <v>12</v>
      </c>
      <c r="F1232" s="0" t="s">
        <v>12</v>
      </c>
      <c r="G1232" s="0" t="s">
        <v>204</v>
      </c>
      <c r="I1232" s="5">
        <v>899.548600</v>
      </c>
      <c r="J1232" s="5">
        <v>2.000000</v>
      </c>
    </row>
    <row r="1233" spans="1:11">
      <c r="A1233" s="22" t="str">
        <f>HYPERLINK("https://app.vivvix.com/360/KMI/IntelliDrive/ApplUI/Pages/CreativePages/CustomReportCreativeDetail.aspx?App=23&amp;ReportView=4&amp;Qid=1696098&amp;Row=1225&amp;Col=1","No Title Assigned - #15281708456")</f>
        <v/>
      </c>
      <c r="B1233" s="0" t="s">
        <v>1216</v>
      </c>
      <c r="E1233" s="0" t="s">
        <v>12</v>
      </c>
      <c r="F1233" s="0" t="s">
        <v>12</v>
      </c>
      <c r="G1233" s="0" t="s">
        <v>204</v>
      </c>
      <c r="I1233" s="5">
        <v>449.774300</v>
      </c>
      <c r="J1233" s="5">
        <v>1.000000</v>
      </c>
    </row>
    <row r="1234" spans="1:11">
      <c r="A1234" s="22" t="str">
        <f>HYPERLINK("https://app.vivvix.com/360/KMI/IntelliDrive/ApplUI/Pages/CreativePages/CustomReportCreativeDetail.aspx?App=23&amp;ReportView=4&amp;Qid=1696098&amp;Row=1226&amp;Col=1","No Title Assigned - #15281708550")</f>
        <v/>
      </c>
      <c r="B1234" s="0" t="s">
        <v>1217</v>
      </c>
      <c r="E1234" s="0" t="s">
        <v>12</v>
      </c>
      <c r="F1234" s="0" t="s">
        <v>12</v>
      </c>
      <c r="G1234" s="0" t="s">
        <v>204</v>
      </c>
      <c r="I1234" s="5">
        <v>449.774300</v>
      </c>
      <c r="J1234" s="5">
        <v>1.000000</v>
      </c>
    </row>
    <row r="1235" spans="1:11">
      <c r="A1235" s="22" t="str">
        <f>HYPERLINK("https://app.vivvix.com/360/KMI/IntelliDrive/ApplUI/Pages/CreativePages/CustomReportCreativeDetail.aspx?App=23&amp;ReportView=4&amp;Qid=1696098&amp;Row=1227&amp;Col=1","No Title Assigned - #15281708593")</f>
        <v/>
      </c>
      <c r="B1235" s="0" t="s">
        <v>1218</v>
      </c>
      <c r="E1235" s="0" t="s">
        <v>12</v>
      </c>
      <c r="F1235" s="0" t="s">
        <v>12</v>
      </c>
      <c r="G1235" s="0" t="s">
        <v>204</v>
      </c>
      <c r="I1235" s="5">
        <v>449.774300</v>
      </c>
      <c r="J1235" s="5">
        <v>1.000000</v>
      </c>
    </row>
    <row r="1236" spans="1:11">
      <c r="A1236" s="22" t="str">
        <f>HYPERLINK("https://app.vivvix.com/360/KMI/IntelliDrive/ApplUI/Pages/CreativePages/CustomReportCreativeDetail.aspx?App=23&amp;ReportView=4&amp;Qid=1696098&amp;Row=1228&amp;Col=1","No Title Assigned - #15281712631")</f>
        <v/>
      </c>
      <c r="B1236" s="0" t="s">
        <v>1219</v>
      </c>
      <c r="E1236" s="0" t="s">
        <v>12</v>
      </c>
      <c r="F1236" s="0" t="s">
        <v>12</v>
      </c>
      <c r="G1236" s="0" t="s">
        <v>204</v>
      </c>
      <c r="I1236" s="5">
        <v>555.503500</v>
      </c>
      <c r="J1236" s="5">
        <v>1.000000</v>
      </c>
    </row>
    <row r="1237" spans="1:11">
      <c r="A1237" s="22" t="str">
        <f>HYPERLINK("https://app.vivvix.com/360/KMI/IntelliDrive/ApplUI/Pages/CreativePages/CustomReportCreativeDetail.aspx?App=23&amp;ReportView=4&amp;Qid=1696098&amp;Row=1229&amp;Col=1","No Title Assigned - #15281719340")</f>
        <v/>
      </c>
      <c r="B1237" s="0" t="s">
        <v>1220</v>
      </c>
      <c r="E1237" s="0" t="s">
        <v>12</v>
      </c>
      <c r="F1237" s="0" t="s">
        <v>12</v>
      </c>
      <c r="G1237" s="0" t="s">
        <v>204</v>
      </c>
      <c r="I1237" s="5">
        <v>1717.221800</v>
      </c>
      <c r="J1237" s="5">
        <v>1.000000</v>
      </c>
    </row>
    <row r="1238" spans="1:11">
      <c r="A1238" s="22" t="str">
        <f>HYPERLINK("https://app.vivvix.com/360/KMI/IntelliDrive/ApplUI/Pages/CreativePages/CustomReportCreativeDetail.aspx?App=23&amp;ReportView=4&amp;Qid=1696098&amp;Row=1230&amp;Col=1","No Title Assigned - #15281725832")</f>
        <v/>
      </c>
      <c r="B1238" s="0" t="s">
        <v>1221</v>
      </c>
      <c r="E1238" s="0" t="s">
        <v>12</v>
      </c>
      <c r="F1238" s="0" t="s">
        <v>12</v>
      </c>
      <c r="G1238" s="0" t="s">
        <v>204</v>
      </c>
      <c r="I1238" s="5">
        <v>712.633100</v>
      </c>
      <c r="J1238" s="5">
        <v>1.000000</v>
      </c>
    </row>
    <row r="1239" spans="1:11">
      <c r="A1239" s="22" t="str">
        <f>HYPERLINK("https://app.vivvix.com/360/KMI/IntelliDrive/ApplUI/Pages/CreativePages/CustomReportCreativeDetail.aspx?App=23&amp;ReportView=4&amp;Qid=1696098&amp;Row=1231&amp;Col=1","No Title Assigned - #15281818581")</f>
        <v/>
      </c>
      <c r="B1239" s="0" t="s">
        <v>1222</v>
      </c>
      <c r="E1239" s="0" t="s">
        <v>12</v>
      </c>
      <c r="F1239" s="0" t="s">
        <v>12</v>
      </c>
      <c r="G1239" s="0" t="s">
        <v>204</v>
      </c>
      <c r="I1239" s="5">
        <v>670.304400</v>
      </c>
      <c r="J1239" s="5">
        <v>1.000000</v>
      </c>
    </row>
    <row r="1240" spans="1:11">
      <c r="A1240" s="22" t="str">
        <f>HYPERLINK("https://app.vivvix.com/360/KMI/IntelliDrive/ApplUI/Pages/CreativePages/CustomReportCreativeDetail.aspx?App=23&amp;ReportView=4&amp;Qid=1696098&amp;Row=1232&amp;Col=1","No Title Assigned - #15281831611")</f>
        <v/>
      </c>
      <c r="B1240" s="0" t="s">
        <v>1223</v>
      </c>
      <c r="E1240" s="0" t="s">
        <v>12</v>
      </c>
      <c r="F1240" s="0" t="s">
        <v>12</v>
      </c>
      <c r="G1240" s="0" t="s">
        <v>204</v>
      </c>
      <c r="I1240" s="5">
        <v>712.633100</v>
      </c>
      <c r="J1240" s="5">
        <v>1.000000</v>
      </c>
    </row>
    <row r="1241" spans="1:11">
      <c r="A1241" s="22" t="str">
        <f>HYPERLINK("https://app.vivvix.com/360/KMI/IntelliDrive/ApplUI/Pages/CreativePages/CustomReportCreativeDetail.aspx?App=23&amp;ReportView=4&amp;Qid=1696098&amp;Row=1233&amp;Col=1","No Title Assigned - #15281831613")</f>
        <v/>
      </c>
      <c r="B1241" s="0" t="s">
        <v>1224</v>
      </c>
      <c r="E1241" s="0" t="s">
        <v>12</v>
      </c>
      <c r="F1241" s="0" t="s">
        <v>12</v>
      </c>
      <c r="G1241" s="0" t="s">
        <v>204</v>
      </c>
      <c r="I1241" s="5">
        <v>712.633100</v>
      </c>
      <c r="J1241" s="5">
        <v>1.000000</v>
      </c>
    </row>
    <row r="1242" spans="1:11">
      <c r="A1242" s="22" t="str">
        <f>HYPERLINK("https://app.vivvix.com/360/KMI/IntelliDrive/ApplUI/Pages/CreativePages/CustomReportCreativeDetail.aspx?App=23&amp;ReportView=4&amp;Qid=1696098&amp;Row=1234&amp;Col=1","No Title Assigned - #15281831616")</f>
        <v/>
      </c>
      <c r="B1242" s="0" t="s">
        <v>1225</v>
      </c>
      <c r="E1242" s="0" t="s">
        <v>12</v>
      </c>
      <c r="F1242" s="0" t="s">
        <v>12</v>
      </c>
      <c r="G1242" s="0" t="s">
        <v>204</v>
      </c>
      <c r="I1242" s="5">
        <v>712.633100</v>
      </c>
      <c r="J1242" s="5">
        <v>1.000000</v>
      </c>
    </row>
    <row r="1243" spans="1:11">
      <c r="A1243" s="22" t="str">
        <f>HYPERLINK("https://app.vivvix.com/360/KMI/IntelliDrive/ApplUI/Pages/CreativePages/CustomReportCreativeDetail.aspx?App=23&amp;ReportView=4&amp;Qid=1696098&amp;Row=1235&amp;Col=1","No Title Assigned - #15281862473")</f>
        <v/>
      </c>
      <c r="B1243" s="0" t="s">
        <v>1226</v>
      </c>
      <c r="E1243" s="0" t="s">
        <v>12</v>
      </c>
      <c r="F1243" s="0" t="s">
        <v>12</v>
      </c>
      <c r="G1243" s="0" t="s">
        <v>204</v>
      </c>
      <c r="I1243" s="5">
        <v>472.920300</v>
      </c>
      <c r="J1243" s="5">
        <v>1.000000</v>
      </c>
    </row>
    <row r="1244" spans="1:11">
      <c r="A1244" s="22" t="str">
        <f>HYPERLINK("https://app.vivvix.com/360/KMI/IntelliDrive/ApplUI/Pages/CreativePages/CustomReportCreativeDetail.aspx?App=23&amp;ReportView=4&amp;Qid=1696098&amp;Row=1236&amp;Col=1","No Title Assigned - #15281862481")</f>
        <v/>
      </c>
      <c r="B1244" s="0" t="s">
        <v>1227</v>
      </c>
      <c r="E1244" s="0" t="s">
        <v>12</v>
      </c>
      <c r="F1244" s="0" t="s">
        <v>12</v>
      </c>
      <c r="G1244" s="0" t="s">
        <v>204</v>
      </c>
      <c r="I1244" s="5">
        <v>417.691600</v>
      </c>
      <c r="J1244" s="5">
        <v>1.000000</v>
      </c>
    </row>
    <row r="1245" spans="1:11">
      <c r="A1245" s="22" t="str">
        <f>HYPERLINK("https://app.vivvix.com/360/KMI/IntelliDrive/ApplUI/Pages/CreativePages/CustomReportCreativeDetail.aspx?App=23&amp;ReportView=4&amp;Qid=1696098&amp;Row=1237&amp;Col=1","No Title Assigned - #15281876328")</f>
        <v/>
      </c>
      <c r="B1245" s="0" t="s">
        <v>1228</v>
      </c>
      <c r="E1245" s="0" t="s">
        <v>12</v>
      </c>
      <c r="F1245" s="0" t="s">
        <v>12</v>
      </c>
      <c r="G1245" s="0" t="s">
        <v>204</v>
      </c>
      <c r="I1245" s="5">
        <v>117.427300</v>
      </c>
      <c r="J1245" s="5">
        <v>1.000000</v>
      </c>
    </row>
    <row r="1246" spans="1:11">
      <c r="A1246" s="22" t="str">
        <f>HYPERLINK("https://app.vivvix.com/360/KMI/IntelliDrive/ApplUI/Pages/CreativePages/CustomReportCreativeDetail.aspx?App=23&amp;ReportView=4&amp;Qid=1696098&amp;Row=1238&amp;Col=1","No Title Assigned - #15281879623")</f>
        <v/>
      </c>
      <c r="B1246" s="0" t="s">
        <v>1229</v>
      </c>
      <c r="E1246" s="0" t="s">
        <v>12</v>
      </c>
      <c r="F1246" s="0" t="s">
        <v>12</v>
      </c>
      <c r="G1246" s="0" t="s">
        <v>204</v>
      </c>
      <c r="I1246" s="5">
        <v>3564.086900</v>
      </c>
      <c r="J1246" s="5">
        <v>1.000000</v>
      </c>
    </row>
    <row r="1247" spans="1:11">
      <c r="A1247" s="22" t="str">
        <f>HYPERLINK("https://app.vivvix.com/360/KMI/IntelliDrive/ApplUI/Pages/CreativePages/CustomReportCreativeDetail.aspx?App=23&amp;ReportView=4&amp;Qid=1696098&amp;Row=1239&amp;Col=1","No Title Assigned - #15281918076")</f>
        <v/>
      </c>
      <c r="B1247" s="0" t="s">
        <v>1230</v>
      </c>
      <c r="E1247" s="0" t="s">
        <v>12</v>
      </c>
      <c r="F1247" s="0" t="s">
        <v>12</v>
      </c>
      <c r="G1247" s="0" t="s">
        <v>204</v>
      </c>
      <c r="I1247" s="5">
        <v>10692.260700</v>
      </c>
      <c r="J1247" s="5">
        <v>3.000000</v>
      </c>
    </row>
    <row r="1248" spans="1:11">
      <c r="A1248" s="22" t="str">
        <f>HYPERLINK("https://app.vivvix.com/360/KMI/IntelliDrive/ApplUI/Pages/CreativePages/CustomReportCreativeDetail.aspx?App=23&amp;ReportView=4&amp;Qid=1696098&amp;Row=1240&amp;Col=1","No Title Assigned - #15281924845")</f>
        <v/>
      </c>
      <c r="B1248" s="0" t="s">
        <v>1231</v>
      </c>
      <c r="E1248" s="0" t="s">
        <v>12</v>
      </c>
      <c r="F1248" s="0" t="s">
        <v>12</v>
      </c>
      <c r="G1248" s="0" t="s">
        <v>204</v>
      </c>
      <c r="I1248" s="5">
        <v>712.633100</v>
      </c>
      <c r="J1248" s="5">
        <v>1.000000</v>
      </c>
    </row>
    <row r="1249" spans="1:11">
      <c r="A1249" s="22" t="str">
        <f>HYPERLINK("https://app.vivvix.com/360/KMI/IntelliDrive/ApplUI/Pages/CreativePages/CustomReportCreativeDetail.aspx?App=23&amp;ReportView=4&amp;Qid=1696098&amp;Row=1241&amp;Col=1","No Title Assigned - #15281927075")</f>
        <v/>
      </c>
      <c r="B1249" s="0" t="s">
        <v>1232</v>
      </c>
      <c r="E1249" s="0" t="s">
        <v>12</v>
      </c>
      <c r="F1249" s="0" t="s">
        <v>12</v>
      </c>
      <c r="G1249" s="0" t="s">
        <v>204</v>
      </c>
      <c r="I1249" s="5">
        <v>712.633100</v>
      </c>
      <c r="J1249" s="5">
        <v>1.000000</v>
      </c>
    </row>
    <row r="1250" spans="1:11">
      <c r="A1250" s="22" t="str">
        <f>HYPERLINK("https://app.vivvix.com/360/KMI/IntelliDrive/ApplUI/Pages/CreativePages/CustomReportCreativeDetail.aspx?App=23&amp;ReportView=4&amp;Qid=1696098&amp;Row=1242&amp;Col=1","No Title Assigned - #15281961606")</f>
        <v/>
      </c>
      <c r="B1250" s="0" t="s">
        <v>1233</v>
      </c>
      <c r="E1250" s="0" t="s">
        <v>12</v>
      </c>
      <c r="F1250" s="0" t="s">
        <v>12</v>
      </c>
      <c r="G1250" s="0" t="s">
        <v>204</v>
      </c>
      <c r="I1250" s="5">
        <v>12077.608400</v>
      </c>
      <c r="J1250" s="5">
        <v>1.000000</v>
      </c>
    </row>
    <row r="1251" spans="1:11">
      <c r="A1251" s="22" t="str">
        <f>HYPERLINK("https://app.vivvix.com/360/KMI/IntelliDrive/ApplUI/Pages/CreativePages/CustomReportCreativeDetail.aspx?App=23&amp;ReportView=4&amp;Qid=1696098&amp;Row=1243&amp;Col=1","No Title Assigned - #15281978042")</f>
        <v/>
      </c>
      <c r="B1251" s="0" t="s">
        <v>1234</v>
      </c>
      <c r="E1251" s="0" t="s">
        <v>12</v>
      </c>
      <c r="F1251" s="0" t="s">
        <v>12</v>
      </c>
      <c r="G1251" s="0" t="s">
        <v>204</v>
      </c>
      <c r="I1251" s="5">
        <v>1248.057900</v>
      </c>
      <c r="J1251" s="5">
        <v>1.000000</v>
      </c>
    </row>
    <row r="1252" spans="1:11">
      <c r="A1252" s="22" t="str">
        <f>HYPERLINK("https://app.vivvix.com/360/KMI/IntelliDrive/ApplUI/Pages/CreativePages/CustomReportCreativeDetail.aspx?App=23&amp;ReportView=4&amp;Qid=1696098&amp;Row=1244&amp;Col=1","No Title Assigned - #15281992306")</f>
        <v/>
      </c>
      <c r="B1252" s="0" t="s">
        <v>1235</v>
      </c>
      <c r="E1252" s="0" t="s">
        <v>12</v>
      </c>
      <c r="F1252" s="0" t="s">
        <v>12</v>
      </c>
      <c r="G1252" s="0" t="s">
        <v>204</v>
      </c>
      <c r="I1252" s="5">
        <v>205.168800</v>
      </c>
      <c r="J1252" s="5">
        <v>1.000000</v>
      </c>
    </row>
    <row r="1253" spans="1:11">
      <c r="A1253" s="22" t="str">
        <f>HYPERLINK("https://app.vivvix.com/360/KMI/IntelliDrive/ApplUI/Pages/CreativePages/CustomReportCreativeDetail.aspx?App=23&amp;ReportView=4&amp;Qid=1696098&amp;Row=1245&amp;Col=1","No Title Assigned - #15281992307")</f>
        <v/>
      </c>
      <c r="B1253" s="0" t="s">
        <v>1236</v>
      </c>
      <c r="E1253" s="0" t="s">
        <v>12</v>
      </c>
      <c r="F1253" s="0" t="s">
        <v>12</v>
      </c>
      <c r="G1253" s="0" t="s">
        <v>204</v>
      </c>
      <c r="I1253" s="5">
        <v>205.168800</v>
      </c>
      <c r="J1253" s="5">
        <v>1.000000</v>
      </c>
    </row>
    <row r="1254" spans="1:11">
      <c r="A1254" s="22" t="str">
        <f>HYPERLINK("https://app.vivvix.com/360/KMI/IntelliDrive/ApplUI/Pages/CreativePages/CustomReportCreativeDetail.aspx?App=23&amp;ReportView=4&amp;Qid=1696098&amp;Row=1246&amp;Col=1","No Title Assigned - #15282020598")</f>
        <v/>
      </c>
      <c r="B1254" s="0" t="s">
        <v>1237</v>
      </c>
      <c r="E1254" s="0" t="s">
        <v>12</v>
      </c>
      <c r="F1254" s="0" t="s">
        <v>12</v>
      </c>
      <c r="G1254" s="0" t="s">
        <v>204</v>
      </c>
      <c r="I1254" s="5">
        <v>422.538900</v>
      </c>
      <c r="J1254" s="5">
        <v>1.000000</v>
      </c>
    </row>
    <row r="1255" spans="1:11">
      <c r="A1255" s="22" t="str">
        <f>HYPERLINK("https://app.vivvix.com/360/KMI/IntelliDrive/ApplUI/Pages/CreativePages/CustomReportCreativeDetail.aspx?App=23&amp;ReportView=4&amp;Qid=1696098&amp;Row=1247&amp;Col=1","No Title Assigned - #15282048502")</f>
        <v/>
      </c>
      <c r="B1255" s="0" t="s">
        <v>1238</v>
      </c>
      <c r="E1255" s="0" t="s">
        <v>12</v>
      </c>
      <c r="F1255" s="0" t="s">
        <v>12</v>
      </c>
      <c r="G1255" s="0" t="s">
        <v>204</v>
      </c>
      <c r="I1255" s="5">
        <v>697.448200</v>
      </c>
      <c r="J1255" s="5">
        <v>1.000000</v>
      </c>
    </row>
    <row r="1256" spans="1:11">
      <c r="A1256" s="22" t="str">
        <f>HYPERLINK("https://app.vivvix.com/360/KMI/IntelliDrive/ApplUI/Pages/CreativePages/CustomReportCreativeDetail.aspx?App=23&amp;ReportView=4&amp;Qid=1696098&amp;Row=1248&amp;Col=1","No Title Assigned - #15282050242")</f>
        <v/>
      </c>
      <c r="B1256" s="0" t="s">
        <v>1239</v>
      </c>
      <c r="E1256" s="0" t="s">
        <v>12</v>
      </c>
      <c r="F1256" s="0" t="s">
        <v>12</v>
      </c>
      <c r="G1256" s="0" t="s">
        <v>204</v>
      </c>
      <c r="I1256" s="5">
        <v>619.940500</v>
      </c>
      <c r="J1256" s="5">
        <v>1.000000</v>
      </c>
    </row>
    <row r="1257" spans="1:11">
      <c r="A1257" s="22" t="str">
        <f>HYPERLINK("https://app.vivvix.com/360/KMI/IntelliDrive/ApplUI/Pages/CreativePages/CustomReportCreativeDetail.aspx?App=23&amp;ReportView=4&amp;Qid=1696098&amp;Row=1249&amp;Col=1","No Title Assigned - #15282051213")</f>
        <v/>
      </c>
      <c r="B1257" s="0" t="s">
        <v>1240</v>
      </c>
      <c r="E1257" s="0" t="s">
        <v>12</v>
      </c>
      <c r="F1257" s="0" t="s">
        <v>12</v>
      </c>
      <c r="G1257" s="0" t="s">
        <v>204</v>
      </c>
      <c r="I1257" s="5">
        <v>35715.328100</v>
      </c>
      <c r="J1257" s="5">
        <v>1.000000</v>
      </c>
    </row>
    <row r="1258" spans="1:11">
      <c r="A1258" s="22" t="str">
        <f>HYPERLINK("https://app.vivvix.com/360/KMI/IntelliDrive/ApplUI/Pages/CreativePages/CustomReportCreativeDetail.aspx?App=23&amp;ReportView=4&amp;Qid=1696098&amp;Row=1250&amp;Col=1","No Title Assigned - #15282051670")</f>
        <v/>
      </c>
      <c r="B1258" s="0" t="s">
        <v>1241</v>
      </c>
      <c r="E1258" s="0" t="s">
        <v>12</v>
      </c>
      <c r="F1258" s="0" t="s">
        <v>12</v>
      </c>
      <c r="G1258" s="0" t="s">
        <v>204</v>
      </c>
      <c r="I1258" s="5">
        <v>712.633100</v>
      </c>
      <c r="J1258" s="5">
        <v>1.000000</v>
      </c>
    </row>
    <row r="1259" spans="1:11">
      <c r="A1259" s="22" t="str">
        <f>HYPERLINK("https://app.vivvix.com/360/KMI/IntelliDrive/ApplUI/Pages/CreativePages/CustomReportCreativeDetail.aspx?App=23&amp;ReportView=4&amp;Qid=1696098&amp;Row=1251&amp;Col=1","No Title Assigned - #15282090262")</f>
        <v/>
      </c>
      <c r="B1259" s="0" t="s">
        <v>1242</v>
      </c>
      <c r="E1259" s="0" t="s">
        <v>12</v>
      </c>
      <c r="F1259" s="0" t="s">
        <v>12</v>
      </c>
      <c r="G1259" s="0" t="s">
        <v>204</v>
      </c>
      <c r="I1259" s="5">
        <v>1441.090200</v>
      </c>
      <c r="J1259" s="5">
        <v>1.000000</v>
      </c>
    </row>
    <row r="1260" spans="1:11">
      <c r="A1260" s="22" t="str">
        <f>HYPERLINK("https://app.vivvix.com/360/KMI/IntelliDrive/ApplUI/Pages/CreativePages/CustomReportCreativeDetail.aspx?App=23&amp;ReportView=4&amp;Qid=1696098&amp;Row=1252&amp;Col=1","No Title Assigned - #15282093508")</f>
        <v/>
      </c>
      <c r="B1260" s="0" t="s">
        <v>1243</v>
      </c>
      <c r="E1260" s="0" t="s">
        <v>12</v>
      </c>
      <c r="F1260" s="0" t="s">
        <v>12</v>
      </c>
      <c r="G1260" s="0" t="s">
        <v>204</v>
      </c>
      <c r="I1260" s="5">
        <v>450.891600</v>
      </c>
      <c r="J1260" s="5">
        <v>2.000000</v>
      </c>
    </row>
    <row r="1261" spans="1:11">
      <c r="A1261" s="22" t="str">
        <f>HYPERLINK("https://app.vivvix.com/360/KMI/IntelliDrive/ApplUI/Pages/CreativePages/CustomReportCreativeDetail.aspx?App=23&amp;ReportView=4&amp;Qid=1696098&amp;Row=1253&amp;Col=1","No Title Assigned - #15282095910")</f>
        <v/>
      </c>
      <c r="B1261" s="0" t="s">
        <v>1244</v>
      </c>
      <c r="E1261" s="0" t="s">
        <v>12</v>
      </c>
      <c r="F1261" s="0" t="s">
        <v>12</v>
      </c>
      <c r="G1261" s="0" t="s">
        <v>204</v>
      </c>
      <c r="I1261" s="5">
        <v>517.364300</v>
      </c>
      <c r="J1261" s="5">
        <v>1.000000</v>
      </c>
    </row>
    <row r="1262" spans="1:11">
      <c r="A1262" s="22" t="str">
        <f>HYPERLINK("https://app.vivvix.com/360/KMI/IntelliDrive/ApplUI/Pages/CreativePages/CustomReportCreativeDetail.aspx?App=23&amp;ReportView=4&amp;Qid=1696098&amp;Row=1254&amp;Col=1","No Title Assigned - #15282098465")</f>
        <v/>
      </c>
      <c r="B1262" s="0" t="s">
        <v>1245</v>
      </c>
      <c r="E1262" s="0" t="s">
        <v>12</v>
      </c>
      <c r="F1262" s="0" t="s">
        <v>12</v>
      </c>
      <c r="G1262" s="0" t="s">
        <v>204</v>
      </c>
      <c r="I1262" s="5">
        <v>3564.086900</v>
      </c>
      <c r="J1262" s="5">
        <v>1.000000</v>
      </c>
    </row>
    <row r="1263" spans="1:11">
      <c r="A1263" s="22" t="str">
        <f>HYPERLINK("https://app.vivvix.com/360/KMI/IntelliDrive/ApplUI/Pages/CreativePages/CustomReportCreativeDetail.aspx?App=23&amp;ReportView=4&amp;Qid=1696098&amp;Row=1255&amp;Col=1","No Title Assigned - #15282112317")</f>
        <v/>
      </c>
      <c r="B1263" s="0" t="s">
        <v>1246</v>
      </c>
      <c r="E1263" s="0" t="s">
        <v>12</v>
      </c>
      <c r="F1263" s="0" t="s">
        <v>12</v>
      </c>
      <c r="G1263" s="0" t="s">
        <v>204</v>
      </c>
      <c r="I1263" s="5">
        <v>203888.579000</v>
      </c>
      <c r="J1263" s="5">
        <v>197.000000</v>
      </c>
    </row>
    <row r="1264" spans="1:11">
      <c r="A1264" s="22" t="str">
        <f>HYPERLINK("https://app.vivvix.com/360/KMI/IntelliDrive/ApplUI/Pages/CreativePages/CustomReportCreativeDetail.aspx?App=23&amp;ReportView=4&amp;Qid=1696098&amp;Row=1256&amp;Col=1","No Title Assigned - #15282112319")</f>
        <v/>
      </c>
      <c r="B1264" s="0" t="s">
        <v>1247</v>
      </c>
      <c r="E1264" s="0" t="s">
        <v>12</v>
      </c>
      <c r="F1264" s="0" t="s">
        <v>12</v>
      </c>
      <c r="G1264" s="0" t="s">
        <v>204</v>
      </c>
      <c r="I1264" s="5">
        <v>126418.387400</v>
      </c>
      <c r="J1264" s="5">
        <v>117.000000</v>
      </c>
    </row>
    <row r="1265" spans="1:11">
      <c r="A1265" s="22" t="str">
        <f>HYPERLINK("https://app.vivvix.com/360/KMI/IntelliDrive/ApplUI/Pages/CreativePages/CustomReportCreativeDetail.aspx?App=23&amp;ReportView=4&amp;Qid=1696098&amp;Row=1257&amp;Col=1","No Title Assigned - #15282202049")</f>
        <v/>
      </c>
      <c r="B1265" s="0" t="s">
        <v>1248</v>
      </c>
      <c r="E1265" s="0" t="s">
        <v>12</v>
      </c>
      <c r="F1265" s="0" t="s">
        <v>12</v>
      </c>
      <c r="G1265" s="0" t="s">
        <v>204</v>
      </c>
      <c r="I1265" s="5">
        <v>11445.681800</v>
      </c>
      <c r="J1265" s="5">
        <v>16.000000</v>
      </c>
    </row>
    <row r="1266" spans="1:11">
      <c r="A1266" s="22" t="str">
        <f>HYPERLINK("https://app.vivvix.com/360/KMI/IntelliDrive/ApplUI/Pages/CreativePages/CustomReportCreativeDetail.aspx?App=23&amp;ReportView=4&amp;Qid=1696098&amp;Row=1258&amp;Col=1","No Title Assigned - #15282213611")</f>
        <v/>
      </c>
      <c r="B1266" s="0" t="s">
        <v>1249</v>
      </c>
      <c r="E1266" s="0" t="s">
        <v>12</v>
      </c>
      <c r="F1266" s="0" t="s">
        <v>12</v>
      </c>
      <c r="G1266" s="0" t="s">
        <v>245</v>
      </c>
      <c r="I1266" s="5">
        <v>25340.052800</v>
      </c>
      <c r="J1266" s="5">
        <v>5.000000</v>
      </c>
    </row>
    <row r="1267" spans="1:11">
      <c r="A1267" s="22" t="str">
        <f>HYPERLINK("https://app.vivvix.com/360/KMI/IntelliDrive/ApplUI/Pages/CreativePages/CustomReportCreativeDetail.aspx?App=23&amp;ReportView=4&amp;Qid=1696098&amp;Row=1259&amp;Col=1","No Title Assigned - #15282234446")</f>
        <v/>
      </c>
      <c r="B1267" s="0" t="s">
        <v>1250</v>
      </c>
      <c r="E1267" s="0" t="s">
        <v>12</v>
      </c>
      <c r="F1267" s="0" t="s">
        <v>12</v>
      </c>
      <c r="G1267" s="0" t="s">
        <v>204</v>
      </c>
      <c r="I1267" s="5">
        <v>638.634300</v>
      </c>
      <c r="J1267" s="5">
        <v>1.000000</v>
      </c>
    </row>
    <row r="1268" spans="1:11">
      <c r="A1268" s="22" t="str">
        <f>HYPERLINK("https://app.vivvix.com/360/KMI/IntelliDrive/ApplUI/Pages/CreativePages/CustomReportCreativeDetail.aspx?App=23&amp;ReportView=4&amp;Qid=1696098&amp;Row=1260&amp;Col=1","No Title Assigned - #15282243372")</f>
        <v/>
      </c>
      <c r="B1268" s="0" t="s">
        <v>1251</v>
      </c>
      <c r="E1268" s="0" t="s">
        <v>12</v>
      </c>
      <c r="F1268" s="0" t="s">
        <v>12</v>
      </c>
      <c r="G1268" s="0" t="s">
        <v>204</v>
      </c>
      <c r="I1268" s="5">
        <v>899.548600</v>
      </c>
      <c r="J1268" s="5">
        <v>2.000000</v>
      </c>
    </row>
    <row r="1269" spans="1:11">
      <c r="A1269" s="22" t="str">
        <f>HYPERLINK("https://app.vivvix.com/360/KMI/IntelliDrive/ApplUI/Pages/CreativePages/CustomReportCreativeDetail.aspx?App=23&amp;ReportView=4&amp;Qid=1696098&amp;Row=1261&amp;Col=1","No Title Assigned - #15282243892")</f>
        <v/>
      </c>
      <c r="B1269" s="0" t="s">
        <v>1252</v>
      </c>
      <c r="E1269" s="0" t="s">
        <v>12</v>
      </c>
      <c r="F1269" s="0" t="s">
        <v>12</v>
      </c>
      <c r="G1269" s="0" t="s">
        <v>204</v>
      </c>
      <c r="I1269" s="5">
        <v>14146.611000</v>
      </c>
      <c r="J1269" s="5">
        <v>21.000000</v>
      </c>
    </row>
    <row r="1270" spans="1:11">
      <c r="A1270" s="22" t="str">
        <f>HYPERLINK("https://app.vivvix.com/360/KMI/IntelliDrive/ApplUI/Pages/CreativePages/CustomReportCreativeDetail.aspx?App=23&amp;ReportView=4&amp;Qid=1696098&amp;Row=1262&amp;Col=1","No Title Assigned - #15282244297")</f>
        <v/>
      </c>
      <c r="B1270" s="0" t="s">
        <v>1253</v>
      </c>
      <c r="E1270" s="0" t="s">
        <v>12</v>
      </c>
      <c r="F1270" s="0" t="s">
        <v>12</v>
      </c>
      <c r="G1270" s="0" t="s">
        <v>204</v>
      </c>
      <c r="I1270" s="5">
        <v>1810.949000</v>
      </c>
      <c r="J1270" s="5">
        <v>5.000000</v>
      </c>
    </row>
    <row r="1271" spans="1:11">
      <c r="A1271" s="22" t="str">
        <f>HYPERLINK("https://app.vivvix.com/360/KMI/IntelliDrive/ApplUI/Pages/CreativePages/CustomReportCreativeDetail.aspx?App=23&amp;ReportView=4&amp;Qid=1696098&amp;Row=1263&amp;Col=1","No Title Assigned - #15282247750")</f>
        <v/>
      </c>
      <c r="B1271" s="0" t="s">
        <v>1254</v>
      </c>
      <c r="E1271" s="0" t="s">
        <v>12</v>
      </c>
      <c r="F1271" s="0" t="s">
        <v>12</v>
      </c>
      <c r="G1271" s="0" t="s">
        <v>204</v>
      </c>
      <c r="I1271" s="5">
        <v>125.727700</v>
      </c>
      <c r="J1271" s="5">
        <v>1.000000</v>
      </c>
    </row>
    <row r="1272" spans="1:11">
      <c r="A1272" s="22" t="str">
        <f>HYPERLINK("https://app.vivvix.com/360/KMI/IntelliDrive/ApplUI/Pages/CreativePages/CustomReportCreativeDetail.aspx?App=23&amp;ReportView=4&amp;Qid=1696098&amp;Row=1264&amp;Col=1","No Title Assigned - #15282255002")</f>
        <v/>
      </c>
      <c r="B1272" s="0" t="s">
        <v>1255</v>
      </c>
      <c r="E1272" s="0" t="s">
        <v>12</v>
      </c>
      <c r="F1272" s="0" t="s">
        <v>12</v>
      </c>
      <c r="G1272" s="0" t="s">
        <v>204</v>
      </c>
      <c r="I1272" s="5">
        <v>395.281000</v>
      </c>
      <c r="J1272" s="5">
        <v>1.000000</v>
      </c>
    </row>
    <row r="1273" spans="1:11">
      <c r="A1273" s="22" t="str">
        <f>HYPERLINK("https://app.vivvix.com/360/KMI/IntelliDrive/ApplUI/Pages/CreativePages/CustomReportCreativeDetail.aspx?App=23&amp;ReportView=4&amp;Qid=1696098&amp;Row=1265&amp;Col=1","No Title Assigned - #15282255162")</f>
        <v/>
      </c>
      <c r="B1273" s="0" t="s">
        <v>1256</v>
      </c>
      <c r="E1273" s="0" t="s">
        <v>12</v>
      </c>
      <c r="F1273" s="0" t="s">
        <v>12</v>
      </c>
      <c r="G1273" s="0" t="s">
        <v>204</v>
      </c>
      <c r="I1273" s="5">
        <v>441.652800</v>
      </c>
      <c r="J1273" s="5">
        <v>1.000000</v>
      </c>
    </row>
    <row r="1274" spans="1:11">
      <c r="A1274" s="22" t="str">
        <f>HYPERLINK("https://app.vivvix.com/360/KMI/IntelliDrive/ApplUI/Pages/CreativePages/CustomReportCreativeDetail.aspx?App=23&amp;ReportView=4&amp;Qid=1696098&amp;Row=1266&amp;Col=1","No Title Assigned - #15282257500")</f>
        <v/>
      </c>
      <c r="B1274" s="0" t="s">
        <v>1257</v>
      </c>
      <c r="E1274" s="0" t="s">
        <v>12</v>
      </c>
      <c r="F1274" s="0" t="s">
        <v>12</v>
      </c>
      <c r="G1274" s="0" t="s">
        <v>204</v>
      </c>
      <c r="I1274" s="5">
        <v>395.281000</v>
      </c>
      <c r="J1274" s="5">
        <v>1.000000</v>
      </c>
    </row>
    <row r="1275" spans="1:11">
      <c r="A1275" s="22" t="str">
        <f>HYPERLINK("https://app.vivvix.com/360/KMI/IntelliDrive/ApplUI/Pages/CreativePages/CustomReportCreativeDetail.aspx?App=23&amp;ReportView=4&amp;Qid=1696098&amp;Row=1267&amp;Col=1","No Title Assigned - #15282323933")</f>
        <v/>
      </c>
      <c r="B1275" s="0" t="s">
        <v>1258</v>
      </c>
      <c r="E1275" s="0" t="s">
        <v>12</v>
      </c>
      <c r="F1275" s="0" t="s">
        <v>12</v>
      </c>
      <c r="G1275" s="0" t="s">
        <v>204</v>
      </c>
      <c r="I1275" s="5">
        <v>275.794600</v>
      </c>
      <c r="J1275" s="5">
        <v>1.000000</v>
      </c>
    </row>
    <row r="1276" spans="1:11">
      <c r="A1276" s="22" t="str">
        <f>HYPERLINK("https://app.vivvix.com/360/KMI/IntelliDrive/ApplUI/Pages/CreativePages/CustomReportCreativeDetail.aspx?App=23&amp;ReportView=4&amp;Qid=1696098&amp;Row=1268&amp;Col=1","No Title Assigned - #15282420203")</f>
        <v/>
      </c>
      <c r="B1276" s="0" t="s">
        <v>1259</v>
      </c>
      <c r="E1276" s="0" t="s">
        <v>12</v>
      </c>
      <c r="F1276" s="0" t="s">
        <v>12</v>
      </c>
      <c r="G1276" s="0" t="s">
        <v>204</v>
      </c>
      <c r="I1276" s="5">
        <v>1378.973000</v>
      </c>
      <c r="J1276" s="5">
        <v>5.000000</v>
      </c>
    </row>
    <row r="1277" spans="1:11">
      <c r="A1277" s="22" t="str">
        <f>HYPERLINK("https://app.vivvix.com/360/KMI/IntelliDrive/ApplUI/Pages/CreativePages/CustomReportCreativeDetail.aspx?App=23&amp;ReportView=4&amp;Qid=1696098&amp;Row=1269&amp;Col=1","No Title Assigned - #15282453804")</f>
        <v/>
      </c>
      <c r="B1277" s="0" t="s">
        <v>1260</v>
      </c>
      <c r="E1277" s="0" t="s">
        <v>12</v>
      </c>
      <c r="F1277" s="0" t="s">
        <v>12</v>
      </c>
      <c r="G1277" s="0" t="s">
        <v>204</v>
      </c>
      <c r="I1277" s="5">
        <v>352.281900</v>
      </c>
      <c r="J1277" s="5">
        <v>3.000000</v>
      </c>
    </row>
    <row r="1278" spans="1:11">
      <c r="A1278" s="22" t="str">
        <f>HYPERLINK("https://app.vivvix.com/360/KMI/IntelliDrive/ApplUI/Pages/CreativePages/CustomReportCreativeDetail.aspx?App=23&amp;ReportView=4&amp;Qid=1696098&amp;Row=1270&amp;Col=1","No Title Assigned - #15282479769")</f>
        <v/>
      </c>
      <c r="B1278" s="0" t="s">
        <v>1261</v>
      </c>
      <c r="E1278" s="0" t="s">
        <v>12</v>
      </c>
      <c r="F1278" s="0" t="s">
        <v>12</v>
      </c>
      <c r="G1278" s="0" t="s">
        <v>204</v>
      </c>
      <c r="I1278" s="5">
        <v>727.004100</v>
      </c>
      <c r="J1278" s="5">
        <v>1.000000</v>
      </c>
    </row>
    <row r="1279" spans="1:11">
      <c r="A1279" s="22" t="str">
        <f>HYPERLINK("https://app.vivvix.com/360/KMI/IntelliDrive/ApplUI/Pages/CreativePages/CustomReportCreativeDetail.aspx?App=23&amp;ReportView=4&amp;Qid=1696098&amp;Row=1271&amp;Col=1","No Title Assigned - #15282485953")</f>
        <v/>
      </c>
      <c r="B1279" s="0" t="s">
        <v>1262</v>
      </c>
      <c r="E1279" s="0" t="s">
        <v>12</v>
      </c>
      <c r="F1279" s="0" t="s">
        <v>12</v>
      </c>
      <c r="G1279" s="0" t="s">
        <v>204</v>
      </c>
      <c r="I1279" s="5">
        <v>4148.262200</v>
      </c>
      <c r="J1279" s="5">
        <v>1.000000</v>
      </c>
    </row>
    <row r="1280" spans="1:11">
      <c r="A1280" s="22" t="str">
        <f>HYPERLINK("https://app.vivvix.com/360/KMI/IntelliDrive/ApplUI/Pages/CreativePages/CustomReportCreativeDetail.aspx?App=23&amp;ReportView=4&amp;Qid=1696098&amp;Row=1272&amp;Col=1","No Title Assigned - #15282493825")</f>
        <v/>
      </c>
      <c r="B1280" s="0" t="s">
        <v>1263</v>
      </c>
      <c r="E1280" s="0" t="s">
        <v>12</v>
      </c>
      <c r="F1280" s="0" t="s">
        <v>12</v>
      </c>
      <c r="G1280" s="0" t="s">
        <v>204</v>
      </c>
      <c r="I1280" s="5">
        <v>16161.218800</v>
      </c>
      <c r="J1280" s="5">
        <v>23.000000</v>
      </c>
    </row>
    <row r="1281" spans="1:11">
      <c r="A1281" s="22" t="str">
        <f>HYPERLINK("https://app.vivvix.com/360/KMI/IntelliDrive/ApplUI/Pages/CreativePages/CustomReportCreativeDetail.aspx?App=23&amp;ReportView=4&amp;Qid=1696098&amp;Row=1273&amp;Col=1","No Title Assigned - #15282537297")</f>
        <v/>
      </c>
      <c r="B1281" s="0" t="s">
        <v>1264</v>
      </c>
      <c r="E1281" s="0" t="s">
        <v>12</v>
      </c>
      <c r="F1281" s="0" t="s">
        <v>12</v>
      </c>
      <c r="G1281" s="0" t="s">
        <v>204</v>
      </c>
      <c r="I1281" s="5">
        <v>117.427300</v>
      </c>
      <c r="J1281" s="5">
        <v>1.000000</v>
      </c>
    </row>
    <row r="1282" spans="1:11">
      <c r="A1282" s="22" t="str">
        <f>HYPERLINK("https://app.vivvix.com/360/KMI/IntelliDrive/ApplUI/Pages/CreativePages/CustomReportCreativeDetail.aspx?App=23&amp;ReportView=4&amp;Qid=1696098&amp;Row=1274&amp;Col=1","No Title Assigned - #15282661447")</f>
        <v/>
      </c>
      <c r="B1282" s="0" t="s">
        <v>1265</v>
      </c>
      <c r="E1282" s="0" t="s">
        <v>12</v>
      </c>
      <c r="F1282" s="0" t="s">
        <v>12</v>
      </c>
      <c r="G1282" s="0" t="s">
        <v>204</v>
      </c>
      <c r="I1282" s="5">
        <v>275.794600</v>
      </c>
      <c r="J1282" s="5">
        <v>1.000000</v>
      </c>
    </row>
    <row r="1283" spans="1:11">
      <c r="A1283" s="22" t="str">
        <f>HYPERLINK("https://app.vivvix.com/360/KMI/IntelliDrive/ApplUI/Pages/CreativePages/CustomReportCreativeDetail.aspx?App=23&amp;ReportView=4&amp;Qid=1696098&amp;Row=1275&amp;Col=1","No Title Assigned - #15282687256")</f>
        <v/>
      </c>
      <c r="B1283" s="0" t="s">
        <v>1266</v>
      </c>
      <c r="E1283" s="0" t="s">
        <v>12</v>
      </c>
      <c r="F1283" s="0" t="s">
        <v>12</v>
      </c>
      <c r="G1283" s="0" t="s">
        <v>204</v>
      </c>
      <c r="I1283" s="5">
        <v>1402.000100</v>
      </c>
      <c r="J1283" s="5">
        <v>1.000000</v>
      </c>
    </row>
    <row r="1284" spans="1:11">
      <c r="A1284" s="22" t="str">
        <f>HYPERLINK("https://app.vivvix.com/360/KMI/IntelliDrive/ApplUI/Pages/CreativePages/CustomReportCreativeDetail.aspx?App=23&amp;ReportView=4&amp;Qid=1696098&amp;Row=1276&amp;Col=1","No Title Assigned - #15282725493")</f>
        <v/>
      </c>
      <c r="B1284" s="0" t="s">
        <v>1267</v>
      </c>
      <c r="E1284" s="0" t="s">
        <v>12</v>
      </c>
      <c r="F1284" s="0" t="s">
        <v>12</v>
      </c>
      <c r="G1284" s="0" t="s">
        <v>204</v>
      </c>
      <c r="I1284" s="5">
        <v>700.687200</v>
      </c>
      <c r="J1284" s="5">
        <v>1.000000</v>
      </c>
    </row>
    <row r="1285" spans="1:11">
      <c r="A1285" s="22" t="str">
        <f>HYPERLINK("https://app.vivvix.com/360/KMI/IntelliDrive/ApplUI/Pages/CreativePages/CustomReportCreativeDetail.aspx?App=23&amp;ReportView=4&amp;Qid=1696098&amp;Row=1277&amp;Col=1","No Title Assigned - #15282769392")</f>
        <v/>
      </c>
      <c r="B1285" s="0" t="s">
        <v>1268</v>
      </c>
      <c r="E1285" s="0" t="s">
        <v>12</v>
      </c>
      <c r="F1285" s="0" t="s">
        <v>12</v>
      </c>
      <c r="G1285" s="0" t="s">
        <v>204</v>
      </c>
      <c r="I1285" s="5">
        <v>479.423000</v>
      </c>
      <c r="J1285" s="5">
        <v>1.000000</v>
      </c>
    </row>
    <row r="1286" spans="1:11">
      <c r="A1286" s="22" t="str">
        <f>HYPERLINK("https://app.vivvix.com/360/KMI/IntelliDrive/ApplUI/Pages/CreativePages/CustomReportCreativeDetail.aspx?App=23&amp;ReportView=4&amp;Qid=1696098&amp;Row=1278&amp;Col=1","No Title Assigned - #15282783336")</f>
        <v/>
      </c>
      <c r="B1286" s="0" t="s">
        <v>1269</v>
      </c>
      <c r="E1286" s="0" t="s">
        <v>12</v>
      </c>
      <c r="F1286" s="0" t="s">
        <v>12</v>
      </c>
      <c r="G1286" s="0" t="s">
        <v>204</v>
      </c>
      <c r="I1286" s="5">
        <v>1249.389600</v>
      </c>
      <c r="J1286" s="5">
        <v>1.000000</v>
      </c>
    </row>
    <row r="1287" spans="1:11">
      <c r="A1287" s="22" t="str">
        <f>HYPERLINK("https://app.vivvix.com/360/KMI/IntelliDrive/ApplUI/Pages/CreativePages/CustomReportCreativeDetail.aspx?App=23&amp;ReportView=4&amp;Qid=1696098&amp;Row=1279&amp;Col=1","No Title Assigned - #15282783354")</f>
        <v/>
      </c>
      <c r="B1287" s="0" t="s">
        <v>1270</v>
      </c>
      <c r="E1287" s="0" t="s">
        <v>12</v>
      </c>
      <c r="F1287" s="0" t="s">
        <v>12</v>
      </c>
      <c r="G1287" s="0" t="s">
        <v>204</v>
      </c>
      <c r="I1287" s="5">
        <v>1249.389600</v>
      </c>
      <c r="J1287" s="5">
        <v>1.000000</v>
      </c>
    </row>
    <row r="1288" spans="1:11">
      <c r="A1288" s="22" t="str">
        <f>HYPERLINK("https://app.vivvix.com/360/KMI/IntelliDrive/ApplUI/Pages/CreativePages/CustomReportCreativeDetail.aspx?App=23&amp;ReportView=4&amp;Qid=1696098&amp;Row=1280&amp;Col=1","No Title Assigned - #15282872011")</f>
        <v/>
      </c>
      <c r="B1288" s="0" t="s">
        <v>1271</v>
      </c>
      <c r="E1288" s="0" t="s">
        <v>12</v>
      </c>
      <c r="F1288" s="0" t="s">
        <v>12</v>
      </c>
      <c r="G1288" s="0" t="s">
        <v>204</v>
      </c>
      <c r="I1288" s="5">
        <v>395.281000</v>
      </c>
      <c r="J1288" s="5">
        <v>1.000000</v>
      </c>
    </row>
    <row r="1289" spans="1:11">
      <c r="A1289" s="22" t="str">
        <f>HYPERLINK("https://app.vivvix.com/360/KMI/IntelliDrive/ApplUI/Pages/CreativePages/CustomReportCreativeDetail.aspx?App=23&amp;ReportView=4&amp;Qid=1696098&amp;Row=1281&amp;Col=1","No Title Assigned - #15282942048")</f>
        <v/>
      </c>
      <c r="B1289" s="0" t="s">
        <v>1272</v>
      </c>
      <c r="E1289" s="0" t="s">
        <v>12</v>
      </c>
      <c r="F1289" s="0" t="s">
        <v>12</v>
      </c>
      <c r="G1289" s="0" t="s">
        <v>204</v>
      </c>
      <c r="I1289" s="5">
        <v>519.038600</v>
      </c>
      <c r="J1289" s="5">
        <v>1.000000</v>
      </c>
    </row>
    <row r="1290" spans="1:11">
      <c r="A1290" s="22" t="str">
        <f>HYPERLINK("https://app.vivvix.com/360/KMI/IntelliDrive/ApplUI/Pages/CreativePages/CustomReportCreativeDetail.aspx?App=23&amp;ReportView=4&amp;Qid=1696098&amp;Row=1282&amp;Col=1","No Title Assigned - #15282960115")</f>
        <v/>
      </c>
      <c r="B1290" s="0" t="s">
        <v>1273</v>
      </c>
      <c r="E1290" s="0" t="s">
        <v>12</v>
      </c>
      <c r="F1290" s="0" t="s">
        <v>12</v>
      </c>
      <c r="G1290" s="0" t="s">
        <v>204</v>
      </c>
      <c r="I1290" s="5">
        <v>543.620300</v>
      </c>
      <c r="J1290" s="5">
        <v>14.000000</v>
      </c>
    </row>
    <row r="1291" spans="1:11">
      <c r="A1291" s="22" t="str">
        <f>HYPERLINK("https://app.vivvix.com/360/KMI/IntelliDrive/ApplUI/Pages/CreativePages/CustomReportCreativeDetail.aspx?App=23&amp;ReportView=4&amp;Qid=1696098&amp;Row=1283&amp;Col=1","No Title Assigned - #15283088492")</f>
        <v/>
      </c>
      <c r="B1291" s="0" t="s">
        <v>1274</v>
      </c>
      <c r="E1291" s="0" t="s">
        <v>12</v>
      </c>
      <c r="F1291" s="0" t="s">
        <v>12</v>
      </c>
      <c r="G1291" s="0" t="s">
        <v>17</v>
      </c>
      <c r="I1291" s="5">
        <v>125.156000</v>
      </c>
      <c r="J1291" s="5">
        <v>33.000000</v>
      </c>
    </row>
    <row r="1292" spans="1:11">
      <c r="A1292" s="22" t="str">
        <f>HYPERLINK("https://app.vivvix.com/360/KMI/IntelliDrive/ApplUI/Pages/CreativePages/CustomReportCreativeDetail.aspx?App=23&amp;ReportView=4&amp;Qid=1696098&amp;Row=1284&amp;Col=1","No Title Assigned - #15283158646")</f>
        <v/>
      </c>
      <c r="B1292" s="0" t="s">
        <v>1275</v>
      </c>
      <c r="E1292" s="0" t="s">
        <v>12</v>
      </c>
      <c r="F1292" s="0" t="s">
        <v>12</v>
      </c>
      <c r="G1292" s="0" t="s">
        <v>17</v>
      </c>
      <c r="I1292" s="5">
        <v>41.140000</v>
      </c>
      <c r="J1292" s="5">
        <v>11.000000</v>
      </c>
    </row>
    <row r="1293" spans="1:11">
      <c r="A1293" s="22" t="str">
        <f>HYPERLINK("https://app.vivvix.com/360/KMI/IntelliDrive/ApplUI/Pages/CreativePages/CustomReportCreativeDetail.aspx?App=23&amp;ReportView=4&amp;Qid=1696098&amp;Row=1285&amp;Col=1","No Title Assigned - #15283276982")</f>
        <v/>
      </c>
      <c r="B1293" s="0" t="s">
        <v>1276</v>
      </c>
      <c r="E1293" s="0" t="s">
        <v>12</v>
      </c>
      <c r="F1293" s="0" t="s">
        <v>12</v>
      </c>
      <c r="G1293" s="0" t="s">
        <v>17</v>
      </c>
      <c r="I1293" s="5">
        <v>3.740000</v>
      </c>
      <c r="J1293" s="5">
        <v>1.000000</v>
      </c>
    </row>
    <row r="1294" spans="1:11">
      <c r="A1294" s="22" t="str">
        <f>HYPERLINK("https://app.vivvix.com/360/KMI/IntelliDrive/ApplUI/Pages/CreativePages/CustomReportCreativeDetail.aspx?App=23&amp;ReportView=4&amp;Qid=1696098&amp;Row=1286&amp;Col=1","No Title Assigned - #15283297138")</f>
        <v/>
      </c>
      <c r="B1294" s="0" t="s">
        <v>1277</v>
      </c>
      <c r="E1294" s="0" t="s">
        <v>12</v>
      </c>
      <c r="F1294" s="0" t="s">
        <v>12</v>
      </c>
      <c r="G1294" s="0" t="s">
        <v>204</v>
      </c>
      <c r="I1294" s="5">
        <v>494.342900</v>
      </c>
      <c r="J1294" s="5">
        <v>1.000000</v>
      </c>
    </row>
    <row r="1295" spans="1:11">
      <c r="A1295" s="22" t="str">
        <f>HYPERLINK("https://app.vivvix.com/360/KMI/IntelliDrive/ApplUI/Pages/CreativePages/CustomReportCreativeDetail.aspx?App=23&amp;ReportView=4&amp;Qid=1696098&amp;Row=1287&amp;Col=1","No Title Assigned - #15283311806")</f>
        <v/>
      </c>
      <c r="B1295" s="0" t="s">
        <v>1278</v>
      </c>
      <c r="E1295" s="0" t="s">
        <v>12</v>
      </c>
      <c r="F1295" s="0" t="s">
        <v>12</v>
      </c>
      <c r="G1295" s="0" t="s">
        <v>17</v>
      </c>
      <c r="I1295" s="5">
        <v>3.740000</v>
      </c>
      <c r="J1295" s="5">
        <v>1.000000</v>
      </c>
    </row>
    <row r="1296" spans="1:11">
      <c r="A1296" s="22" t="str">
        <f>HYPERLINK("https://app.vivvix.com/360/KMI/IntelliDrive/ApplUI/Pages/CreativePages/CustomReportCreativeDetail.aspx?App=23&amp;ReportView=4&amp;Qid=1696098&amp;Row=1288&amp;Col=1","No Title Assigned - #15283313248")</f>
        <v/>
      </c>
      <c r="B1296" s="0" t="s">
        <v>1279</v>
      </c>
      <c r="E1296" s="0" t="s">
        <v>12</v>
      </c>
      <c r="F1296" s="0" t="s">
        <v>12</v>
      </c>
      <c r="G1296" s="0" t="s">
        <v>17</v>
      </c>
      <c r="I1296" s="5">
        <v>3.740000</v>
      </c>
      <c r="J1296" s="5">
        <v>1.000000</v>
      </c>
    </row>
    <row r="1297" spans="1:11">
      <c r="A1297" s="22" t="str">
        <f>HYPERLINK("https://app.vivvix.com/360/KMI/IntelliDrive/ApplUI/Pages/CreativePages/CustomReportCreativeDetail.aspx?App=23&amp;ReportView=4&amp;Qid=1696098&amp;Row=1289&amp;Col=1","No Title Assigned - #15283333249")</f>
        <v/>
      </c>
      <c r="B1297" s="0" t="s">
        <v>1280</v>
      </c>
      <c r="E1297" s="0" t="s">
        <v>12</v>
      </c>
      <c r="F1297" s="0" t="s">
        <v>12</v>
      </c>
      <c r="G1297" s="0" t="s">
        <v>17</v>
      </c>
      <c r="I1297" s="5">
        <v>7.480000</v>
      </c>
      <c r="J1297" s="5">
        <v>2.000000</v>
      </c>
    </row>
    <row r="1298" spans="1:11">
      <c r="A1298" s="22" t="str">
        <f>HYPERLINK("https://app.vivvix.com/360/KMI/IntelliDrive/ApplUI/Pages/CreativePages/CustomReportCreativeDetail.aspx?App=23&amp;ReportView=4&amp;Qid=1696098&amp;Row=1290&amp;Col=1","No Title Assigned - #15283334286")</f>
        <v/>
      </c>
      <c r="B1298" s="0" t="s">
        <v>1281</v>
      </c>
      <c r="E1298" s="0" t="s">
        <v>12</v>
      </c>
      <c r="F1298" s="0" t="s">
        <v>12</v>
      </c>
      <c r="G1298" s="0" t="s">
        <v>204</v>
      </c>
      <c r="I1298" s="5">
        <v>3164.132300</v>
      </c>
      <c r="J1298" s="5">
        <v>1.000000</v>
      </c>
    </row>
    <row r="1299" spans="1:11">
      <c r="A1299" s="22" t="str">
        <f>HYPERLINK("https://app.vivvix.com/360/KMI/IntelliDrive/ApplUI/Pages/CreativePages/CustomReportCreativeDetail.aspx?App=23&amp;ReportView=4&amp;Qid=1696098&amp;Row=1291&amp;Col=1","No Title Assigned - #15283355852")</f>
        <v/>
      </c>
      <c r="B1299" s="0" t="s">
        <v>1282</v>
      </c>
      <c r="E1299" s="0" t="s">
        <v>12</v>
      </c>
      <c r="F1299" s="0" t="s">
        <v>12</v>
      </c>
      <c r="G1299" s="0" t="s">
        <v>17</v>
      </c>
      <c r="I1299" s="5">
        <v>83192.564000</v>
      </c>
      <c r="J1299" s="5">
        <v>9.000000</v>
      </c>
    </row>
    <row r="1300" spans="1:11">
      <c r="A1300" s="22" t="str">
        <f>HYPERLINK("https://app.vivvix.com/360/KMI/IntelliDrive/ApplUI/Pages/CreativePages/CustomReportCreativeDetail.aspx?App=23&amp;ReportView=4&amp;Qid=1696098&amp;Row=1292&amp;Col=1","No Title Assigned - #15283382896")</f>
        <v/>
      </c>
      <c r="B1300" s="0" t="s">
        <v>1283</v>
      </c>
      <c r="E1300" s="0" t="s">
        <v>12</v>
      </c>
      <c r="F1300" s="0" t="s">
        <v>12</v>
      </c>
      <c r="G1300" s="0" t="s">
        <v>204</v>
      </c>
      <c r="I1300" s="5">
        <v>3164.132300</v>
      </c>
      <c r="J1300" s="5">
        <v>1.000000</v>
      </c>
    </row>
    <row r="1301" spans="1:11">
      <c r="A1301" s="22" t="str">
        <f>HYPERLINK("https://app.vivvix.com/360/KMI/IntelliDrive/ApplUI/Pages/CreativePages/CustomReportCreativeDetail.aspx?App=23&amp;ReportView=4&amp;Qid=1696098&amp;Row=1293&amp;Col=1","No Title Assigned - #15283387323")</f>
        <v/>
      </c>
      <c r="B1301" s="0" t="s">
        <v>1284</v>
      </c>
      <c r="E1301" s="0" t="s">
        <v>12</v>
      </c>
      <c r="F1301" s="0" t="s">
        <v>12</v>
      </c>
      <c r="G1301" s="0" t="s">
        <v>204</v>
      </c>
      <c r="I1301" s="5">
        <v>3164.132300</v>
      </c>
      <c r="J1301" s="5">
        <v>1.000000</v>
      </c>
    </row>
    <row r="1302" spans="1:11">
      <c r="A1302" s="22" t="str">
        <f>HYPERLINK("https://app.vivvix.com/360/KMI/IntelliDrive/ApplUI/Pages/CreativePages/CustomReportCreativeDetail.aspx?App=23&amp;ReportView=4&amp;Qid=1696098&amp;Row=1294&amp;Col=1","No Title Assigned - #15283387590")</f>
        <v/>
      </c>
      <c r="B1302" s="0" t="s">
        <v>1285</v>
      </c>
      <c r="E1302" s="0" t="s">
        <v>12</v>
      </c>
      <c r="F1302" s="0" t="s">
        <v>12</v>
      </c>
      <c r="G1302" s="0" t="s">
        <v>204</v>
      </c>
      <c r="I1302" s="5">
        <v>484.986100</v>
      </c>
      <c r="J1302" s="5">
        <v>1.000000</v>
      </c>
    </row>
    <row r="1303" spans="1:11">
      <c r="A1303" s="22" t="str">
        <f>HYPERLINK("https://app.vivvix.com/360/KMI/IntelliDrive/ApplUI/Pages/CreativePages/CustomReportCreativeDetail.aspx?App=23&amp;ReportView=4&amp;Qid=1696098&amp;Row=1295&amp;Col=1","No Title Assigned - #15283387992")</f>
        <v/>
      </c>
      <c r="B1303" s="0" t="s">
        <v>1286</v>
      </c>
      <c r="E1303" s="0" t="s">
        <v>12</v>
      </c>
      <c r="F1303" s="0" t="s">
        <v>12</v>
      </c>
      <c r="G1303" s="0" t="s">
        <v>204</v>
      </c>
      <c r="I1303" s="5">
        <v>3164.132300</v>
      </c>
      <c r="J1303" s="5">
        <v>1.000000</v>
      </c>
    </row>
    <row r="1304" spans="1:11">
      <c r="A1304" s="22" t="str">
        <f>HYPERLINK("https://app.vivvix.com/360/KMI/IntelliDrive/ApplUI/Pages/CreativePages/CustomReportCreativeDetail.aspx?App=23&amp;ReportView=4&amp;Qid=1696098&amp;Row=1296&amp;Col=1","No Title Assigned - #15283394038")</f>
        <v/>
      </c>
      <c r="B1304" s="0" t="s">
        <v>1287</v>
      </c>
      <c r="E1304" s="0" t="s">
        <v>12</v>
      </c>
      <c r="F1304" s="0" t="s">
        <v>12</v>
      </c>
      <c r="G1304" s="0" t="s">
        <v>204</v>
      </c>
      <c r="I1304" s="5">
        <v>155.058000</v>
      </c>
      <c r="J1304" s="5">
        <v>1.000000</v>
      </c>
    </row>
    <row r="1305" spans="1:11">
      <c r="A1305" s="22" t="str">
        <f>HYPERLINK("https://app.vivvix.com/360/KMI/IntelliDrive/ApplUI/Pages/CreativePages/CustomReportCreativeDetail.aspx?App=23&amp;ReportView=4&amp;Qid=1696098&amp;Row=1297&amp;Col=1","No Title Assigned - #15283394039")</f>
        <v/>
      </c>
      <c r="B1305" s="0" t="s">
        <v>1288</v>
      </c>
      <c r="E1305" s="0" t="s">
        <v>12</v>
      </c>
      <c r="F1305" s="0" t="s">
        <v>12</v>
      </c>
      <c r="G1305" s="0" t="s">
        <v>204</v>
      </c>
      <c r="I1305" s="5">
        <v>155.058000</v>
      </c>
      <c r="J1305" s="5">
        <v>1.000000</v>
      </c>
    </row>
    <row r="1306" spans="1:11">
      <c r="A1306" s="22" t="str">
        <f>HYPERLINK("https://app.vivvix.com/360/KMI/IntelliDrive/ApplUI/Pages/CreativePages/CustomReportCreativeDetail.aspx?App=23&amp;ReportView=4&amp;Qid=1696098&amp;Row=1298&amp;Col=1","No Title Assigned - #15283394040")</f>
        <v/>
      </c>
      <c r="B1306" s="0" t="s">
        <v>1289</v>
      </c>
      <c r="E1306" s="0" t="s">
        <v>12</v>
      </c>
      <c r="F1306" s="0" t="s">
        <v>12</v>
      </c>
      <c r="G1306" s="0" t="s">
        <v>204</v>
      </c>
      <c r="I1306" s="5">
        <v>155.058000</v>
      </c>
      <c r="J1306" s="5">
        <v>1.000000</v>
      </c>
    </row>
    <row r="1307" spans="1:11">
      <c r="A1307" s="22" t="str">
        <f>HYPERLINK("https://app.vivvix.com/360/KMI/IntelliDrive/ApplUI/Pages/CreativePages/CustomReportCreativeDetail.aspx?App=23&amp;ReportView=4&amp;Qid=1696098&amp;Row=1299&amp;Col=1","No Title Assigned - #15283394041")</f>
        <v/>
      </c>
      <c r="B1307" s="0" t="s">
        <v>1290</v>
      </c>
      <c r="E1307" s="0" t="s">
        <v>12</v>
      </c>
      <c r="F1307" s="0" t="s">
        <v>12</v>
      </c>
      <c r="G1307" s="0" t="s">
        <v>204</v>
      </c>
      <c r="I1307" s="5">
        <v>155.058000</v>
      </c>
      <c r="J1307" s="5">
        <v>1.000000</v>
      </c>
    </row>
    <row r="1308" spans="1:11">
      <c r="A1308" s="22" t="str">
        <f>HYPERLINK("https://app.vivvix.com/360/KMI/IntelliDrive/ApplUI/Pages/CreativePages/CustomReportCreativeDetail.aspx?App=23&amp;ReportView=4&amp;Qid=1696098&amp;Row=1300&amp;Col=1","No Title Assigned - #15283402117")</f>
        <v/>
      </c>
      <c r="B1308" s="0" t="s">
        <v>1291</v>
      </c>
      <c r="E1308" s="0" t="s">
        <v>12</v>
      </c>
      <c r="F1308" s="0" t="s">
        <v>12</v>
      </c>
      <c r="G1308" s="0" t="s">
        <v>204</v>
      </c>
      <c r="I1308" s="5">
        <v>216.623800</v>
      </c>
      <c r="J1308" s="5">
        <v>1.000000</v>
      </c>
    </row>
    <row r="1309" spans="1:11">
      <c r="A1309" s="22" t="str">
        <f>HYPERLINK("https://app.vivvix.com/360/KMI/IntelliDrive/ApplUI/Pages/CreativePages/CustomReportCreativeDetail.aspx?App=23&amp;ReportView=4&amp;Qid=1696098&amp;Row=1301&amp;Col=1","No Title Assigned - #15283406103")</f>
        <v/>
      </c>
      <c r="B1309" s="0" t="s">
        <v>1292</v>
      </c>
      <c r="E1309" s="0" t="s">
        <v>12</v>
      </c>
      <c r="F1309" s="0" t="s">
        <v>12</v>
      </c>
      <c r="G1309" s="0" t="s">
        <v>204</v>
      </c>
      <c r="I1309" s="5">
        <v>418.255500</v>
      </c>
      <c r="J1309" s="5">
        <v>1.000000</v>
      </c>
    </row>
    <row r="1310" spans="1:11">
      <c r="A1310" s="22" t="str">
        <f>HYPERLINK("https://app.vivvix.com/360/KMI/IntelliDrive/ApplUI/Pages/CreativePages/CustomReportCreativeDetail.aspx?App=23&amp;ReportView=4&amp;Qid=1696098&amp;Row=1302&amp;Col=1","No Title Assigned - #15283417523")</f>
        <v/>
      </c>
      <c r="B1310" s="0" t="s">
        <v>1293</v>
      </c>
      <c r="E1310" s="0" t="s">
        <v>12</v>
      </c>
      <c r="F1310" s="0" t="s">
        <v>12</v>
      </c>
      <c r="G1310" s="0" t="s">
        <v>204</v>
      </c>
      <c r="I1310" s="5">
        <v>216.623800</v>
      </c>
      <c r="J1310" s="5">
        <v>1.000000</v>
      </c>
    </row>
    <row r="1311" spans="1:11">
      <c r="A1311" s="22" t="str">
        <f>HYPERLINK("https://app.vivvix.com/360/KMI/IntelliDrive/ApplUI/Pages/CreativePages/CustomReportCreativeDetail.aspx?App=23&amp;ReportView=4&amp;Qid=1696098&amp;Row=1303&amp;Col=1","No Title Assigned - #15283433644")</f>
        <v/>
      </c>
      <c r="B1311" s="0" t="s">
        <v>1294</v>
      </c>
      <c r="E1311" s="0" t="s">
        <v>12</v>
      </c>
      <c r="F1311" s="0" t="s">
        <v>12</v>
      </c>
      <c r="G1311" s="0" t="s">
        <v>204</v>
      </c>
      <c r="I1311" s="5">
        <v>450.935600</v>
      </c>
      <c r="J1311" s="5">
        <v>1.000000</v>
      </c>
    </row>
    <row r="1312" spans="1:11">
      <c r="A1312" s="22" t="str">
        <f>HYPERLINK("https://app.vivvix.com/360/KMI/IntelliDrive/ApplUI/Pages/CreativePages/CustomReportCreativeDetail.aspx?App=23&amp;ReportView=4&amp;Qid=1696098&amp;Row=1304&amp;Col=1","No Title Assigned - #15283445504")</f>
        <v/>
      </c>
      <c r="B1312" s="0" t="s">
        <v>1295</v>
      </c>
      <c r="E1312" s="0" t="s">
        <v>12</v>
      </c>
      <c r="F1312" s="0" t="s">
        <v>12</v>
      </c>
      <c r="G1312" s="0" t="s">
        <v>204</v>
      </c>
      <c r="I1312" s="5">
        <v>35.406500</v>
      </c>
      <c r="J1312" s="5">
        <v>1.000000</v>
      </c>
    </row>
    <row r="1313" spans="1:11">
      <c r="A1313" s="22" t="str">
        <f>HYPERLINK("https://app.vivvix.com/360/KMI/IntelliDrive/ApplUI/Pages/CreativePages/CustomReportCreativeDetail.aspx?App=23&amp;ReportView=4&amp;Qid=1696098&amp;Row=1305&amp;Col=1","No Title Assigned - #15283463843")</f>
        <v/>
      </c>
      <c r="B1313" s="0" t="s">
        <v>1296</v>
      </c>
      <c r="E1313" s="0" t="s">
        <v>12</v>
      </c>
      <c r="F1313" s="0" t="s">
        <v>12</v>
      </c>
      <c r="G1313" s="0" t="s">
        <v>17</v>
      </c>
      <c r="I1313" s="5">
        <v>33870.923000</v>
      </c>
      <c r="J1313" s="5">
        <v>5.000000</v>
      </c>
    </row>
    <row r="1314" spans="1:11">
      <c r="A1314" s="22" t="str">
        <f>HYPERLINK("https://app.vivvix.com/360/KMI/IntelliDrive/ApplUI/Pages/CreativePages/CustomReportCreativeDetail.aspx?App=23&amp;ReportView=4&amp;Qid=1696098&amp;Row=1306&amp;Col=1","No Title Assigned - #15283476751")</f>
        <v/>
      </c>
      <c r="B1314" s="0" t="s">
        <v>1297</v>
      </c>
      <c r="E1314" s="0" t="s">
        <v>12</v>
      </c>
      <c r="F1314" s="0" t="s">
        <v>12</v>
      </c>
      <c r="G1314" s="0" t="s">
        <v>204</v>
      </c>
      <c r="I1314" s="5">
        <v>702.537900</v>
      </c>
      <c r="J1314" s="5">
        <v>1.000000</v>
      </c>
    </row>
    <row r="1315" spans="1:11">
      <c r="A1315" s="22" t="str">
        <f>HYPERLINK("https://app.vivvix.com/360/KMI/IntelliDrive/ApplUI/Pages/CreativePages/CustomReportCreativeDetail.aspx?App=23&amp;ReportView=4&amp;Qid=1696098&amp;Row=1307&amp;Col=1","No Title Assigned - #15283497883")</f>
        <v/>
      </c>
      <c r="B1315" s="0" t="s">
        <v>1298</v>
      </c>
      <c r="E1315" s="0" t="s">
        <v>12</v>
      </c>
      <c r="F1315" s="0" t="s">
        <v>12</v>
      </c>
      <c r="G1315" s="0" t="s">
        <v>17</v>
      </c>
      <c r="I1315" s="5">
        <v>7.480000</v>
      </c>
      <c r="J1315" s="5">
        <v>2.000000</v>
      </c>
    </row>
    <row r="1316" spans="1:11">
      <c r="A1316" s="22" t="str">
        <f>HYPERLINK("https://app.vivvix.com/360/KMI/IntelliDrive/ApplUI/Pages/CreativePages/CustomReportCreativeDetail.aspx?App=23&amp;ReportView=4&amp;Qid=1696098&amp;Row=1308&amp;Col=1","No Title Assigned - #15283504568")</f>
        <v/>
      </c>
      <c r="B1316" s="0" t="s">
        <v>1299</v>
      </c>
      <c r="E1316" s="0" t="s">
        <v>12</v>
      </c>
      <c r="F1316" s="0" t="s">
        <v>12</v>
      </c>
      <c r="G1316" s="0" t="s">
        <v>204</v>
      </c>
      <c r="I1316" s="5">
        <v>35.406500</v>
      </c>
      <c r="J1316" s="5">
        <v>1.000000</v>
      </c>
    </row>
    <row r="1317" spans="1:11">
      <c r="A1317" s="22" t="str">
        <f>HYPERLINK("https://app.vivvix.com/360/KMI/IntelliDrive/ApplUI/Pages/CreativePages/CustomReportCreativeDetail.aspx?App=23&amp;ReportView=4&amp;Qid=1696098&amp;Row=1309&amp;Col=1","No Title Assigned - #15283528571")</f>
        <v/>
      </c>
      <c r="B1317" s="0" t="s">
        <v>1300</v>
      </c>
      <c r="E1317" s="0" t="s">
        <v>12</v>
      </c>
      <c r="F1317" s="0" t="s">
        <v>12</v>
      </c>
      <c r="G1317" s="0" t="s">
        <v>204</v>
      </c>
      <c r="I1317" s="5">
        <v>799.947500</v>
      </c>
      <c r="J1317" s="5">
        <v>1.000000</v>
      </c>
    </row>
    <row r="1318" spans="1:11">
      <c r="A1318" s="22" t="str">
        <f>HYPERLINK("https://app.vivvix.com/360/KMI/IntelliDrive/ApplUI/Pages/CreativePages/CustomReportCreativeDetail.aspx?App=23&amp;ReportView=4&amp;Qid=1696098&amp;Row=1310&amp;Col=1","No Title Assigned - #15283552173")</f>
        <v/>
      </c>
      <c r="B1318" s="0" t="s">
        <v>1301</v>
      </c>
      <c r="E1318" s="0" t="s">
        <v>12</v>
      </c>
      <c r="F1318" s="0" t="s">
        <v>12</v>
      </c>
      <c r="G1318" s="0" t="s">
        <v>17</v>
      </c>
      <c r="I1318" s="5">
        <v>3.740000</v>
      </c>
      <c r="J1318" s="5">
        <v>1.000000</v>
      </c>
    </row>
    <row r="1319" spans="1:11">
      <c r="A1319" s="22" t="str">
        <f>HYPERLINK("https://app.vivvix.com/360/KMI/IntelliDrive/ApplUI/Pages/CreativePages/CustomReportCreativeDetail.aspx?App=23&amp;ReportView=4&amp;Qid=1696098&amp;Row=1311&amp;Col=1","No Title Assigned - #15283566734")</f>
        <v/>
      </c>
      <c r="B1319" s="0" t="s">
        <v>1302</v>
      </c>
      <c r="E1319" s="0" t="s">
        <v>12</v>
      </c>
      <c r="F1319" s="0" t="s">
        <v>12</v>
      </c>
      <c r="G1319" s="0" t="s">
        <v>204</v>
      </c>
      <c r="I1319" s="5">
        <v>453.852200</v>
      </c>
      <c r="J1319" s="5">
        <v>1.000000</v>
      </c>
    </row>
    <row r="1320" spans="1:11">
      <c r="A1320" s="22" t="str">
        <f>HYPERLINK("https://app.vivvix.com/360/KMI/IntelliDrive/ApplUI/Pages/CreativePages/CustomReportCreativeDetail.aspx?App=23&amp;ReportView=4&amp;Qid=1696098&amp;Row=1312&amp;Col=1","No Title Assigned - #15283575104")</f>
        <v/>
      </c>
      <c r="B1320" s="0" t="s">
        <v>1303</v>
      </c>
      <c r="E1320" s="0" t="s">
        <v>12</v>
      </c>
      <c r="F1320" s="0" t="s">
        <v>12</v>
      </c>
      <c r="G1320" s="0" t="s">
        <v>204</v>
      </c>
      <c r="I1320" s="5">
        <v>425.807800</v>
      </c>
      <c r="J1320" s="5">
        <v>1.000000</v>
      </c>
    </row>
    <row r="1321" spans="1:11">
      <c r="A1321" s="22" t="str">
        <f>HYPERLINK("https://app.vivvix.com/360/KMI/IntelliDrive/ApplUI/Pages/CreativePages/CustomReportCreativeDetail.aspx?App=23&amp;ReportView=4&amp;Qid=1696098&amp;Row=1313&amp;Col=1","No Title Assigned - #15283576370")</f>
        <v/>
      </c>
      <c r="B1321" s="0" t="s">
        <v>1304</v>
      </c>
      <c r="E1321" s="0" t="s">
        <v>12</v>
      </c>
      <c r="F1321" s="0" t="s">
        <v>12</v>
      </c>
      <c r="G1321" s="0" t="s">
        <v>204</v>
      </c>
      <c r="I1321" s="5">
        <v>1228.938600</v>
      </c>
      <c r="J1321" s="5">
        <v>3.000000</v>
      </c>
    </row>
    <row r="1322" spans="1:11">
      <c r="A1322" s="22" t="str">
        <f>HYPERLINK("https://app.vivvix.com/360/KMI/IntelliDrive/ApplUI/Pages/CreativePages/CustomReportCreativeDetail.aspx?App=23&amp;ReportView=4&amp;Qid=1696098&amp;Row=1314&amp;Col=1","No Title Assigned - #15283577000")</f>
        <v/>
      </c>
      <c r="B1322" s="0" t="s">
        <v>1305</v>
      </c>
      <c r="E1322" s="0" t="s">
        <v>12</v>
      </c>
      <c r="F1322" s="0" t="s">
        <v>12</v>
      </c>
      <c r="G1322" s="0" t="s">
        <v>17</v>
      </c>
      <c r="I1322" s="5">
        <v>7.480000</v>
      </c>
      <c r="J1322" s="5">
        <v>2.000000</v>
      </c>
    </row>
    <row r="1323" spans="1:11">
      <c r="A1323" s="22" t="str">
        <f>HYPERLINK("https://app.vivvix.com/360/KMI/IntelliDrive/ApplUI/Pages/CreativePages/CustomReportCreativeDetail.aspx?App=23&amp;ReportView=4&amp;Qid=1696098&amp;Row=1315&amp;Col=1","No Title Assigned - #15283581450")</f>
        <v/>
      </c>
      <c r="B1323" s="0" t="s">
        <v>1306</v>
      </c>
      <c r="E1323" s="0" t="s">
        <v>12</v>
      </c>
      <c r="F1323" s="0" t="s">
        <v>12</v>
      </c>
      <c r="G1323" s="0" t="s">
        <v>204</v>
      </c>
      <c r="I1323" s="5">
        <v>488.639800</v>
      </c>
      <c r="J1323" s="5">
        <v>1.000000</v>
      </c>
    </row>
    <row r="1324" spans="1:11">
      <c r="A1324" s="22" t="str">
        <f>HYPERLINK("https://app.vivvix.com/360/KMI/IntelliDrive/ApplUI/Pages/CreativePages/CustomReportCreativeDetail.aspx?App=23&amp;ReportView=4&amp;Qid=1696098&amp;Row=1316&amp;Col=1","No Title Assigned - #15283598777")</f>
        <v/>
      </c>
      <c r="B1324" s="0" t="s">
        <v>1307</v>
      </c>
      <c r="E1324" s="0" t="s">
        <v>12</v>
      </c>
      <c r="F1324" s="0" t="s">
        <v>12</v>
      </c>
      <c r="G1324" s="0" t="s">
        <v>17</v>
      </c>
      <c r="I1324" s="5">
        <v>11.220000</v>
      </c>
      <c r="J1324" s="5">
        <v>3.000000</v>
      </c>
    </row>
    <row r="1325" spans="1:11">
      <c r="A1325" s="22" t="str">
        <f>HYPERLINK("https://app.vivvix.com/360/KMI/IntelliDrive/ApplUI/Pages/CreativePages/CustomReportCreativeDetail.aspx?App=23&amp;ReportView=4&amp;Qid=1696098&amp;Row=1317&amp;Col=1","No Title Assigned - #15283608402")</f>
        <v/>
      </c>
      <c r="B1325" s="0" t="s">
        <v>1308</v>
      </c>
      <c r="E1325" s="0" t="s">
        <v>12</v>
      </c>
      <c r="F1325" s="0" t="s">
        <v>12</v>
      </c>
      <c r="G1325" s="0" t="s">
        <v>204</v>
      </c>
      <c r="I1325" s="5">
        <v>375.415100</v>
      </c>
      <c r="J1325" s="5">
        <v>1.000000</v>
      </c>
    </row>
    <row r="1326" spans="1:11">
      <c r="A1326" s="22" t="str">
        <f>HYPERLINK("https://app.vivvix.com/360/KMI/IntelliDrive/ApplUI/Pages/CreativePages/CustomReportCreativeDetail.aspx?App=23&amp;ReportView=4&amp;Qid=1696098&amp;Row=1318&amp;Col=1","No Title Assigned - #15283613891")</f>
        <v/>
      </c>
      <c r="B1326" s="0" t="s">
        <v>1309</v>
      </c>
      <c r="E1326" s="0" t="s">
        <v>12</v>
      </c>
      <c r="F1326" s="0" t="s">
        <v>12</v>
      </c>
      <c r="G1326" s="0" t="s">
        <v>17</v>
      </c>
      <c r="I1326" s="5">
        <v>3.740000</v>
      </c>
      <c r="J1326" s="5">
        <v>1.000000</v>
      </c>
    </row>
    <row r="1327" spans="1:11">
      <c r="A1327" s="22" t="str">
        <f>HYPERLINK("https://app.vivvix.com/360/KMI/IntelliDrive/ApplUI/Pages/CreativePages/CustomReportCreativeDetail.aspx?App=23&amp;ReportView=4&amp;Qid=1696098&amp;Row=1319&amp;Col=1","No Title Assigned - #15283620341")</f>
        <v/>
      </c>
      <c r="B1327" s="0" t="s">
        <v>1310</v>
      </c>
      <c r="E1327" s="0" t="s">
        <v>12</v>
      </c>
      <c r="F1327" s="0" t="s">
        <v>12</v>
      </c>
      <c r="G1327" s="0" t="s">
        <v>204</v>
      </c>
      <c r="I1327" s="5">
        <v>732.224500</v>
      </c>
      <c r="J1327" s="5">
        <v>1.000000</v>
      </c>
    </row>
    <row r="1328" spans="1:11">
      <c r="A1328" s="22" t="str">
        <f>HYPERLINK("https://app.vivvix.com/360/KMI/IntelliDrive/ApplUI/Pages/CreativePages/CustomReportCreativeDetail.aspx?App=23&amp;ReportView=4&amp;Qid=1696098&amp;Row=1320&amp;Col=1","No Title Assigned - #15283650386")</f>
        <v/>
      </c>
      <c r="B1328" s="0" t="s">
        <v>1311</v>
      </c>
      <c r="E1328" s="0" t="s">
        <v>12</v>
      </c>
      <c r="F1328" s="0" t="s">
        <v>12</v>
      </c>
      <c r="G1328" s="0" t="s">
        <v>17</v>
      </c>
      <c r="I1328" s="5">
        <v>3.740000</v>
      </c>
      <c r="J1328" s="5">
        <v>1.000000</v>
      </c>
    </row>
    <row r="1329" spans="1:11">
      <c r="A1329" s="22" t="str">
        <f>HYPERLINK("https://app.vivvix.com/360/KMI/IntelliDrive/ApplUI/Pages/CreativePages/CustomReportCreativeDetail.aspx?App=23&amp;ReportView=4&amp;Qid=1696098&amp;Row=1321&amp;Col=1","No Title Assigned - #15283654931")</f>
        <v/>
      </c>
      <c r="B1329" s="0" t="s">
        <v>1312</v>
      </c>
      <c r="E1329" s="0" t="s">
        <v>12</v>
      </c>
      <c r="F1329" s="0" t="s">
        <v>12</v>
      </c>
      <c r="G1329" s="0" t="s">
        <v>17</v>
      </c>
      <c r="I1329" s="5">
        <v>3.740000</v>
      </c>
      <c r="J1329" s="5">
        <v>1.000000</v>
      </c>
    </row>
    <row r="1330" spans="1:11">
      <c r="A1330" s="22" t="str">
        <f>HYPERLINK("https://app.vivvix.com/360/KMI/IntelliDrive/ApplUI/Pages/CreativePages/CustomReportCreativeDetail.aspx?App=23&amp;ReportView=4&amp;Qid=1696098&amp;Row=1322&amp;Col=1","No Title Assigned - #15283667378")</f>
        <v/>
      </c>
      <c r="B1330" s="0" t="s">
        <v>1313</v>
      </c>
      <c r="E1330" s="0" t="s">
        <v>12</v>
      </c>
      <c r="F1330" s="0" t="s">
        <v>12</v>
      </c>
      <c r="G1330" s="0" t="s">
        <v>204</v>
      </c>
      <c r="I1330" s="5">
        <v>499.583700</v>
      </c>
      <c r="J1330" s="5">
        <v>1.000000</v>
      </c>
    </row>
    <row r="1331" spans="1:11">
      <c r="A1331" s="22" t="str">
        <f>HYPERLINK("https://app.vivvix.com/360/KMI/IntelliDrive/ApplUI/Pages/CreativePages/CustomReportCreativeDetail.aspx?App=23&amp;ReportView=4&amp;Qid=1696098&amp;Row=1323&amp;Col=1","No Title Assigned - #15283692954")</f>
        <v/>
      </c>
      <c r="B1331" s="0" t="s">
        <v>1314</v>
      </c>
      <c r="E1331" s="0" t="s">
        <v>12</v>
      </c>
      <c r="F1331" s="0" t="s">
        <v>12</v>
      </c>
      <c r="G1331" s="0" t="s">
        <v>204</v>
      </c>
      <c r="I1331" s="5">
        <v>453.852200</v>
      </c>
      <c r="J1331" s="5">
        <v>1.000000</v>
      </c>
    </row>
    <row r="1332" spans="1:11">
      <c r="A1332" s="22" t="str">
        <f>HYPERLINK("https://app.vivvix.com/360/KMI/IntelliDrive/ApplUI/Pages/CreativePages/CustomReportCreativeDetail.aspx?App=23&amp;ReportView=4&amp;Qid=1696098&amp;Row=1324&amp;Col=1","No Title Assigned - #15283709156")</f>
        <v/>
      </c>
      <c r="B1332" s="0" t="s">
        <v>1315</v>
      </c>
      <c r="E1332" s="0" t="s">
        <v>12</v>
      </c>
      <c r="F1332" s="0" t="s">
        <v>12</v>
      </c>
      <c r="G1332" s="0" t="s">
        <v>17</v>
      </c>
      <c r="I1332" s="5">
        <v>3.740000</v>
      </c>
      <c r="J1332" s="5">
        <v>1.000000</v>
      </c>
    </row>
    <row r="1333" spans="1:11">
      <c r="A1333" s="22" t="str">
        <f>HYPERLINK("https://app.vivvix.com/360/KMI/IntelliDrive/ApplUI/Pages/CreativePages/CustomReportCreativeDetail.aspx?App=23&amp;ReportView=4&amp;Qid=1696098&amp;Row=1325&amp;Col=1","No Title Assigned - #15283715456")</f>
        <v/>
      </c>
      <c r="B1333" s="0" t="s">
        <v>1316</v>
      </c>
      <c r="E1333" s="0" t="s">
        <v>12</v>
      </c>
      <c r="F1333" s="0" t="s">
        <v>12</v>
      </c>
      <c r="G1333" s="0" t="s">
        <v>204</v>
      </c>
      <c r="I1333" s="5">
        <v>378.899400</v>
      </c>
      <c r="J1333" s="5">
        <v>2.000000</v>
      </c>
    </row>
    <row r="1334" spans="1:11">
      <c r="A1334" s="22" t="str">
        <f>HYPERLINK("https://app.vivvix.com/360/KMI/IntelliDrive/ApplUI/Pages/CreativePages/CustomReportCreativeDetail.aspx?App=23&amp;ReportView=4&amp;Qid=1696098&amp;Row=1326&amp;Col=1","No Title Assigned - #15283715530")</f>
        <v/>
      </c>
      <c r="B1334" s="0" t="s">
        <v>1317</v>
      </c>
      <c r="E1334" s="0" t="s">
        <v>12</v>
      </c>
      <c r="F1334" s="0" t="s">
        <v>12</v>
      </c>
      <c r="G1334" s="0" t="s">
        <v>204</v>
      </c>
      <c r="I1334" s="5">
        <v>378.899400</v>
      </c>
      <c r="J1334" s="5">
        <v>2.000000</v>
      </c>
    </row>
    <row r="1335" spans="1:11">
      <c r="A1335" s="22" t="str">
        <f>HYPERLINK("https://app.vivvix.com/360/KMI/IntelliDrive/ApplUI/Pages/CreativePages/CustomReportCreativeDetail.aspx?App=23&amp;ReportView=4&amp;Qid=1696098&amp;Row=1327&amp;Col=1","No Title Assigned - #15283718696")</f>
        <v/>
      </c>
      <c r="B1335" s="0" t="s">
        <v>1318</v>
      </c>
      <c r="E1335" s="0" t="s">
        <v>12</v>
      </c>
      <c r="F1335" s="0" t="s">
        <v>12</v>
      </c>
      <c r="G1335" s="0" t="s">
        <v>204</v>
      </c>
      <c r="I1335" s="5">
        <v>35.406500</v>
      </c>
      <c r="J1335" s="5">
        <v>1.000000</v>
      </c>
    </row>
    <row r="1336" spans="1:11">
      <c r="A1336" s="22" t="str">
        <f>HYPERLINK("https://app.vivvix.com/360/KMI/IntelliDrive/ApplUI/Pages/CreativePages/CustomReportCreativeDetail.aspx?App=23&amp;ReportView=4&amp;Qid=1696098&amp;Row=1328&amp;Col=1","No Title Assigned - #15283718716")</f>
        <v/>
      </c>
      <c r="B1336" s="0" t="s">
        <v>1319</v>
      </c>
      <c r="E1336" s="0" t="s">
        <v>12</v>
      </c>
      <c r="F1336" s="0" t="s">
        <v>12</v>
      </c>
      <c r="G1336" s="0" t="s">
        <v>204</v>
      </c>
      <c r="I1336" s="5">
        <v>35.406500</v>
      </c>
      <c r="J1336" s="5">
        <v>1.000000</v>
      </c>
    </row>
    <row r="1337" spans="1:11">
      <c r="A1337" s="22" t="str">
        <f>HYPERLINK("https://app.vivvix.com/360/KMI/IntelliDrive/ApplUI/Pages/CreativePages/CustomReportCreativeDetail.aspx?App=23&amp;ReportView=4&amp;Qid=1696098&amp;Row=1329&amp;Col=1","No Title Assigned - #15283718717")</f>
        <v/>
      </c>
      <c r="B1337" s="0" t="s">
        <v>1320</v>
      </c>
      <c r="E1337" s="0" t="s">
        <v>12</v>
      </c>
      <c r="F1337" s="0" t="s">
        <v>12</v>
      </c>
      <c r="G1337" s="0" t="s">
        <v>204</v>
      </c>
      <c r="I1337" s="5">
        <v>35.406500</v>
      </c>
      <c r="J1337" s="5">
        <v>1.000000</v>
      </c>
    </row>
    <row r="1338" spans="1:11">
      <c r="A1338" s="22" t="str">
        <f>HYPERLINK("https://app.vivvix.com/360/KMI/IntelliDrive/ApplUI/Pages/CreativePages/CustomReportCreativeDetail.aspx?App=23&amp;ReportView=4&amp;Qid=1696098&amp;Row=1330&amp;Col=1","No Title Assigned - #15283719290")</f>
        <v/>
      </c>
      <c r="B1338" s="0" t="s">
        <v>1321</v>
      </c>
      <c r="E1338" s="0" t="s">
        <v>12</v>
      </c>
      <c r="F1338" s="0" t="s">
        <v>12</v>
      </c>
      <c r="G1338" s="0" t="s">
        <v>204</v>
      </c>
      <c r="I1338" s="5">
        <v>466.699400</v>
      </c>
      <c r="J1338" s="5">
        <v>1.000000</v>
      </c>
    </row>
    <row r="1339" spans="1:11">
      <c r="A1339" s="22" t="str">
        <f>HYPERLINK("https://app.vivvix.com/360/KMI/IntelliDrive/ApplUI/Pages/CreativePages/CustomReportCreativeDetail.aspx?App=23&amp;ReportView=4&amp;Qid=1696098&amp;Row=1331&amp;Col=1","No Title Assigned - #15283720056")</f>
        <v/>
      </c>
      <c r="B1339" s="0" t="s">
        <v>1322</v>
      </c>
      <c r="E1339" s="0" t="s">
        <v>12</v>
      </c>
      <c r="F1339" s="0" t="s">
        <v>12</v>
      </c>
      <c r="G1339" s="0" t="s">
        <v>204</v>
      </c>
      <c r="I1339" s="5">
        <v>7383.371600</v>
      </c>
      <c r="J1339" s="5">
        <v>1.000000</v>
      </c>
    </row>
    <row r="1340" spans="1:11">
      <c r="A1340" s="22" t="str">
        <f>HYPERLINK("https://app.vivvix.com/360/KMI/IntelliDrive/ApplUI/Pages/CreativePages/CustomReportCreativeDetail.aspx?App=23&amp;ReportView=4&amp;Qid=1696098&amp;Row=1332&amp;Col=1","No Title Assigned - #15283729830")</f>
        <v/>
      </c>
      <c r="B1340" s="0" t="s">
        <v>1323</v>
      </c>
      <c r="E1340" s="0" t="s">
        <v>12</v>
      </c>
      <c r="F1340" s="0" t="s">
        <v>12</v>
      </c>
      <c r="G1340" s="0" t="s">
        <v>204</v>
      </c>
      <c r="I1340" s="5">
        <v>263.857400</v>
      </c>
      <c r="J1340" s="5">
        <v>1.000000</v>
      </c>
    </row>
    <row r="1341" spans="1:11">
      <c r="A1341" s="22" t="str">
        <f>HYPERLINK("https://app.vivvix.com/360/KMI/IntelliDrive/ApplUI/Pages/CreativePages/CustomReportCreativeDetail.aspx?App=23&amp;ReportView=4&amp;Qid=1696098&amp;Row=1333&amp;Col=1","No Title Assigned - #15283736873")</f>
        <v/>
      </c>
      <c r="B1341" s="0" t="s">
        <v>1324</v>
      </c>
      <c r="E1341" s="0" t="s">
        <v>12</v>
      </c>
      <c r="F1341" s="0" t="s">
        <v>12</v>
      </c>
      <c r="G1341" s="0" t="s">
        <v>204</v>
      </c>
      <c r="I1341" s="5">
        <v>521.219900</v>
      </c>
      <c r="J1341" s="5">
        <v>1.000000</v>
      </c>
    </row>
    <row r="1342" spans="1:11">
      <c r="A1342" s="22" t="str">
        <f>HYPERLINK("https://app.vivvix.com/360/KMI/IntelliDrive/ApplUI/Pages/CreativePages/CustomReportCreativeDetail.aspx?App=23&amp;ReportView=4&amp;Qid=1696098&amp;Row=1334&amp;Col=1","No Title Assigned - #15283737611")</f>
        <v/>
      </c>
      <c r="B1342" s="0" t="s">
        <v>1325</v>
      </c>
      <c r="E1342" s="0" t="s">
        <v>12</v>
      </c>
      <c r="F1342" s="0" t="s">
        <v>12</v>
      </c>
      <c r="G1342" s="0" t="s">
        <v>204</v>
      </c>
      <c r="I1342" s="5">
        <v>1166.116200</v>
      </c>
      <c r="J1342" s="5">
        <v>13.000000</v>
      </c>
    </row>
    <row r="1343" spans="1:11">
      <c r="A1343" s="22" t="str">
        <f>HYPERLINK("https://app.vivvix.com/360/KMI/IntelliDrive/ApplUI/Pages/CreativePages/CustomReportCreativeDetail.aspx?App=23&amp;ReportView=4&amp;Qid=1696098&amp;Row=1335&amp;Col=1","No Title Assigned - #15283764510")</f>
        <v/>
      </c>
      <c r="B1343" s="0" t="s">
        <v>1326</v>
      </c>
      <c r="E1343" s="0" t="s">
        <v>12</v>
      </c>
      <c r="F1343" s="0" t="s">
        <v>12</v>
      </c>
      <c r="G1343" s="0" t="s">
        <v>17</v>
      </c>
      <c r="I1343" s="5">
        <v>8.584000</v>
      </c>
      <c r="J1343" s="5">
        <v>2.000000</v>
      </c>
    </row>
    <row r="1344" spans="1:11">
      <c r="A1344" s="22" t="str">
        <f>HYPERLINK("https://app.vivvix.com/360/KMI/IntelliDrive/ApplUI/Pages/CreativePages/CustomReportCreativeDetail.aspx?App=23&amp;ReportView=4&amp;Qid=1696098&amp;Row=1336&amp;Col=1","No Title Assigned - #15283764771")</f>
        <v/>
      </c>
      <c r="B1344" s="0" t="s">
        <v>1327</v>
      </c>
      <c r="E1344" s="0" t="s">
        <v>12</v>
      </c>
      <c r="F1344" s="0" t="s">
        <v>12</v>
      </c>
      <c r="G1344" s="0" t="s">
        <v>204</v>
      </c>
      <c r="I1344" s="5">
        <v>105.072500</v>
      </c>
      <c r="J1344" s="5">
        <v>5.000000</v>
      </c>
    </row>
    <row r="1345" spans="1:11">
      <c r="A1345" s="22" t="str">
        <f>HYPERLINK("https://app.vivvix.com/360/KMI/IntelliDrive/ApplUI/Pages/CreativePages/CustomReportCreativeDetail.aspx?App=23&amp;ReportView=4&amp;Qid=1696098&amp;Row=1337&amp;Col=1","No Title Assigned - #15283775465")</f>
        <v/>
      </c>
      <c r="B1345" s="0" t="s">
        <v>1328</v>
      </c>
      <c r="E1345" s="0" t="s">
        <v>12</v>
      </c>
      <c r="F1345" s="0" t="s">
        <v>12</v>
      </c>
      <c r="G1345" s="0" t="s">
        <v>204</v>
      </c>
      <c r="I1345" s="5">
        <v>464.518300</v>
      </c>
      <c r="J1345" s="5">
        <v>1.000000</v>
      </c>
    </row>
    <row r="1346" spans="1:11">
      <c r="A1346" s="22" t="str">
        <f>HYPERLINK("https://app.vivvix.com/360/KMI/IntelliDrive/ApplUI/Pages/CreativePages/CustomReportCreativeDetail.aspx?App=23&amp;ReportView=4&amp;Qid=1696098&amp;Row=1338&amp;Col=1","No Title Assigned - #15283787315")</f>
        <v/>
      </c>
      <c r="B1346" s="0" t="s">
        <v>1329</v>
      </c>
      <c r="E1346" s="0" t="s">
        <v>12</v>
      </c>
      <c r="F1346" s="0" t="s">
        <v>12</v>
      </c>
      <c r="G1346" s="0" t="s">
        <v>204</v>
      </c>
      <c r="I1346" s="5">
        <v>196.311500</v>
      </c>
      <c r="J1346" s="5">
        <v>1.000000</v>
      </c>
    </row>
    <row r="1347" spans="1:11">
      <c r="A1347" s="22" t="str">
        <f>HYPERLINK("https://app.vivvix.com/360/KMI/IntelliDrive/ApplUI/Pages/CreativePages/CustomReportCreativeDetail.aspx?App=23&amp;ReportView=4&amp;Qid=1696098&amp;Row=1339&amp;Col=1","No Title Assigned - #15283787504")</f>
        <v/>
      </c>
      <c r="B1347" s="0" t="s">
        <v>1330</v>
      </c>
      <c r="E1347" s="0" t="s">
        <v>12</v>
      </c>
      <c r="F1347" s="0" t="s">
        <v>12</v>
      </c>
      <c r="G1347" s="0" t="s">
        <v>204</v>
      </c>
      <c r="I1347" s="5">
        <v>237.727100</v>
      </c>
      <c r="J1347" s="5">
        <v>1.000000</v>
      </c>
    </row>
    <row r="1348" spans="1:11">
      <c r="A1348" s="22" t="str">
        <f>HYPERLINK("https://app.vivvix.com/360/KMI/IntelliDrive/ApplUI/Pages/CreativePages/CustomReportCreativeDetail.aspx?App=23&amp;ReportView=4&amp;Qid=1696098&amp;Row=1340&amp;Col=1","No Title Assigned - #15283789726")</f>
        <v/>
      </c>
      <c r="B1348" s="0" t="s">
        <v>1331</v>
      </c>
      <c r="E1348" s="0" t="s">
        <v>12</v>
      </c>
      <c r="F1348" s="0" t="s">
        <v>12</v>
      </c>
      <c r="G1348" s="0" t="s">
        <v>204</v>
      </c>
      <c r="I1348" s="5">
        <v>196.311500</v>
      </c>
      <c r="J1348" s="5">
        <v>1.000000</v>
      </c>
    </row>
    <row r="1349" spans="1:11">
      <c r="A1349" s="22" t="str">
        <f>HYPERLINK("https://app.vivvix.com/360/KMI/IntelliDrive/ApplUI/Pages/CreativePages/CustomReportCreativeDetail.aspx?App=23&amp;ReportView=4&amp;Qid=1696098&amp;Row=1341&amp;Col=1","No Title Assigned - #15283806930")</f>
        <v/>
      </c>
      <c r="B1349" s="0" t="s">
        <v>1332</v>
      </c>
      <c r="E1349" s="0" t="s">
        <v>12</v>
      </c>
      <c r="F1349" s="0" t="s">
        <v>12</v>
      </c>
      <c r="G1349" s="0" t="s">
        <v>204</v>
      </c>
      <c r="I1349" s="5">
        <v>561.204800</v>
      </c>
      <c r="J1349" s="5">
        <v>1.000000</v>
      </c>
    </row>
    <row r="1350" spans="1:11">
      <c r="A1350" s="22" t="str">
        <f>HYPERLINK("https://app.vivvix.com/360/KMI/IntelliDrive/ApplUI/Pages/CreativePages/CustomReportCreativeDetail.aspx?App=23&amp;ReportView=4&amp;Qid=1696098&amp;Row=1342&amp;Col=1","No Title Assigned - #15283818524")</f>
        <v/>
      </c>
      <c r="B1350" s="0" t="s">
        <v>1333</v>
      </c>
      <c r="E1350" s="0" t="s">
        <v>12</v>
      </c>
      <c r="F1350" s="0" t="s">
        <v>12</v>
      </c>
      <c r="G1350" s="0" t="s">
        <v>204</v>
      </c>
      <c r="I1350" s="5">
        <v>457.547600</v>
      </c>
      <c r="J1350" s="5">
        <v>2.000000</v>
      </c>
    </row>
    <row r="1351" spans="1:11">
      <c r="A1351" s="22" t="str">
        <f>HYPERLINK("https://app.vivvix.com/360/KMI/IntelliDrive/ApplUI/Pages/CreativePages/CustomReportCreativeDetail.aspx?App=23&amp;ReportView=4&amp;Qid=1696098&amp;Row=1343&amp;Col=1","No Title Assigned - #15283882509")</f>
        <v/>
      </c>
      <c r="B1351" s="0" t="s">
        <v>1334</v>
      </c>
      <c r="E1351" s="0" t="s">
        <v>12</v>
      </c>
      <c r="F1351" s="0" t="s">
        <v>12</v>
      </c>
      <c r="G1351" s="0" t="s">
        <v>204</v>
      </c>
      <c r="I1351" s="5">
        <v>756.288900</v>
      </c>
      <c r="J1351" s="5">
        <v>1.000000</v>
      </c>
    </row>
    <row r="1352" spans="1:11">
      <c r="A1352" s="22" t="str">
        <f>HYPERLINK("https://app.vivvix.com/360/KMI/IntelliDrive/ApplUI/Pages/CreativePages/CustomReportCreativeDetail.aspx?App=23&amp;ReportView=4&amp;Qid=1696098&amp;Row=1344&amp;Col=1","No Title Assigned - #15283897632")</f>
        <v/>
      </c>
      <c r="B1352" s="0" t="s">
        <v>1335</v>
      </c>
      <c r="E1352" s="0" t="s">
        <v>12</v>
      </c>
      <c r="F1352" s="0" t="s">
        <v>12</v>
      </c>
      <c r="G1352" s="0" t="s">
        <v>17</v>
      </c>
      <c r="I1352" s="5">
        <v>7.480000</v>
      </c>
      <c r="J1352" s="5">
        <v>2.000000</v>
      </c>
    </row>
    <row r="1353" spans="1:11">
      <c r="A1353" s="22" t="str">
        <f>HYPERLINK("https://app.vivvix.com/360/KMI/IntelliDrive/ApplUI/Pages/CreativePages/CustomReportCreativeDetail.aspx?App=23&amp;ReportView=4&amp;Qid=1696098&amp;Row=1345&amp;Col=1","No Title Assigned - #15283904373")</f>
        <v/>
      </c>
      <c r="B1353" s="0" t="s">
        <v>1336</v>
      </c>
      <c r="E1353" s="0" t="s">
        <v>12</v>
      </c>
      <c r="F1353" s="0" t="s">
        <v>12</v>
      </c>
      <c r="G1353" s="0" t="s">
        <v>204</v>
      </c>
      <c r="I1353" s="5">
        <v>400.111400</v>
      </c>
      <c r="J1353" s="5">
        <v>1.000000</v>
      </c>
    </row>
    <row r="1354" spans="1:11">
      <c r="A1354" s="22" t="str">
        <f>HYPERLINK("https://app.vivvix.com/360/KMI/IntelliDrive/ApplUI/Pages/CreativePages/CustomReportCreativeDetail.aspx?App=23&amp;ReportView=4&amp;Qid=1696098&amp;Row=1346&amp;Col=1","No Title Assigned - #15283904374")</f>
        <v/>
      </c>
      <c r="B1354" s="0" t="s">
        <v>1337</v>
      </c>
      <c r="E1354" s="0" t="s">
        <v>12</v>
      </c>
      <c r="F1354" s="0" t="s">
        <v>12</v>
      </c>
      <c r="G1354" s="0" t="s">
        <v>204</v>
      </c>
      <c r="I1354" s="5">
        <v>400.111400</v>
      </c>
      <c r="J1354" s="5">
        <v>1.000000</v>
      </c>
    </row>
    <row r="1355" spans="1:11">
      <c r="A1355" s="22" t="str">
        <f>HYPERLINK("https://app.vivvix.com/360/KMI/IntelliDrive/ApplUI/Pages/CreativePages/CustomReportCreativeDetail.aspx?App=23&amp;ReportView=4&amp;Qid=1696098&amp;Row=1347&amp;Col=1","No Title Assigned - #15283940240")</f>
        <v/>
      </c>
      <c r="B1355" s="0" t="s">
        <v>1338</v>
      </c>
      <c r="E1355" s="0" t="s">
        <v>12</v>
      </c>
      <c r="F1355" s="0" t="s">
        <v>12</v>
      </c>
      <c r="G1355" s="0" t="s">
        <v>204</v>
      </c>
      <c r="I1355" s="5">
        <v>606.834300</v>
      </c>
      <c r="J1355" s="5">
        <v>1.000000</v>
      </c>
    </row>
    <row r="1356" spans="1:11">
      <c r="A1356" s="22" t="str">
        <f>HYPERLINK("https://app.vivvix.com/360/KMI/IntelliDrive/ApplUI/Pages/CreativePages/CustomReportCreativeDetail.aspx?App=23&amp;ReportView=4&amp;Qid=1696098&amp;Row=1348&amp;Col=1","No Title Assigned - #15283967026")</f>
        <v/>
      </c>
      <c r="B1356" s="0" t="s">
        <v>1339</v>
      </c>
      <c r="E1356" s="0" t="s">
        <v>12</v>
      </c>
      <c r="F1356" s="0" t="s">
        <v>12</v>
      </c>
      <c r="G1356" s="0" t="s">
        <v>17</v>
      </c>
      <c r="I1356" s="5">
        <v>8.584000</v>
      </c>
      <c r="J1356" s="5">
        <v>2.000000</v>
      </c>
    </row>
    <row r="1357" spans="1:11">
      <c r="A1357" s="22" t="str">
        <f>HYPERLINK("https://app.vivvix.com/360/KMI/IntelliDrive/ApplUI/Pages/CreativePages/CustomReportCreativeDetail.aspx?App=23&amp;ReportView=4&amp;Qid=1696098&amp;Row=1349&amp;Col=1","No Title Assigned - #15284020416")</f>
        <v/>
      </c>
      <c r="B1357" s="0" t="s">
        <v>1340</v>
      </c>
      <c r="E1357" s="0" t="s">
        <v>12</v>
      </c>
      <c r="F1357" s="0" t="s">
        <v>12</v>
      </c>
      <c r="G1357" s="0" t="s">
        <v>204</v>
      </c>
      <c r="I1357" s="5">
        <v>553.664200</v>
      </c>
      <c r="J1357" s="5">
        <v>1.000000</v>
      </c>
    </row>
    <row r="1358" spans="1:11">
      <c r="A1358" s="22" t="str">
        <f>HYPERLINK("https://app.vivvix.com/360/KMI/IntelliDrive/ApplUI/Pages/CreativePages/CustomReportCreativeDetail.aspx?App=23&amp;ReportView=4&amp;Qid=1696098&amp;Row=1350&amp;Col=1","No Title Assigned - #15284042170")</f>
        <v/>
      </c>
      <c r="B1358" s="0" t="s">
        <v>1341</v>
      </c>
      <c r="E1358" s="0" t="s">
        <v>12</v>
      </c>
      <c r="F1358" s="0" t="s">
        <v>12</v>
      </c>
      <c r="G1358" s="0" t="s">
        <v>204</v>
      </c>
      <c r="I1358" s="5">
        <v>81.782300</v>
      </c>
      <c r="J1358" s="5">
        <v>1.000000</v>
      </c>
    </row>
    <row r="1359" spans="1:11">
      <c r="A1359" s="22" t="str">
        <f>HYPERLINK("https://app.vivvix.com/360/KMI/IntelliDrive/ApplUI/Pages/CreativePages/CustomReportCreativeDetail.aspx?App=23&amp;ReportView=4&amp;Qid=1696098&amp;Row=1351&amp;Col=1","No Title Assigned - #15284048664")</f>
        <v/>
      </c>
      <c r="B1359" s="0" t="s">
        <v>1342</v>
      </c>
      <c r="E1359" s="0" t="s">
        <v>12</v>
      </c>
      <c r="F1359" s="0" t="s">
        <v>12</v>
      </c>
      <c r="G1359" s="0" t="s">
        <v>204</v>
      </c>
      <c r="I1359" s="5">
        <v>6568.126500</v>
      </c>
      <c r="J1359" s="5">
        <v>1.000000</v>
      </c>
    </row>
    <row r="1360" spans="1:11">
      <c r="A1360" s="22" t="str">
        <f>HYPERLINK("https://app.vivvix.com/360/KMI/IntelliDrive/ApplUI/Pages/CreativePages/CustomReportCreativeDetail.aspx?App=23&amp;ReportView=4&amp;Qid=1696098&amp;Row=1352&amp;Col=1","No Title Assigned - #15284055390")</f>
        <v/>
      </c>
      <c r="B1360" s="0" t="s">
        <v>1343</v>
      </c>
      <c r="E1360" s="0" t="s">
        <v>12</v>
      </c>
      <c r="F1360" s="0" t="s">
        <v>12</v>
      </c>
      <c r="G1360" s="0" t="s">
        <v>204</v>
      </c>
      <c r="I1360" s="5">
        <v>331.768800</v>
      </c>
      <c r="J1360" s="5">
        <v>1.000000</v>
      </c>
    </row>
    <row r="1361" spans="1:11">
      <c r="A1361" s="22" t="str">
        <f>HYPERLINK("https://app.vivvix.com/360/KMI/IntelliDrive/ApplUI/Pages/CreativePages/CustomReportCreativeDetail.aspx?App=23&amp;ReportView=4&amp;Qid=1696098&amp;Row=1353&amp;Col=1","No Title Assigned - #15284055391")</f>
        <v/>
      </c>
      <c r="B1361" s="0" t="s">
        <v>1344</v>
      </c>
      <c r="E1361" s="0" t="s">
        <v>12</v>
      </c>
      <c r="F1361" s="0" t="s">
        <v>12</v>
      </c>
      <c r="G1361" s="0" t="s">
        <v>204</v>
      </c>
      <c r="I1361" s="5">
        <v>331.768800</v>
      </c>
      <c r="J1361" s="5">
        <v>1.000000</v>
      </c>
    </row>
    <row r="1362" spans="1:11">
      <c r="A1362" s="22" t="str">
        <f>HYPERLINK("https://app.vivvix.com/360/KMI/IntelliDrive/ApplUI/Pages/CreativePages/CustomReportCreativeDetail.aspx?App=23&amp;ReportView=4&amp;Qid=1696098&amp;Row=1354&amp;Col=1","No Title Assigned - #15284057611")</f>
        <v/>
      </c>
      <c r="B1362" s="0" t="s">
        <v>1345</v>
      </c>
      <c r="E1362" s="0" t="s">
        <v>12</v>
      </c>
      <c r="F1362" s="0" t="s">
        <v>12</v>
      </c>
      <c r="G1362" s="0" t="s">
        <v>204</v>
      </c>
      <c r="I1362" s="5">
        <v>92.248300</v>
      </c>
      <c r="J1362" s="5">
        <v>1.000000</v>
      </c>
    </row>
    <row r="1363" spans="1:11">
      <c r="A1363" s="22" t="str">
        <f>HYPERLINK("https://app.vivvix.com/360/KMI/IntelliDrive/ApplUI/Pages/CreativePages/CustomReportCreativeDetail.aspx?App=23&amp;ReportView=4&amp;Qid=1696098&amp;Row=1355&amp;Col=1","No Title Assigned - #15284057612")</f>
        <v/>
      </c>
      <c r="B1363" s="0" t="s">
        <v>1346</v>
      </c>
      <c r="E1363" s="0" t="s">
        <v>12</v>
      </c>
      <c r="F1363" s="0" t="s">
        <v>12</v>
      </c>
      <c r="G1363" s="0" t="s">
        <v>204</v>
      </c>
      <c r="I1363" s="5">
        <v>92.248300</v>
      </c>
      <c r="J1363" s="5">
        <v>1.000000</v>
      </c>
    </row>
    <row r="1364" spans="1:11">
      <c r="A1364" s="22" t="str">
        <f>HYPERLINK("https://app.vivvix.com/360/KMI/IntelliDrive/ApplUI/Pages/CreativePages/CustomReportCreativeDetail.aspx?App=23&amp;ReportView=4&amp;Qid=1696098&amp;Row=1356&amp;Col=1","No Title Assigned - #15284057614")</f>
        <v/>
      </c>
      <c r="B1364" s="0" t="s">
        <v>1347</v>
      </c>
      <c r="E1364" s="0" t="s">
        <v>12</v>
      </c>
      <c r="F1364" s="0" t="s">
        <v>12</v>
      </c>
      <c r="G1364" s="0" t="s">
        <v>204</v>
      </c>
      <c r="I1364" s="5">
        <v>92.248300</v>
      </c>
      <c r="J1364" s="5">
        <v>1.000000</v>
      </c>
    </row>
    <row r="1365" spans="1:11">
      <c r="A1365" s="22" t="str">
        <f>HYPERLINK("https://app.vivvix.com/360/KMI/IntelliDrive/ApplUI/Pages/CreativePages/CustomReportCreativeDetail.aspx?App=23&amp;ReportView=4&amp;Qid=1696098&amp;Row=1357&amp;Col=1","No Title Assigned - #15284057618")</f>
        <v/>
      </c>
      <c r="B1365" s="0" t="s">
        <v>1348</v>
      </c>
      <c r="E1365" s="0" t="s">
        <v>12</v>
      </c>
      <c r="F1365" s="0" t="s">
        <v>12</v>
      </c>
      <c r="G1365" s="0" t="s">
        <v>204</v>
      </c>
      <c r="I1365" s="5">
        <v>92.248300</v>
      </c>
      <c r="J1365" s="5">
        <v>1.000000</v>
      </c>
    </row>
    <row r="1366" spans="1:11">
      <c r="A1366" s="22" t="str">
        <f>HYPERLINK("https://app.vivvix.com/360/KMI/IntelliDrive/ApplUI/Pages/CreativePages/CustomReportCreativeDetail.aspx?App=23&amp;ReportView=4&amp;Qid=1696098&amp;Row=1358&amp;Col=1","No Title Assigned - #15284058046")</f>
        <v/>
      </c>
      <c r="B1366" s="0" t="s">
        <v>1349</v>
      </c>
      <c r="E1366" s="0" t="s">
        <v>12</v>
      </c>
      <c r="F1366" s="0" t="s">
        <v>12</v>
      </c>
      <c r="G1366" s="0" t="s">
        <v>204</v>
      </c>
      <c r="I1366" s="5">
        <v>3983.065900</v>
      </c>
      <c r="J1366" s="5">
        <v>1.000000</v>
      </c>
    </row>
    <row r="1367" spans="1:11">
      <c r="A1367" s="22" t="str">
        <f>HYPERLINK("https://app.vivvix.com/360/KMI/IntelliDrive/ApplUI/Pages/CreativePages/CustomReportCreativeDetail.aspx?App=23&amp;ReportView=4&amp;Qid=1696098&amp;Row=1359&amp;Col=1","No Title Assigned - #15284081450")</f>
        <v/>
      </c>
      <c r="B1367" s="0" t="s">
        <v>1350</v>
      </c>
      <c r="E1367" s="0" t="s">
        <v>12</v>
      </c>
      <c r="F1367" s="0" t="s">
        <v>12</v>
      </c>
      <c r="G1367" s="0" t="s">
        <v>204</v>
      </c>
      <c r="I1367" s="5">
        <v>263.857400</v>
      </c>
      <c r="J1367" s="5">
        <v>1.000000</v>
      </c>
    </row>
    <row r="1368" spans="1:11">
      <c r="A1368" s="22" t="str">
        <f>HYPERLINK("https://app.vivvix.com/360/KMI/IntelliDrive/ApplUI/Pages/CreativePages/CustomReportCreativeDetail.aspx?App=23&amp;ReportView=4&amp;Qid=1696098&amp;Row=1360&amp;Col=1","No Title Assigned - #15284104555")</f>
        <v/>
      </c>
      <c r="B1368" s="0" t="s">
        <v>1351</v>
      </c>
      <c r="E1368" s="0" t="s">
        <v>12</v>
      </c>
      <c r="F1368" s="0" t="s">
        <v>12</v>
      </c>
      <c r="G1368" s="0" t="s">
        <v>204</v>
      </c>
      <c r="I1368" s="5">
        <v>196.311500</v>
      </c>
      <c r="J1368" s="5">
        <v>1.000000</v>
      </c>
    </row>
    <row r="1369" spans="1:11">
      <c r="A1369" s="22" t="str">
        <f>HYPERLINK("https://app.vivvix.com/360/KMI/IntelliDrive/ApplUI/Pages/CreativePages/CustomReportCreativeDetail.aspx?App=23&amp;ReportView=4&amp;Qid=1696098&amp;Row=1361&amp;Col=1","No Title Assigned - #15284104556")</f>
        <v/>
      </c>
      <c r="B1369" s="0" t="s">
        <v>1352</v>
      </c>
      <c r="E1369" s="0" t="s">
        <v>12</v>
      </c>
      <c r="F1369" s="0" t="s">
        <v>12</v>
      </c>
      <c r="G1369" s="0" t="s">
        <v>204</v>
      </c>
      <c r="I1369" s="5">
        <v>196.311500</v>
      </c>
      <c r="J1369" s="5">
        <v>1.000000</v>
      </c>
    </row>
    <row r="1370" spans="1:11">
      <c r="A1370" s="22" t="str">
        <f>HYPERLINK("https://app.vivvix.com/360/KMI/IntelliDrive/ApplUI/Pages/CreativePages/CustomReportCreativeDetail.aspx?App=23&amp;ReportView=4&amp;Qid=1696098&amp;Row=1362&amp;Col=1","No Title Assigned - #15284104601")</f>
        <v/>
      </c>
      <c r="B1370" s="0" t="s">
        <v>1353</v>
      </c>
      <c r="E1370" s="0" t="s">
        <v>12</v>
      </c>
      <c r="F1370" s="0" t="s">
        <v>12</v>
      </c>
      <c r="G1370" s="0" t="s">
        <v>204</v>
      </c>
      <c r="I1370" s="5">
        <v>196.311500</v>
      </c>
      <c r="J1370" s="5">
        <v>1.000000</v>
      </c>
    </row>
    <row r="1371" spans="1:11">
      <c r="A1371" s="22" t="str">
        <f>HYPERLINK("https://app.vivvix.com/360/KMI/IntelliDrive/ApplUI/Pages/CreativePages/CustomReportCreativeDetail.aspx?App=23&amp;ReportView=4&amp;Qid=1696098&amp;Row=1363&amp;Col=1","No Title Assigned - #15284105874")</f>
        <v/>
      </c>
      <c r="B1371" s="0" t="s">
        <v>1354</v>
      </c>
      <c r="E1371" s="0" t="s">
        <v>12</v>
      </c>
      <c r="F1371" s="0" t="s">
        <v>12</v>
      </c>
      <c r="G1371" s="0" t="s">
        <v>204</v>
      </c>
      <c r="I1371" s="5">
        <v>196.311500</v>
      </c>
      <c r="J1371" s="5">
        <v>1.000000</v>
      </c>
    </row>
    <row r="1372" spans="1:11">
      <c r="A1372" s="22" t="str">
        <f>HYPERLINK("https://app.vivvix.com/360/KMI/IntelliDrive/ApplUI/Pages/CreativePages/CustomReportCreativeDetail.aspx?App=23&amp;ReportView=4&amp;Qid=1696098&amp;Row=1364&amp;Col=1","No Title Assigned - #15284105875")</f>
        <v/>
      </c>
      <c r="B1372" s="0" t="s">
        <v>1355</v>
      </c>
      <c r="E1372" s="0" t="s">
        <v>12</v>
      </c>
      <c r="F1372" s="0" t="s">
        <v>12</v>
      </c>
      <c r="G1372" s="0" t="s">
        <v>204</v>
      </c>
      <c r="I1372" s="5">
        <v>196.311500</v>
      </c>
      <c r="J1372" s="5">
        <v>1.000000</v>
      </c>
    </row>
    <row r="1373" spans="1:11">
      <c r="A1373" s="22" t="str">
        <f>HYPERLINK("https://app.vivvix.com/360/KMI/IntelliDrive/ApplUI/Pages/CreativePages/CustomReportCreativeDetail.aspx?App=23&amp;ReportView=4&amp;Qid=1696098&amp;Row=1365&amp;Col=1","No Title Assigned - #15284105876")</f>
        <v/>
      </c>
      <c r="B1373" s="0" t="s">
        <v>1356</v>
      </c>
      <c r="E1373" s="0" t="s">
        <v>12</v>
      </c>
      <c r="F1373" s="0" t="s">
        <v>12</v>
      </c>
      <c r="G1373" s="0" t="s">
        <v>204</v>
      </c>
      <c r="I1373" s="5">
        <v>196.311500</v>
      </c>
      <c r="J1373" s="5">
        <v>1.000000</v>
      </c>
    </row>
    <row r="1374" spans="1:11">
      <c r="A1374" s="22" t="str">
        <f>HYPERLINK("https://app.vivvix.com/360/KMI/IntelliDrive/ApplUI/Pages/CreativePages/CustomReportCreativeDetail.aspx?App=23&amp;ReportView=4&amp;Qid=1696098&amp;Row=1366&amp;Col=1","No Title Assigned - #15284105912")</f>
        <v/>
      </c>
      <c r="B1374" s="0" t="s">
        <v>1357</v>
      </c>
      <c r="E1374" s="0" t="s">
        <v>12</v>
      </c>
      <c r="F1374" s="0" t="s">
        <v>12</v>
      </c>
      <c r="G1374" s="0" t="s">
        <v>204</v>
      </c>
      <c r="I1374" s="5">
        <v>196.311500</v>
      </c>
      <c r="J1374" s="5">
        <v>1.000000</v>
      </c>
    </row>
    <row r="1375" spans="1:11">
      <c r="A1375" s="22" t="str">
        <f>HYPERLINK("https://app.vivvix.com/360/KMI/IntelliDrive/ApplUI/Pages/CreativePages/CustomReportCreativeDetail.aspx?App=23&amp;ReportView=4&amp;Qid=1696098&amp;Row=1367&amp;Col=1","No Title Assigned - #15284113846")</f>
        <v/>
      </c>
      <c r="B1375" s="0" t="s">
        <v>1358</v>
      </c>
      <c r="E1375" s="0" t="s">
        <v>12</v>
      </c>
      <c r="F1375" s="0" t="s">
        <v>12</v>
      </c>
      <c r="G1375" s="0" t="s">
        <v>204</v>
      </c>
      <c r="I1375" s="5">
        <v>423.850700</v>
      </c>
      <c r="J1375" s="5">
        <v>1.000000</v>
      </c>
    </row>
    <row r="1376" spans="1:11">
      <c r="A1376" s="22" t="str">
        <f>HYPERLINK("https://app.vivvix.com/360/KMI/IntelliDrive/ApplUI/Pages/CreativePages/CustomReportCreativeDetail.aspx?App=23&amp;ReportView=4&amp;Qid=1696098&amp;Row=1368&amp;Col=1","No Title Assigned - #15284116276")</f>
        <v/>
      </c>
      <c r="B1376" s="0" t="s">
        <v>1359</v>
      </c>
      <c r="E1376" s="0" t="s">
        <v>12</v>
      </c>
      <c r="F1376" s="0" t="s">
        <v>12</v>
      </c>
      <c r="G1376" s="0" t="s">
        <v>204</v>
      </c>
      <c r="I1376" s="5">
        <v>35.406500</v>
      </c>
      <c r="J1376" s="5">
        <v>1.000000</v>
      </c>
    </row>
    <row r="1377" spans="1:11">
      <c r="A1377" s="22" t="str">
        <f>HYPERLINK("https://app.vivvix.com/360/KMI/IntelliDrive/ApplUI/Pages/CreativePages/CustomReportCreativeDetail.aspx?App=23&amp;ReportView=4&amp;Qid=1696098&amp;Row=1369&amp;Col=1","No Title Assigned - #15284116277")</f>
        <v/>
      </c>
      <c r="B1377" s="0" t="s">
        <v>1360</v>
      </c>
      <c r="E1377" s="0" t="s">
        <v>12</v>
      </c>
      <c r="F1377" s="0" t="s">
        <v>12</v>
      </c>
      <c r="G1377" s="0" t="s">
        <v>204</v>
      </c>
      <c r="I1377" s="5">
        <v>35.406500</v>
      </c>
      <c r="J1377" s="5">
        <v>1.000000</v>
      </c>
    </row>
    <row r="1378" spans="1:11">
      <c r="A1378" s="22" t="str">
        <f>HYPERLINK("https://app.vivvix.com/360/KMI/IntelliDrive/ApplUI/Pages/CreativePages/CustomReportCreativeDetail.aspx?App=23&amp;ReportView=4&amp;Qid=1696098&amp;Row=1370&amp;Col=1","No Title Assigned - #15284116627")</f>
        <v/>
      </c>
      <c r="B1378" s="0" t="s">
        <v>1361</v>
      </c>
      <c r="E1378" s="0" t="s">
        <v>12</v>
      </c>
      <c r="F1378" s="0" t="s">
        <v>12</v>
      </c>
      <c r="G1378" s="0" t="s">
        <v>17</v>
      </c>
      <c r="I1378" s="5">
        <v>19.804000</v>
      </c>
      <c r="J1378" s="5">
        <v>5.000000</v>
      </c>
    </row>
    <row r="1379" spans="1:11">
      <c r="A1379" s="22" t="str">
        <f>HYPERLINK("https://app.vivvix.com/360/KMI/IntelliDrive/ApplUI/Pages/CreativePages/CustomReportCreativeDetail.aspx?App=23&amp;ReportView=4&amp;Qid=1696098&amp;Row=1371&amp;Col=1","No Title Assigned - #15284116952")</f>
        <v/>
      </c>
      <c r="B1379" s="0" t="s">
        <v>1362</v>
      </c>
      <c r="E1379" s="0" t="s">
        <v>12</v>
      </c>
      <c r="F1379" s="0" t="s">
        <v>12</v>
      </c>
      <c r="G1379" s="0" t="s">
        <v>204</v>
      </c>
      <c r="I1379" s="5">
        <v>35.406500</v>
      </c>
      <c r="J1379" s="5">
        <v>1.000000</v>
      </c>
    </row>
    <row r="1380" spans="1:11">
      <c r="A1380" s="22" t="str">
        <f>HYPERLINK("https://app.vivvix.com/360/KMI/IntelliDrive/ApplUI/Pages/CreativePages/CustomReportCreativeDetail.aspx?App=23&amp;ReportView=4&amp;Qid=1696098&amp;Row=1372&amp;Col=1","No Title Assigned - #15284118740")</f>
        <v/>
      </c>
      <c r="B1380" s="0" t="s">
        <v>1363</v>
      </c>
      <c r="E1380" s="0" t="s">
        <v>12</v>
      </c>
      <c r="F1380" s="0" t="s">
        <v>12</v>
      </c>
      <c r="G1380" s="0" t="s">
        <v>204</v>
      </c>
      <c r="I1380" s="5">
        <v>35.406500</v>
      </c>
      <c r="J1380" s="5">
        <v>1.000000</v>
      </c>
    </row>
    <row r="1381" spans="1:11">
      <c r="A1381" s="22" t="str">
        <f>HYPERLINK("https://app.vivvix.com/360/KMI/IntelliDrive/ApplUI/Pages/CreativePages/CustomReportCreativeDetail.aspx?App=23&amp;ReportView=4&amp;Qid=1696098&amp;Row=1373&amp;Col=1","No Title Assigned - #15284120045")</f>
        <v/>
      </c>
      <c r="B1381" s="0" t="s">
        <v>1364</v>
      </c>
      <c r="E1381" s="0" t="s">
        <v>12</v>
      </c>
      <c r="F1381" s="0" t="s">
        <v>12</v>
      </c>
      <c r="G1381" s="0" t="s">
        <v>17</v>
      </c>
      <c r="I1381" s="5">
        <v>7239.405000</v>
      </c>
      <c r="J1381" s="5">
        <v>2.000000</v>
      </c>
    </row>
    <row r="1382" spans="1:11">
      <c r="A1382" s="22" t="str">
        <f>HYPERLINK("https://app.vivvix.com/360/KMI/IntelliDrive/ApplUI/Pages/CreativePages/CustomReportCreativeDetail.aspx?App=23&amp;ReportView=4&amp;Qid=1696098&amp;Row=1374&amp;Col=1","No Title Assigned - #15284121125")</f>
        <v/>
      </c>
      <c r="B1382" s="0" t="s">
        <v>1365</v>
      </c>
      <c r="E1382" s="0" t="s">
        <v>12</v>
      </c>
      <c r="F1382" s="0" t="s">
        <v>12</v>
      </c>
      <c r="G1382" s="0" t="s">
        <v>204</v>
      </c>
      <c r="I1382" s="5">
        <v>196.311500</v>
      </c>
      <c r="J1382" s="5">
        <v>1.000000</v>
      </c>
    </row>
    <row r="1383" spans="1:11">
      <c r="A1383" s="22" t="str">
        <f>HYPERLINK("https://app.vivvix.com/360/KMI/IntelliDrive/ApplUI/Pages/CreativePages/CustomReportCreativeDetail.aspx?App=23&amp;ReportView=4&amp;Qid=1696098&amp;Row=1375&amp;Col=1","No Title Assigned - #15284155376")</f>
        <v/>
      </c>
      <c r="B1383" s="0" t="s">
        <v>1366</v>
      </c>
      <c r="E1383" s="0" t="s">
        <v>12</v>
      </c>
      <c r="F1383" s="0" t="s">
        <v>12</v>
      </c>
      <c r="G1383" s="0" t="s">
        <v>204</v>
      </c>
      <c r="I1383" s="5">
        <v>582.424300</v>
      </c>
      <c r="J1383" s="5">
        <v>1.000000</v>
      </c>
    </row>
    <row r="1384" spans="1:11">
      <c r="A1384" s="22" t="str">
        <f>HYPERLINK("https://app.vivvix.com/360/KMI/IntelliDrive/ApplUI/Pages/CreativePages/CustomReportCreativeDetail.aspx?App=23&amp;ReportView=4&amp;Qid=1696098&amp;Row=1376&amp;Col=1","No Title Assigned - #15284173708")</f>
        <v/>
      </c>
      <c r="B1384" s="0" t="s">
        <v>1367</v>
      </c>
      <c r="E1384" s="0" t="s">
        <v>12</v>
      </c>
      <c r="F1384" s="0" t="s">
        <v>12</v>
      </c>
      <c r="G1384" s="0" t="s">
        <v>204</v>
      </c>
      <c r="I1384" s="5">
        <v>196.311500</v>
      </c>
      <c r="J1384" s="5">
        <v>1.000000</v>
      </c>
    </row>
    <row r="1385" spans="1:11">
      <c r="A1385" s="22" t="str">
        <f>HYPERLINK("https://app.vivvix.com/360/KMI/IntelliDrive/ApplUI/Pages/CreativePages/CustomReportCreativeDetail.aspx?App=23&amp;ReportView=4&amp;Qid=1696098&amp;Row=1377&amp;Col=1","No Title Assigned - #15284217495")</f>
        <v/>
      </c>
      <c r="B1385" s="0" t="s">
        <v>1368</v>
      </c>
      <c r="E1385" s="0" t="s">
        <v>12</v>
      </c>
      <c r="F1385" s="0" t="s">
        <v>12</v>
      </c>
      <c r="G1385" s="0" t="s">
        <v>204</v>
      </c>
      <c r="I1385" s="5">
        <v>865.507000</v>
      </c>
      <c r="J1385" s="5">
        <v>1.000000</v>
      </c>
    </row>
    <row r="1386" spans="1:11">
      <c r="A1386" s="22" t="str">
        <f>HYPERLINK("https://app.vivvix.com/360/KMI/IntelliDrive/ApplUI/Pages/CreativePages/CustomReportCreativeDetail.aspx?App=23&amp;ReportView=4&amp;Qid=1696098&amp;Row=1378&amp;Col=1","No Title Assigned - #15284234076")</f>
        <v/>
      </c>
      <c r="B1386" s="0" t="s">
        <v>1369</v>
      </c>
      <c r="E1386" s="0" t="s">
        <v>12</v>
      </c>
      <c r="F1386" s="0" t="s">
        <v>12</v>
      </c>
      <c r="G1386" s="0" t="s">
        <v>204</v>
      </c>
      <c r="I1386" s="5">
        <v>237.727100</v>
      </c>
      <c r="J1386" s="5">
        <v>1.000000</v>
      </c>
    </row>
    <row r="1387" spans="1:11">
      <c r="A1387" s="22" t="str">
        <f>HYPERLINK("https://app.vivvix.com/360/KMI/IntelliDrive/ApplUI/Pages/CreativePages/CustomReportCreativeDetail.aspx?App=23&amp;ReportView=4&amp;Qid=1696098&amp;Row=1379&amp;Col=1","No Title Assigned - #15284239741")</f>
        <v/>
      </c>
      <c r="B1387" s="0" t="s">
        <v>1370</v>
      </c>
      <c r="E1387" s="0" t="s">
        <v>12</v>
      </c>
      <c r="F1387" s="0" t="s">
        <v>12</v>
      </c>
      <c r="G1387" s="0" t="s">
        <v>20</v>
      </c>
      <c r="I1387" s="5">
        <v>724776.854000</v>
      </c>
      <c r="J1387" s="5">
        <v>6555.000000</v>
      </c>
    </row>
    <row r="1388" spans="1:11">
      <c r="A1388" s="22" t="str">
        <f>HYPERLINK("https://app.vivvix.com/360/KMI/IntelliDrive/ApplUI/Pages/CreativePages/CustomReportCreativeDetail.aspx?App=23&amp;ReportView=4&amp;Qid=1696098&amp;Row=1380&amp;Col=1","No Title Assigned - #15284239741")</f>
        <v/>
      </c>
      <c r="B1388" s="0" t="s">
        <v>1370</v>
      </c>
      <c r="E1388" s="0" t="s">
        <v>12</v>
      </c>
      <c r="F1388" s="0" t="s">
        <v>12</v>
      </c>
      <c r="G1388" s="0" t="s">
        <v>17</v>
      </c>
      <c r="I1388" s="5">
        <v>80240.784000</v>
      </c>
      <c r="J1388" s="5">
        <v>18600.000000</v>
      </c>
    </row>
    <row r="1389" spans="1:11">
      <c r="A1389" s="22" t="str">
        <f>HYPERLINK("https://app.vivvix.com/360/KMI/IntelliDrive/ApplUI/Pages/CreativePages/CustomReportCreativeDetail.aspx?App=23&amp;ReportView=4&amp;Qid=1696098&amp;Row=1381&amp;Col=1","No Title Assigned - #15284240051")</f>
        <v/>
      </c>
      <c r="B1389" s="0" t="s">
        <v>1371</v>
      </c>
      <c r="E1389" s="0" t="s">
        <v>12</v>
      </c>
      <c r="F1389" s="0" t="s">
        <v>12</v>
      </c>
      <c r="G1389" s="0" t="s">
        <v>20</v>
      </c>
      <c r="I1389" s="5">
        <v>389866.424000</v>
      </c>
      <c r="J1389" s="5">
        <v>3514.000000</v>
      </c>
    </row>
    <row r="1390" spans="1:11">
      <c r="A1390" s="22" t="str">
        <f>HYPERLINK("https://app.vivvix.com/360/KMI/IntelliDrive/ApplUI/Pages/CreativePages/CustomReportCreativeDetail.aspx?App=23&amp;ReportView=4&amp;Qid=1696098&amp;Row=1382&amp;Col=1","No Title Assigned - #15284240051")</f>
        <v/>
      </c>
      <c r="B1390" s="0" t="s">
        <v>1371</v>
      </c>
      <c r="E1390" s="0" t="s">
        <v>12</v>
      </c>
      <c r="F1390" s="0" t="s">
        <v>12</v>
      </c>
      <c r="G1390" s="0" t="s">
        <v>17</v>
      </c>
      <c r="I1390" s="5">
        <v>24672.812000</v>
      </c>
      <c r="J1390" s="5">
        <v>5653.000000</v>
      </c>
    </row>
    <row r="1391" spans="1:11">
      <c r="A1391" s="22" t="str">
        <f>HYPERLINK("https://app.vivvix.com/360/KMI/IntelliDrive/ApplUI/Pages/CreativePages/CustomReportCreativeDetail.aspx?App=23&amp;ReportView=4&amp;Qid=1696098&amp;Row=1383&amp;Col=1","No Title Assigned - #15284250805")</f>
        <v/>
      </c>
      <c r="B1391" s="0" t="s">
        <v>1372</v>
      </c>
      <c r="E1391" s="0" t="s">
        <v>12</v>
      </c>
      <c r="F1391" s="0" t="s">
        <v>12</v>
      </c>
      <c r="G1391" s="0" t="s">
        <v>204</v>
      </c>
      <c r="I1391" s="5">
        <v>527.122200</v>
      </c>
      <c r="J1391" s="5">
        <v>2.000000</v>
      </c>
    </row>
    <row r="1392" spans="1:11">
      <c r="A1392" s="22" t="str">
        <f>HYPERLINK("https://app.vivvix.com/360/KMI/IntelliDrive/ApplUI/Pages/CreativePages/CustomReportCreativeDetail.aspx?App=23&amp;ReportView=4&amp;Qid=1696098&amp;Row=1384&amp;Col=1","No Title Assigned - #15284275696")</f>
        <v/>
      </c>
      <c r="B1392" s="0" t="s">
        <v>1373</v>
      </c>
      <c r="E1392" s="0" t="s">
        <v>12</v>
      </c>
      <c r="F1392" s="0" t="s">
        <v>12</v>
      </c>
      <c r="G1392" s="0" t="s">
        <v>204</v>
      </c>
      <c r="I1392" s="5">
        <v>28057.629400</v>
      </c>
      <c r="J1392" s="5">
        <v>4.000000</v>
      </c>
    </row>
    <row r="1393" spans="1:11">
      <c r="A1393" s="22" t="str">
        <f>HYPERLINK("https://app.vivvix.com/360/KMI/IntelliDrive/ApplUI/Pages/CreativePages/CustomReportCreativeDetail.aspx?App=23&amp;ReportView=4&amp;Qid=1696098&amp;Row=1385&amp;Col=1","No Title Assigned - #15284325378")</f>
        <v/>
      </c>
      <c r="B1393" s="0" t="s">
        <v>1374</v>
      </c>
      <c r="C1393" s="0" t="s">
        <v>1375</v>
      </c>
      <c r="D1393" s="0" t="s">
        <v>1375</v>
      </c>
      <c r="E1393" s="0" t="s">
        <v>12</v>
      </c>
      <c r="F1393" s="0" t="s">
        <v>12</v>
      </c>
      <c r="G1393" s="0" t="s">
        <v>204</v>
      </c>
      <c r="I1393" s="5">
        <v>865.507000</v>
      </c>
      <c r="J1393" s="5">
        <v>1.000000</v>
      </c>
    </row>
    <row r="1394" spans="1:11">
      <c r="A1394" s="22" t="str">
        <f>HYPERLINK("https://app.vivvix.com/360/KMI/IntelliDrive/ApplUI/Pages/CreativePages/CustomReportCreativeDetail.aspx?App=23&amp;ReportView=4&amp;Qid=1696098&amp;Row=1386&amp;Col=1","No Title Assigned - #15284357976")</f>
        <v/>
      </c>
      <c r="B1394" s="0" t="s">
        <v>1376</v>
      </c>
      <c r="C1394" s="0" t="s">
        <v>1377</v>
      </c>
      <c r="D1394" s="0" t="s">
        <v>1377</v>
      </c>
      <c r="E1394" s="0" t="s">
        <v>12</v>
      </c>
      <c r="F1394" s="0" t="s">
        <v>12</v>
      </c>
      <c r="G1394" s="0" t="s">
        <v>204</v>
      </c>
      <c r="I1394" s="5">
        <v>112001.743800</v>
      </c>
      <c r="J1394" s="5">
        <v>15.000000</v>
      </c>
    </row>
    <row r="1395" spans="1:11">
      <c r="A1395" s="22" t="str">
        <f>HYPERLINK("https://app.vivvix.com/360/KMI/IntelliDrive/ApplUI/Pages/CreativePages/CustomReportCreativeDetail.aspx?App=23&amp;ReportView=4&amp;Qid=1696098&amp;Row=1387&amp;Col=1","No Title Assigned - #15284362002")</f>
        <v/>
      </c>
      <c r="B1395" s="0" t="s">
        <v>1378</v>
      </c>
      <c r="C1395" s="0" t="s">
        <v>1379</v>
      </c>
      <c r="D1395" s="0" t="s">
        <v>1379</v>
      </c>
      <c r="E1395" s="0" t="s">
        <v>12</v>
      </c>
      <c r="F1395" s="0" t="s">
        <v>12</v>
      </c>
      <c r="G1395" s="0" t="s">
        <v>204</v>
      </c>
      <c r="I1395" s="5">
        <v>12240.413100</v>
      </c>
      <c r="J1395" s="5">
        <v>1.000000</v>
      </c>
    </row>
    <row r="1396" spans="1:11">
      <c r="A1396" s="22" t="str">
        <f>HYPERLINK("https://app.vivvix.com/360/KMI/IntelliDrive/ApplUI/Pages/CreativePages/CustomReportCreativeDetail.aspx?App=23&amp;ReportView=4&amp;Qid=1696098&amp;Row=1388&amp;Col=1","No Title Assigned - #15284363195")</f>
        <v/>
      </c>
      <c r="B1396" s="0" t="s">
        <v>1380</v>
      </c>
      <c r="C1396" s="0" t="s">
        <v>1381</v>
      </c>
      <c r="D1396" s="0" t="s">
        <v>1381</v>
      </c>
      <c r="E1396" s="0" t="s">
        <v>12</v>
      </c>
      <c r="F1396" s="0" t="s">
        <v>12</v>
      </c>
      <c r="G1396" s="0" t="s">
        <v>204</v>
      </c>
      <c r="I1396" s="5">
        <v>2457.334700</v>
      </c>
      <c r="J1396" s="5">
        <v>1.000000</v>
      </c>
    </row>
    <row r="1397" spans="1:11">
      <c r="A1397" s="22" t="str">
        <f>HYPERLINK("https://app.vivvix.com/360/KMI/IntelliDrive/ApplUI/Pages/CreativePages/CustomReportCreativeDetail.aspx?App=23&amp;ReportView=4&amp;Qid=1696098&amp;Row=1389&amp;Col=1","No Title Assigned - #15284364814")</f>
        <v/>
      </c>
      <c r="B1397" s="0" t="s">
        <v>1382</v>
      </c>
      <c r="C1397" s="0" t="s">
        <v>1383</v>
      </c>
      <c r="D1397" s="0" t="s">
        <v>1383</v>
      </c>
      <c r="E1397" s="0" t="s">
        <v>12</v>
      </c>
      <c r="F1397" s="0" t="s">
        <v>12</v>
      </c>
      <c r="G1397" s="0" t="s">
        <v>204</v>
      </c>
      <c r="I1397" s="5">
        <v>92.248300</v>
      </c>
      <c r="J1397" s="5">
        <v>1.000000</v>
      </c>
    </row>
    <row r="1398" spans="1:11">
      <c r="A1398" s="22" t="str">
        <f>HYPERLINK("https://app.vivvix.com/360/KMI/IntelliDrive/ApplUI/Pages/CreativePages/CustomReportCreativeDetail.aspx?App=23&amp;ReportView=4&amp;Qid=1696098&amp;Row=1390&amp;Col=1","No Title Assigned - #15284376399")</f>
        <v/>
      </c>
      <c r="B1398" s="0" t="s">
        <v>1384</v>
      </c>
      <c r="C1398" s="0" t="s">
        <v>1385</v>
      </c>
      <c r="D1398" s="0" t="s">
        <v>1385</v>
      </c>
      <c r="E1398" s="0" t="s">
        <v>12</v>
      </c>
      <c r="F1398" s="0" t="s">
        <v>12</v>
      </c>
      <c r="G1398" s="0" t="s">
        <v>204</v>
      </c>
      <c r="I1398" s="5">
        <v>196.311500</v>
      </c>
      <c r="J1398" s="5">
        <v>1.000000</v>
      </c>
    </row>
    <row r="1399" spans="1:11">
      <c r="A1399" s="22" t="str">
        <f>HYPERLINK("https://app.vivvix.com/360/KMI/IntelliDrive/ApplUI/Pages/CreativePages/CustomReportCreativeDetail.aspx?App=23&amp;ReportView=4&amp;Qid=1696098&amp;Row=1391&amp;Col=1","No Title Assigned - #15284377386")</f>
        <v/>
      </c>
      <c r="B1399" s="0" t="s">
        <v>1386</v>
      </c>
      <c r="C1399" s="0" t="s">
        <v>1387</v>
      </c>
      <c r="D1399" s="0" t="s">
        <v>1387</v>
      </c>
      <c r="E1399" s="0" t="s">
        <v>12</v>
      </c>
      <c r="F1399" s="0" t="s">
        <v>12</v>
      </c>
      <c r="G1399" s="0" t="s">
        <v>204</v>
      </c>
      <c r="I1399" s="5">
        <v>475.067600</v>
      </c>
      <c r="J1399" s="5">
        <v>1.000000</v>
      </c>
    </row>
    <row r="1400" spans="1:11">
      <c r="A1400" s="22" t="str">
        <f>HYPERLINK("https://app.vivvix.com/360/KMI/IntelliDrive/ApplUI/Pages/CreativePages/CustomReportCreativeDetail.aspx?App=23&amp;ReportView=4&amp;Qid=1696098&amp;Row=1392&amp;Col=1","No Title Assigned - #15284406527")</f>
        <v/>
      </c>
      <c r="B1400" s="0" t="s">
        <v>1388</v>
      </c>
      <c r="C1400" s="0" t="s">
        <v>1389</v>
      </c>
      <c r="D1400" s="0" t="s">
        <v>1389</v>
      </c>
      <c r="E1400" s="0" t="s">
        <v>12</v>
      </c>
      <c r="F1400" s="0" t="s">
        <v>12</v>
      </c>
      <c r="G1400" s="0" t="s">
        <v>204</v>
      </c>
      <c r="I1400" s="5">
        <v>1757.978100</v>
      </c>
      <c r="J1400" s="5">
        <v>1.000000</v>
      </c>
    </row>
    <row r="1401" spans="1:11">
      <c r="A1401" s="22" t="str">
        <f>HYPERLINK("https://app.vivvix.com/360/KMI/IntelliDrive/ApplUI/Pages/CreativePages/CustomReportCreativeDetail.aspx?App=23&amp;ReportView=4&amp;Qid=1696098&amp;Row=1393&amp;Col=1","No Title Assigned - #15284409213")</f>
        <v/>
      </c>
      <c r="B1401" s="0" t="s">
        <v>1390</v>
      </c>
      <c r="C1401" s="0" t="s">
        <v>1391</v>
      </c>
      <c r="D1401" s="0" t="s">
        <v>1391</v>
      </c>
      <c r="E1401" s="0" t="s">
        <v>12</v>
      </c>
      <c r="F1401" s="0" t="s">
        <v>12</v>
      </c>
      <c r="G1401" s="0" t="s">
        <v>204</v>
      </c>
      <c r="I1401" s="5">
        <v>865.507000</v>
      </c>
      <c r="J1401" s="5">
        <v>1.000000</v>
      </c>
    </row>
    <row r="1402" spans="1:11">
      <c r="A1402" s="22" t="str">
        <f>HYPERLINK("https://app.vivvix.com/360/KMI/IntelliDrive/ApplUI/Pages/CreativePages/CustomReportCreativeDetail.aspx?App=23&amp;ReportView=4&amp;Qid=1696098&amp;Row=1394&amp;Col=1","No Title Assigned - #15284425398")</f>
        <v/>
      </c>
      <c r="B1402" s="0" t="s">
        <v>1392</v>
      </c>
      <c r="C1402" s="0" t="s">
        <v>1393</v>
      </c>
      <c r="D1402" s="0" t="s">
        <v>1393</v>
      </c>
      <c r="E1402" s="0" t="s">
        <v>12</v>
      </c>
      <c r="F1402" s="0" t="s">
        <v>12</v>
      </c>
      <c r="G1402" s="0" t="s">
        <v>204</v>
      </c>
      <c r="I1402" s="5">
        <v>196.311500</v>
      </c>
      <c r="J1402" s="5">
        <v>1.000000</v>
      </c>
    </row>
    <row r="1403" spans="1:11">
      <c r="A1403" s="22" t="str">
        <f>HYPERLINK("https://app.vivvix.com/360/KMI/IntelliDrive/ApplUI/Pages/CreativePages/CustomReportCreativeDetail.aspx?App=23&amp;ReportView=4&amp;Qid=1696098&amp;Row=1395&amp;Col=1","No Title Assigned - #15284459869")</f>
        <v/>
      </c>
      <c r="B1403" s="0" t="s">
        <v>1394</v>
      </c>
      <c r="C1403" s="0" t="s">
        <v>1395</v>
      </c>
      <c r="D1403" s="0" t="s">
        <v>1395</v>
      </c>
      <c r="E1403" s="0" t="s">
        <v>12</v>
      </c>
      <c r="F1403" s="0" t="s">
        <v>12</v>
      </c>
      <c r="G1403" s="0" t="s">
        <v>204</v>
      </c>
      <c r="I1403" s="5">
        <v>196.311500</v>
      </c>
      <c r="J1403" s="5">
        <v>1.000000</v>
      </c>
    </row>
    <row r="1404" spans="1:11">
      <c r="A1404" s="22" t="str">
        <f>HYPERLINK("https://app.vivvix.com/360/KMI/IntelliDrive/ApplUI/Pages/CreativePages/CustomReportCreativeDetail.aspx?App=23&amp;ReportView=4&amp;Qid=1696098&amp;Row=1396&amp;Col=1","No Title Assigned - #15284471808")</f>
        <v/>
      </c>
      <c r="B1404" s="0" t="s">
        <v>1396</v>
      </c>
      <c r="C1404" s="0" t="s">
        <v>1397</v>
      </c>
      <c r="D1404" s="0" t="s">
        <v>1397</v>
      </c>
      <c r="E1404" s="0" t="s">
        <v>12</v>
      </c>
      <c r="F1404" s="0" t="s">
        <v>12</v>
      </c>
      <c r="G1404" s="0" t="s">
        <v>204</v>
      </c>
      <c r="I1404" s="5">
        <v>499.463300</v>
      </c>
      <c r="J1404" s="5">
        <v>1.000000</v>
      </c>
    </row>
    <row r="1405" spans="1:11">
      <c r="A1405" s="22" t="str">
        <f>HYPERLINK("https://app.vivvix.com/360/KMI/IntelliDrive/ApplUI/Pages/CreativePages/CustomReportCreativeDetail.aspx?App=23&amp;ReportView=4&amp;Qid=1696098&amp;Row=1397&amp;Col=1","No Title Assigned - #15284473510")</f>
        <v/>
      </c>
      <c r="B1405" s="0" t="s">
        <v>1398</v>
      </c>
      <c r="C1405" s="0" t="s">
        <v>1399</v>
      </c>
      <c r="D1405" s="0" t="s">
        <v>1399</v>
      </c>
      <c r="E1405" s="0" t="s">
        <v>12</v>
      </c>
      <c r="F1405" s="0" t="s">
        <v>12</v>
      </c>
      <c r="G1405" s="0" t="s">
        <v>204</v>
      </c>
      <c r="I1405" s="5">
        <v>3983.065900</v>
      </c>
      <c r="J1405" s="5">
        <v>1.000000</v>
      </c>
    </row>
    <row r="1406" spans="1:11">
      <c r="A1406" s="22" t="str">
        <f>HYPERLINK("https://app.vivvix.com/360/KMI/IntelliDrive/ApplUI/Pages/CreativePages/CustomReportCreativeDetail.aspx?App=23&amp;ReportView=4&amp;Qid=1696098&amp;Row=1398&amp;Col=1","No Title Assigned - #15284473974")</f>
        <v/>
      </c>
      <c r="B1406" s="0" t="s">
        <v>1400</v>
      </c>
      <c r="C1406" s="0" t="s">
        <v>1401</v>
      </c>
      <c r="D1406" s="0" t="s">
        <v>1401</v>
      </c>
      <c r="E1406" s="0" t="s">
        <v>12</v>
      </c>
      <c r="F1406" s="0" t="s">
        <v>12</v>
      </c>
      <c r="G1406" s="0" t="s">
        <v>204</v>
      </c>
      <c r="I1406" s="5">
        <v>263.857400</v>
      </c>
      <c r="J1406" s="5">
        <v>1.000000</v>
      </c>
    </row>
    <row r="1407" spans="1:11">
      <c r="A1407" s="22" t="str">
        <f>HYPERLINK("https://app.vivvix.com/360/KMI/IntelliDrive/ApplUI/Pages/CreativePages/CustomReportCreativeDetail.aspx?App=23&amp;ReportView=4&amp;Qid=1696098&amp;Row=1399&amp;Col=1","No Title Assigned - #15284474978")</f>
        <v/>
      </c>
      <c r="B1407" s="0" t="s">
        <v>1402</v>
      </c>
      <c r="C1407" s="0" t="s">
        <v>1403</v>
      </c>
      <c r="D1407" s="0" t="s">
        <v>1403</v>
      </c>
      <c r="E1407" s="0" t="s">
        <v>12</v>
      </c>
      <c r="F1407" s="0" t="s">
        <v>12</v>
      </c>
      <c r="G1407" s="0" t="s">
        <v>204</v>
      </c>
      <c r="I1407" s="5">
        <v>263.857400</v>
      </c>
      <c r="J1407" s="5">
        <v>1.000000</v>
      </c>
    </row>
    <row r="1408" spans="1:11">
      <c r="A1408" s="22" t="str">
        <f>HYPERLINK("https://app.vivvix.com/360/KMI/IntelliDrive/ApplUI/Pages/CreativePages/CustomReportCreativeDetail.aspx?App=23&amp;ReportView=4&amp;Qid=1696098&amp;Row=1400&amp;Col=1","No Title Assigned - #15284553450")</f>
        <v/>
      </c>
      <c r="B1408" s="0" t="s">
        <v>1404</v>
      </c>
      <c r="C1408" s="0" t="s">
        <v>1405</v>
      </c>
      <c r="D1408" s="0" t="s">
        <v>1405</v>
      </c>
      <c r="E1408" s="0" t="s">
        <v>12</v>
      </c>
      <c r="F1408" s="0" t="s">
        <v>12</v>
      </c>
      <c r="G1408" s="0" t="s">
        <v>204</v>
      </c>
      <c r="I1408" s="5">
        <v>543.594400</v>
      </c>
      <c r="J1408" s="5">
        <v>1.000000</v>
      </c>
    </row>
    <row r="1409" spans="1:11">
      <c r="A1409" s="22" t="str">
        <f>HYPERLINK("https://app.vivvix.com/360/KMI/IntelliDrive/ApplUI/Pages/CreativePages/CustomReportCreativeDetail.aspx?App=23&amp;ReportView=4&amp;Qid=1696098&amp;Row=1401&amp;Col=1","No Title Assigned - #15284614899")</f>
        <v/>
      </c>
      <c r="B1409" s="0" t="s">
        <v>1406</v>
      </c>
      <c r="C1409" s="0" t="s">
        <v>1407</v>
      </c>
      <c r="D1409" s="0" t="s">
        <v>1407</v>
      </c>
      <c r="E1409" s="0" t="s">
        <v>12</v>
      </c>
      <c r="F1409" s="0" t="s">
        <v>12</v>
      </c>
      <c r="G1409" s="0" t="s">
        <v>204</v>
      </c>
      <c r="I1409" s="5">
        <v>35.406500</v>
      </c>
      <c r="J1409" s="5">
        <v>1.000000</v>
      </c>
    </row>
    <row r="1410" spans="1:11">
      <c r="A1410" s="22" t="str">
        <f>HYPERLINK("https://app.vivvix.com/360/KMI/IntelliDrive/ApplUI/Pages/CreativePages/CustomReportCreativeDetail.aspx?App=23&amp;ReportView=4&amp;Qid=1696098&amp;Row=1402&amp;Col=1","No Title Assigned - #15284614917")</f>
        <v/>
      </c>
      <c r="B1410" s="0" t="s">
        <v>1408</v>
      </c>
      <c r="C1410" s="0" t="s">
        <v>1409</v>
      </c>
      <c r="D1410" s="0" t="s">
        <v>1409</v>
      </c>
      <c r="E1410" s="0" t="s">
        <v>12</v>
      </c>
      <c r="F1410" s="0" t="s">
        <v>12</v>
      </c>
      <c r="G1410" s="0" t="s">
        <v>204</v>
      </c>
      <c r="I1410" s="5">
        <v>141.626000</v>
      </c>
      <c r="J1410" s="5">
        <v>4.000000</v>
      </c>
    </row>
    <row r="1411" spans="1:11">
      <c r="A1411" s="22" t="str">
        <f>HYPERLINK("https://app.vivvix.com/360/KMI/IntelliDrive/ApplUI/Pages/CreativePages/CustomReportCreativeDetail.aspx?App=23&amp;ReportView=4&amp;Qid=1696098&amp;Row=1403&amp;Col=1","No Title Assigned - #15284614918")</f>
        <v/>
      </c>
      <c r="B1411" s="0" t="s">
        <v>1410</v>
      </c>
      <c r="C1411" s="0" t="s">
        <v>1411</v>
      </c>
      <c r="D1411" s="0" t="s">
        <v>1411</v>
      </c>
      <c r="E1411" s="0" t="s">
        <v>12</v>
      </c>
      <c r="F1411" s="0" t="s">
        <v>12</v>
      </c>
      <c r="G1411" s="0" t="s">
        <v>204</v>
      </c>
      <c r="I1411" s="5">
        <v>35.406500</v>
      </c>
      <c r="J1411" s="5">
        <v>1.000000</v>
      </c>
    </row>
    <row r="1412" spans="1:11">
      <c r="A1412" s="22" t="str">
        <f>HYPERLINK("https://app.vivvix.com/360/KMI/IntelliDrive/ApplUI/Pages/CreativePages/CustomReportCreativeDetail.aspx?App=23&amp;ReportView=4&amp;Qid=1696098&amp;Row=1404&amp;Col=1","No Title Assigned - #15284670222")</f>
        <v/>
      </c>
      <c r="B1412" s="0" t="s">
        <v>1412</v>
      </c>
      <c r="C1412" s="0" t="s">
        <v>1413</v>
      </c>
      <c r="D1412" s="0" t="s">
        <v>1413</v>
      </c>
      <c r="E1412" s="0" t="s">
        <v>12</v>
      </c>
      <c r="F1412" s="0" t="s">
        <v>12</v>
      </c>
      <c r="G1412" s="0" t="s">
        <v>204</v>
      </c>
      <c r="I1412" s="5">
        <v>573.830000</v>
      </c>
      <c r="J1412" s="5">
        <v>1.000000</v>
      </c>
    </row>
    <row r="1413" spans="1:11">
      <c r="A1413" s="22" t="str">
        <f>HYPERLINK("https://app.vivvix.com/360/KMI/IntelliDrive/ApplUI/Pages/CreativePages/CustomReportCreativeDetail.aspx?App=23&amp;ReportView=4&amp;Qid=1696098&amp;Row=1405&amp;Col=1","No Title Assigned - #15284673665")</f>
        <v/>
      </c>
      <c r="B1413" s="0" t="s">
        <v>1414</v>
      </c>
      <c r="C1413" s="0" t="s">
        <v>1415</v>
      </c>
      <c r="D1413" s="0" t="s">
        <v>1415</v>
      </c>
      <c r="E1413" s="0" t="s">
        <v>12</v>
      </c>
      <c r="F1413" s="0" t="s">
        <v>12</v>
      </c>
      <c r="G1413" s="0" t="s">
        <v>204</v>
      </c>
      <c r="I1413" s="5">
        <v>196.311500</v>
      </c>
      <c r="J1413" s="5">
        <v>1.000000</v>
      </c>
    </row>
    <row r="1414" spans="1:11">
      <c r="A1414" s="22" t="str">
        <f>HYPERLINK("https://app.vivvix.com/360/KMI/IntelliDrive/ApplUI/Pages/CreativePages/CustomReportCreativeDetail.aspx?App=23&amp;ReportView=4&amp;Qid=1696098&amp;Row=1406&amp;Col=1","No Title Assigned - #15284711992")</f>
        <v/>
      </c>
      <c r="B1414" s="0" t="s">
        <v>1416</v>
      </c>
      <c r="C1414" s="0" t="s">
        <v>1417</v>
      </c>
      <c r="D1414" s="0" t="s">
        <v>1417</v>
      </c>
      <c r="E1414" s="0" t="s">
        <v>12</v>
      </c>
      <c r="F1414" s="0" t="s">
        <v>12</v>
      </c>
      <c r="G1414" s="0" t="s">
        <v>204</v>
      </c>
      <c r="I1414" s="5">
        <v>263.857400</v>
      </c>
      <c r="J1414" s="5">
        <v>1.000000</v>
      </c>
    </row>
    <row r="1415" spans="1:11">
      <c r="A1415" s="22" t="str">
        <f>HYPERLINK("https://app.vivvix.com/360/KMI/IntelliDrive/ApplUI/Pages/CreativePages/CustomReportCreativeDetail.aspx?App=23&amp;ReportView=4&amp;Qid=1696098&amp;Row=1407&amp;Col=1","No Title Assigned - #15284712055")</f>
        <v/>
      </c>
      <c r="B1415" s="0" t="s">
        <v>1418</v>
      </c>
      <c r="C1415" s="0" t="s">
        <v>1419</v>
      </c>
      <c r="D1415" s="0" t="s">
        <v>1419</v>
      </c>
      <c r="E1415" s="0" t="s">
        <v>12</v>
      </c>
      <c r="F1415" s="0" t="s">
        <v>12</v>
      </c>
      <c r="G1415" s="0" t="s">
        <v>204</v>
      </c>
      <c r="I1415" s="5">
        <v>263.857400</v>
      </c>
      <c r="J1415" s="5">
        <v>1.000000</v>
      </c>
    </row>
    <row r="1416" spans="1:11">
      <c r="A1416" s="22" t="str">
        <f>HYPERLINK("https://app.vivvix.com/360/KMI/IntelliDrive/ApplUI/Pages/CreativePages/CustomReportCreativeDetail.aspx?App=23&amp;ReportView=4&amp;Qid=1696098&amp;Row=1408&amp;Col=1","No Title Assigned - #15284725864")</f>
        <v/>
      </c>
      <c r="B1416" s="0" t="s">
        <v>1420</v>
      </c>
      <c r="C1416" s="0" t="s">
        <v>1421</v>
      </c>
      <c r="D1416" s="0" t="s">
        <v>1421</v>
      </c>
      <c r="E1416" s="0" t="s">
        <v>12</v>
      </c>
      <c r="F1416" s="0" t="s">
        <v>12</v>
      </c>
      <c r="G1416" s="0" t="s">
        <v>204</v>
      </c>
      <c r="I1416" s="5">
        <v>429.040700</v>
      </c>
      <c r="J1416" s="5">
        <v>1.000000</v>
      </c>
    </row>
    <row r="1417" spans="1:11">
      <c r="A1417" s="22" t="str">
        <f>HYPERLINK("https://app.vivvix.com/360/KMI/IntelliDrive/ApplUI/Pages/CreativePages/CustomReportCreativeDetail.aspx?App=23&amp;ReportView=4&amp;Qid=1696098&amp;Row=1409&amp;Col=1","No Title Assigned - #15284764822")</f>
        <v/>
      </c>
      <c r="B1417" s="0" t="s">
        <v>1422</v>
      </c>
      <c r="C1417" s="0" t="s">
        <v>1423</v>
      </c>
      <c r="D1417" s="0" t="s">
        <v>1423</v>
      </c>
      <c r="E1417" s="0" t="s">
        <v>12</v>
      </c>
      <c r="F1417" s="0" t="s">
        <v>12</v>
      </c>
      <c r="G1417" s="0" t="s">
        <v>204</v>
      </c>
      <c r="I1417" s="5">
        <v>255.518800</v>
      </c>
      <c r="J1417" s="5">
        <v>1.000000</v>
      </c>
    </row>
    <row r="1418" spans="1:11">
      <c r="A1418" s="22" t="str">
        <f>HYPERLINK("https://app.vivvix.com/360/KMI/IntelliDrive/ApplUI/Pages/CreativePages/CustomReportCreativeDetail.aspx?App=23&amp;ReportView=4&amp;Qid=1696098&amp;Row=1410&amp;Col=1","No Title Assigned - #15284764823")</f>
        <v/>
      </c>
      <c r="B1418" s="0" t="s">
        <v>1424</v>
      </c>
      <c r="C1418" s="0" t="s">
        <v>1425</v>
      </c>
      <c r="D1418" s="0" t="s">
        <v>1425</v>
      </c>
      <c r="E1418" s="0" t="s">
        <v>12</v>
      </c>
      <c r="F1418" s="0" t="s">
        <v>12</v>
      </c>
      <c r="G1418" s="0" t="s">
        <v>204</v>
      </c>
      <c r="I1418" s="5">
        <v>511.037600</v>
      </c>
      <c r="J1418" s="5">
        <v>2.000000</v>
      </c>
    </row>
    <row r="1419" spans="1:11">
      <c r="A1419" s="22" t="str">
        <f>HYPERLINK("https://app.vivvix.com/360/KMI/IntelliDrive/ApplUI/Pages/CreativePages/CustomReportCreativeDetail.aspx?App=23&amp;ReportView=4&amp;Qid=1696098&amp;Row=1411&amp;Col=1","No Title Assigned - #15284766362")</f>
        <v/>
      </c>
      <c r="B1419" s="0" t="s">
        <v>1426</v>
      </c>
      <c r="C1419" s="0" t="s">
        <v>1427</v>
      </c>
      <c r="D1419" s="0" t="s">
        <v>1427</v>
      </c>
      <c r="E1419" s="0" t="s">
        <v>12</v>
      </c>
      <c r="F1419" s="0" t="s">
        <v>12</v>
      </c>
      <c r="G1419" s="0" t="s">
        <v>204</v>
      </c>
      <c r="I1419" s="5">
        <v>152.926400</v>
      </c>
      <c r="J1419" s="5">
        <v>4.000000</v>
      </c>
    </row>
    <row r="1420" spans="1:11">
      <c r="A1420" s="22" t="str">
        <f>HYPERLINK("https://app.vivvix.com/360/KMI/IntelliDrive/ApplUI/Pages/CreativePages/CustomReportCreativeDetail.aspx?App=23&amp;ReportView=4&amp;Qid=1696098&amp;Row=1412&amp;Col=1","No Title Assigned - #15284766363")</f>
        <v/>
      </c>
      <c r="B1420" s="0" t="s">
        <v>1428</v>
      </c>
      <c r="C1420" s="0" t="s">
        <v>1429</v>
      </c>
      <c r="D1420" s="0" t="s">
        <v>1429</v>
      </c>
      <c r="E1420" s="0" t="s">
        <v>12</v>
      </c>
      <c r="F1420" s="0" t="s">
        <v>12</v>
      </c>
      <c r="G1420" s="0" t="s">
        <v>204</v>
      </c>
      <c r="I1420" s="5">
        <v>76.463200</v>
      </c>
      <c r="J1420" s="5">
        <v>2.000000</v>
      </c>
    </row>
    <row r="1421" spans="1:11">
      <c r="A1421" s="22" t="str">
        <f>HYPERLINK("https://app.vivvix.com/360/KMI/IntelliDrive/ApplUI/Pages/CreativePages/CustomReportCreativeDetail.aspx?App=23&amp;ReportView=4&amp;Qid=1696098&amp;Row=1413&amp;Col=1","No Title Assigned - #15284766823")</f>
        <v/>
      </c>
      <c r="B1421" s="0" t="s">
        <v>1430</v>
      </c>
      <c r="C1421" s="0" t="s">
        <v>1431</v>
      </c>
      <c r="D1421" s="0" t="s">
        <v>1431</v>
      </c>
      <c r="E1421" s="0" t="s">
        <v>12</v>
      </c>
      <c r="F1421" s="0" t="s">
        <v>12</v>
      </c>
      <c r="G1421" s="0" t="s">
        <v>204</v>
      </c>
      <c r="I1421" s="5">
        <v>204.804800</v>
      </c>
      <c r="J1421" s="5">
        <v>2.000000</v>
      </c>
    </row>
    <row r="1422" spans="1:11">
      <c r="A1422" s="22" t="str">
        <f>HYPERLINK("https://app.vivvix.com/360/KMI/IntelliDrive/ApplUI/Pages/CreativePages/CustomReportCreativeDetail.aspx?App=23&amp;ReportView=4&amp;Qid=1696098&amp;Row=1414&amp;Col=1","No Title Assigned - #15284766853")</f>
        <v/>
      </c>
      <c r="B1422" s="0" t="s">
        <v>1432</v>
      </c>
      <c r="C1422" s="0" t="s">
        <v>1433</v>
      </c>
      <c r="D1422" s="0" t="s">
        <v>1433</v>
      </c>
      <c r="E1422" s="0" t="s">
        <v>12</v>
      </c>
      <c r="F1422" s="0" t="s">
        <v>12</v>
      </c>
      <c r="G1422" s="0" t="s">
        <v>204</v>
      </c>
      <c r="I1422" s="5">
        <v>102.402400</v>
      </c>
      <c r="J1422" s="5">
        <v>1.000000</v>
      </c>
    </row>
    <row r="1423" spans="1:11">
      <c r="A1423" s="22" t="str">
        <f>HYPERLINK("https://app.vivvix.com/360/KMI/IntelliDrive/ApplUI/Pages/CreativePages/CustomReportCreativeDetail.aspx?App=23&amp;ReportView=4&amp;Qid=1696098&amp;Row=1415&amp;Col=1","No Title Assigned - #15284766854")</f>
        <v/>
      </c>
      <c r="B1423" s="0" t="s">
        <v>1434</v>
      </c>
      <c r="C1423" s="0" t="s">
        <v>1435</v>
      </c>
      <c r="D1423" s="0" t="s">
        <v>1435</v>
      </c>
      <c r="E1423" s="0" t="s">
        <v>12</v>
      </c>
      <c r="F1423" s="0" t="s">
        <v>12</v>
      </c>
      <c r="G1423" s="0" t="s">
        <v>204</v>
      </c>
      <c r="I1423" s="5">
        <v>102.402400</v>
      </c>
      <c r="J1423" s="5">
        <v>1.000000</v>
      </c>
    </row>
    <row r="1424" spans="1:11">
      <c r="A1424" s="22" t="str">
        <f>HYPERLINK("https://app.vivvix.com/360/KMI/IntelliDrive/ApplUI/Pages/CreativePages/CustomReportCreativeDetail.aspx?App=23&amp;ReportView=4&amp;Qid=1696098&amp;Row=1416&amp;Col=1","No Title Assigned - #15284766873")</f>
        <v/>
      </c>
      <c r="B1424" s="0" t="s">
        <v>1436</v>
      </c>
      <c r="C1424" s="0" t="s">
        <v>1437</v>
      </c>
      <c r="D1424" s="0" t="s">
        <v>1437</v>
      </c>
      <c r="E1424" s="0" t="s">
        <v>12</v>
      </c>
      <c r="F1424" s="0" t="s">
        <v>12</v>
      </c>
      <c r="G1424" s="0" t="s">
        <v>204</v>
      </c>
      <c r="I1424" s="5">
        <v>102.402400</v>
      </c>
      <c r="J1424" s="5">
        <v>1.000000</v>
      </c>
    </row>
    <row r="1425" spans="1:11">
      <c r="A1425" s="22" t="str">
        <f>HYPERLINK("https://app.vivvix.com/360/KMI/IntelliDrive/ApplUI/Pages/CreativePages/CustomReportCreativeDetail.aspx?App=23&amp;ReportView=4&amp;Qid=1696098&amp;Row=1417&amp;Col=1","No Title Assigned - #15284768454")</f>
        <v/>
      </c>
      <c r="B1425" s="0" t="s">
        <v>1438</v>
      </c>
      <c r="C1425" s="0" t="s">
        <v>1439</v>
      </c>
      <c r="D1425" s="0" t="s">
        <v>1439</v>
      </c>
      <c r="E1425" s="0" t="s">
        <v>12</v>
      </c>
      <c r="F1425" s="0" t="s">
        <v>12</v>
      </c>
      <c r="G1425" s="0" t="s">
        <v>204</v>
      </c>
      <c r="I1425" s="5">
        <v>102.402400</v>
      </c>
      <c r="J1425" s="5">
        <v>1.000000</v>
      </c>
    </row>
    <row r="1426" spans="1:11">
      <c r="A1426" s="22" t="str">
        <f>HYPERLINK("https://app.vivvix.com/360/KMI/IntelliDrive/ApplUI/Pages/CreativePages/CustomReportCreativeDetail.aspx?App=23&amp;ReportView=4&amp;Qid=1696098&amp;Row=1418&amp;Col=1","No Title Assigned - #15284768492")</f>
        <v/>
      </c>
      <c r="B1426" s="0" t="s">
        <v>1440</v>
      </c>
      <c r="C1426" s="0" t="s">
        <v>1441</v>
      </c>
      <c r="D1426" s="0" t="s">
        <v>1441</v>
      </c>
      <c r="E1426" s="0" t="s">
        <v>12</v>
      </c>
      <c r="F1426" s="0" t="s">
        <v>12</v>
      </c>
      <c r="G1426" s="0" t="s">
        <v>204</v>
      </c>
      <c r="I1426" s="5">
        <v>102.402400</v>
      </c>
      <c r="J1426" s="5">
        <v>1.000000</v>
      </c>
    </row>
    <row r="1427" spans="1:11">
      <c r="A1427" s="22" t="str">
        <f>HYPERLINK("https://app.vivvix.com/360/KMI/IntelliDrive/ApplUI/Pages/CreativePages/CustomReportCreativeDetail.aspx?App=23&amp;ReportView=4&amp;Qid=1696098&amp;Row=1419&amp;Col=1","No Title Assigned - #15284787679")</f>
        <v/>
      </c>
      <c r="B1427" s="0" t="s">
        <v>1442</v>
      </c>
      <c r="C1427" s="0" t="s">
        <v>1443</v>
      </c>
      <c r="D1427" s="0" t="s">
        <v>1443</v>
      </c>
      <c r="E1427" s="0" t="s">
        <v>12</v>
      </c>
      <c r="F1427" s="0" t="s">
        <v>12</v>
      </c>
      <c r="G1427" s="0" t="s">
        <v>204</v>
      </c>
      <c r="I1427" s="5">
        <v>2868.981000</v>
      </c>
      <c r="J1427" s="5">
        <v>1.000000</v>
      </c>
    </row>
    <row r="1428" spans="1:11">
      <c r="A1428" s="22" t="str">
        <f>HYPERLINK("https://app.vivvix.com/360/KMI/IntelliDrive/ApplUI/Pages/CreativePages/CustomReportCreativeDetail.aspx?App=23&amp;ReportView=4&amp;Qid=1696098&amp;Row=1420&amp;Col=1","No Title Assigned - #15284798584")</f>
        <v/>
      </c>
      <c r="B1428" s="0" t="s">
        <v>1444</v>
      </c>
      <c r="C1428" s="0" t="s">
        <v>1445</v>
      </c>
      <c r="D1428" s="0" t="s">
        <v>1445</v>
      </c>
      <c r="E1428" s="0" t="s">
        <v>12</v>
      </c>
      <c r="F1428" s="0" t="s">
        <v>12</v>
      </c>
      <c r="G1428" s="0" t="s">
        <v>204</v>
      </c>
      <c r="I1428" s="5">
        <v>477.820700</v>
      </c>
      <c r="J1428" s="5">
        <v>1.000000</v>
      </c>
    </row>
    <row r="1429" spans="1:11">
      <c r="A1429" s="22" t="str">
        <f>HYPERLINK("https://app.vivvix.com/360/KMI/IntelliDrive/ApplUI/Pages/CreativePages/CustomReportCreativeDetail.aspx?App=23&amp;ReportView=4&amp;Qid=1696098&amp;Row=1421&amp;Col=1","No Title Assigned - #15284798914")</f>
        <v/>
      </c>
      <c r="B1429" s="0" t="s">
        <v>1446</v>
      </c>
      <c r="C1429" s="0" t="s">
        <v>1447</v>
      </c>
      <c r="D1429" s="0" t="s">
        <v>1447</v>
      </c>
      <c r="E1429" s="0" t="s">
        <v>12</v>
      </c>
      <c r="F1429" s="0" t="s">
        <v>12</v>
      </c>
      <c r="G1429" s="0" t="s">
        <v>204</v>
      </c>
      <c r="I1429" s="5">
        <v>463.076700</v>
      </c>
      <c r="J1429" s="5">
        <v>1.000000</v>
      </c>
    </row>
    <row r="1430" spans="1:11">
      <c r="A1430" s="22" t="str">
        <f>HYPERLINK("https://app.vivvix.com/360/KMI/IntelliDrive/ApplUI/Pages/CreativePages/CustomReportCreativeDetail.aspx?App=23&amp;ReportView=4&amp;Qid=1696098&amp;Row=1422&amp;Col=1","No Title Assigned - #15284837910")</f>
        <v/>
      </c>
      <c r="B1430" s="0" t="s">
        <v>1448</v>
      </c>
      <c r="C1430" s="0" t="s">
        <v>1449</v>
      </c>
      <c r="D1430" s="0" t="s">
        <v>1449</v>
      </c>
      <c r="E1430" s="0" t="s">
        <v>12</v>
      </c>
      <c r="F1430" s="0" t="s">
        <v>12</v>
      </c>
      <c r="G1430" s="0" t="s">
        <v>204</v>
      </c>
      <c r="I1430" s="5">
        <v>493.593300</v>
      </c>
      <c r="J1430" s="5">
        <v>1.000000</v>
      </c>
    </row>
    <row r="1431" spans="1:11">
      <c r="A1431" s="22" t="str">
        <f>HYPERLINK("https://app.vivvix.com/360/KMI/IntelliDrive/ApplUI/Pages/CreativePages/CustomReportCreativeDetail.aspx?App=23&amp;ReportView=4&amp;Qid=1696098&amp;Row=1423&amp;Col=1","No Title Assigned - #15284843453")</f>
        <v/>
      </c>
      <c r="B1431" s="0" t="s">
        <v>1450</v>
      </c>
      <c r="C1431" s="0" t="s">
        <v>1451</v>
      </c>
      <c r="D1431" s="0" t="s">
        <v>1451</v>
      </c>
      <c r="E1431" s="0" t="s">
        <v>12</v>
      </c>
      <c r="F1431" s="0" t="s">
        <v>12</v>
      </c>
      <c r="G1431" s="0" t="s">
        <v>204</v>
      </c>
      <c r="I1431" s="5">
        <v>455.351900</v>
      </c>
      <c r="J1431" s="5">
        <v>1.000000</v>
      </c>
    </row>
    <row r="1432" spans="1:11">
      <c r="A1432" s="22" t="str">
        <f>HYPERLINK("https://app.vivvix.com/360/KMI/IntelliDrive/ApplUI/Pages/CreativePages/CustomReportCreativeDetail.aspx?App=23&amp;ReportView=4&amp;Qid=1696098&amp;Row=1424&amp;Col=1","No Title Assigned - #15284874446")</f>
        <v/>
      </c>
      <c r="B1432" s="0" t="s">
        <v>1452</v>
      </c>
      <c r="C1432" s="0" t="s">
        <v>1453</v>
      </c>
      <c r="D1432" s="0" t="s">
        <v>1453</v>
      </c>
      <c r="E1432" s="0" t="s">
        <v>12</v>
      </c>
      <c r="F1432" s="0" t="s">
        <v>12</v>
      </c>
      <c r="G1432" s="0" t="s">
        <v>204</v>
      </c>
      <c r="I1432" s="5">
        <v>493.593300</v>
      </c>
      <c r="J1432" s="5">
        <v>1.000000</v>
      </c>
    </row>
    <row r="1433" spans="1:11">
      <c r="A1433" s="22" t="str">
        <f>HYPERLINK("https://app.vivvix.com/360/KMI/IntelliDrive/ApplUI/Pages/CreativePages/CustomReportCreativeDetail.aspx?App=23&amp;ReportView=4&amp;Qid=1696098&amp;Row=1425&amp;Col=1","No Title Assigned - #15284883877")</f>
        <v/>
      </c>
      <c r="B1433" s="0" t="s">
        <v>1454</v>
      </c>
      <c r="C1433" s="0" t="s">
        <v>1455</v>
      </c>
      <c r="D1433" s="0" t="s">
        <v>1455</v>
      </c>
      <c r="E1433" s="0" t="s">
        <v>12</v>
      </c>
      <c r="F1433" s="0" t="s">
        <v>12</v>
      </c>
      <c r="G1433" s="0" t="s">
        <v>204</v>
      </c>
      <c r="I1433" s="5">
        <v>235973.981400</v>
      </c>
      <c r="J1433" s="5">
        <v>10.000000</v>
      </c>
    </row>
    <row r="1434" spans="1:11">
      <c r="A1434" s="22" t="str">
        <f>HYPERLINK("https://app.vivvix.com/360/KMI/IntelliDrive/ApplUI/Pages/CreativePages/CustomReportCreativeDetail.aspx?App=23&amp;ReportView=4&amp;Qid=1696098&amp;Row=1426&amp;Col=1","No Title Assigned - #15284892950")</f>
        <v/>
      </c>
      <c r="B1434" s="0" t="s">
        <v>1456</v>
      </c>
      <c r="C1434" s="0" t="s">
        <v>1457</v>
      </c>
      <c r="D1434" s="0" t="s">
        <v>1457</v>
      </c>
      <c r="E1434" s="0" t="s">
        <v>12</v>
      </c>
      <c r="F1434" s="0" t="s">
        <v>12</v>
      </c>
      <c r="G1434" s="0" t="s">
        <v>204</v>
      </c>
      <c r="I1434" s="5">
        <v>1621.004700</v>
      </c>
      <c r="J1434" s="5">
        <v>2.000000</v>
      </c>
    </row>
    <row r="1435" spans="1:11">
      <c r="A1435" s="22" t="str">
        <f>HYPERLINK("https://app.vivvix.com/360/KMI/IntelliDrive/ApplUI/Pages/CreativePages/CustomReportCreativeDetail.aspx?App=23&amp;ReportView=4&amp;Qid=1696098&amp;Row=1427&amp;Col=1","No Title Assigned - #15284892977")</f>
        <v/>
      </c>
      <c r="B1435" s="0" t="s">
        <v>1458</v>
      </c>
      <c r="C1435" s="0" t="s">
        <v>1459</v>
      </c>
      <c r="D1435" s="0" t="s">
        <v>1459</v>
      </c>
      <c r="E1435" s="0" t="s">
        <v>12</v>
      </c>
      <c r="F1435" s="0" t="s">
        <v>12</v>
      </c>
      <c r="G1435" s="0" t="s">
        <v>204</v>
      </c>
      <c r="I1435" s="5">
        <v>493.593300</v>
      </c>
      <c r="J1435" s="5">
        <v>1.000000</v>
      </c>
    </row>
    <row r="1436" spans="1:11">
      <c r="A1436" s="22" t="str">
        <f>HYPERLINK("https://app.vivvix.com/360/KMI/IntelliDrive/ApplUI/Pages/CreativePages/CustomReportCreativeDetail.aspx?App=23&amp;ReportView=4&amp;Qid=1696098&amp;Row=1428&amp;Col=1","No Title Assigned - #15284893030")</f>
        <v/>
      </c>
      <c r="B1436" s="0" t="s">
        <v>1460</v>
      </c>
      <c r="C1436" s="0" t="s">
        <v>1461</v>
      </c>
      <c r="D1436" s="0" t="s">
        <v>1461</v>
      </c>
      <c r="E1436" s="0" t="s">
        <v>12</v>
      </c>
      <c r="F1436" s="0" t="s">
        <v>12</v>
      </c>
      <c r="G1436" s="0" t="s">
        <v>204</v>
      </c>
      <c r="I1436" s="5">
        <v>1621.004700</v>
      </c>
      <c r="J1436" s="5">
        <v>2.000000</v>
      </c>
    </row>
    <row r="1437" spans="1:11">
      <c r="A1437" s="22" t="str">
        <f>HYPERLINK("https://app.vivvix.com/360/KMI/IntelliDrive/ApplUI/Pages/CreativePages/CustomReportCreativeDetail.aspx?App=23&amp;ReportView=4&amp;Qid=1696098&amp;Row=1429&amp;Col=1","No Title Assigned - #15284893104")</f>
        <v/>
      </c>
      <c r="B1437" s="0" t="s">
        <v>1462</v>
      </c>
      <c r="C1437" s="0" t="s">
        <v>1463</v>
      </c>
      <c r="D1437" s="0" t="s">
        <v>1463</v>
      </c>
      <c r="E1437" s="0" t="s">
        <v>12</v>
      </c>
      <c r="F1437" s="0" t="s">
        <v>12</v>
      </c>
      <c r="G1437" s="0" t="s">
        <v>204</v>
      </c>
      <c r="I1437" s="5">
        <v>493.593300</v>
      </c>
      <c r="J1437" s="5">
        <v>1.000000</v>
      </c>
    </row>
    <row r="1438" spans="1:11">
      <c r="A1438" s="22" t="str">
        <f>HYPERLINK("https://app.vivvix.com/360/KMI/IntelliDrive/ApplUI/Pages/CreativePages/CustomReportCreativeDetail.aspx?App=23&amp;ReportView=4&amp;Qid=1696098&amp;Row=1430&amp;Col=1","No Title Assigned - #15284901414")</f>
        <v/>
      </c>
      <c r="B1438" s="0" t="s">
        <v>1464</v>
      </c>
      <c r="C1438" s="0" t="s">
        <v>1465</v>
      </c>
      <c r="D1438" s="0" t="s">
        <v>1465</v>
      </c>
      <c r="E1438" s="0" t="s">
        <v>12</v>
      </c>
      <c r="F1438" s="0" t="s">
        <v>12</v>
      </c>
      <c r="G1438" s="0" t="s">
        <v>204</v>
      </c>
      <c r="I1438" s="5">
        <v>1550.558500</v>
      </c>
      <c r="J1438" s="5">
        <v>1.000000</v>
      </c>
    </row>
    <row r="1439" spans="1:11">
      <c r="A1439" s="22" t="str">
        <f>HYPERLINK("https://app.vivvix.com/360/KMI/IntelliDrive/ApplUI/Pages/CreativePages/CustomReportCreativeDetail.aspx?App=23&amp;ReportView=4&amp;Qid=1696098&amp;Row=1431&amp;Col=1","No Title Assigned - #15284940524")</f>
        <v/>
      </c>
      <c r="B1439" s="0" t="s">
        <v>1466</v>
      </c>
      <c r="C1439" s="0" t="s">
        <v>1467</v>
      </c>
      <c r="D1439" s="0" t="s">
        <v>1467</v>
      </c>
      <c r="E1439" s="0" t="s">
        <v>12</v>
      </c>
      <c r="F1439" s="0" t="s">
        <v>12</v>
      </c>
      <c r="G1439" s="0" t="s">
        <v>204</v>
      </c>
      <c r="I1439" s="5">
        <v>38.231600</v>
      </c>
      <c r="J1439" s="5">
        <v>1.000000</v>
      </c>
    </row>
    <row r="1440" spans="1:11">
      <c r="A1440" s="22" t="str">
        <f>HYPERLINK("https://app.vivvix.com/360/KMI/IntelliDrive/ApplUI/Pages/CreativePages/CustomReportCreativeDetail.aspx?App=23&amp;ReportView=4&amp;Qid=1696098&amp;Row=1432&amp;Col=1","No Title Assigned - #15284972784")</f>
        <v/>
      </c>
      <c r="B1440" s="0" t="s">
        <v>1468</v>
      </c>
      <c r="C1440" s="0" t="s">
        <v>1469</v>
      </c>
      <c r="D1440" s="0" t="s">
        <v>1469</v>
      </c>
      <c r="E1440" s="0" t="s">
        <v>12</v>
      </c>
      <c r="F1440" s="0" t="s">
        <v>12</v>
      </c>
      <c r="G1440" s="0" t="s">
        <v>204</v>
      </c>
      <c r="I1440" s="5">
        <v>191.158000</v>
      </c>
      <c r="J1440" s="5">
        <v>5.000000</v>
      </c>
    </row>
    <row r="1441" spans="1:11">
      <c r="A1441" s="22" t="str">
        <f>HYPERLINK("https://app.vivvix.com/360/KMI/IntelliDrive/ApplUI/Pages/CreativePages/CustomReportCreativeDetail.aspx?App=23&amp;ReportView=4&amp;Qid=1696098&amp;Row=1433&amp;Col=1","No Title Assigned - #15284986180")</f>
        <v/>
      </c>
      <c r="B1441" s="0" t="s">
        <v>1470</v>
      </c>
      <c r="C1441" s="0" t="s">
        <v>1471</v>
      </c>
      <c r="D1441" s="0" t="s">
        <v>1471</v>
      </c>
      <c r="E1441" s="0" t="s">
        <v>12</v>
      </c>
      <c r="F1441" s="0" t="s">
        <v>12</v>
      </c>
      <c r="G1441" s="0" t="s">
        <v>204</v>
      </c>
      <c r="I1441" s="5">
        <v>2033.425700</v>
      </c>
      <c r="J1441" s="5">
        <v>1.000000</v>
      </c>
    </row>
    <row r="1442" spans="1:11">
      <c r="A1442" s="22" t="str">
        <f>HYPERLINK("https://app.vivvix.com/360/KMI/IntelliDrive/ApplUI/Pages/CreativePages/CustomReportCreativeDetail.aspx?App=23&amp;ReportView=4&amp;Qid=1696098&amp;Row=1434&amp;Col=1","No Title Assigned - #15284995305")</f>
        <v/>
      </c>
      <c r="B1442" s="0" t="s">
        <v>1472</v>
      </c>
      <c r="C1442" s="0" t="s">
        <v>1473</v>
      </c>
      <c r="D1442" s="0" t="s">
        <v>1473</v>
      </c>
      <c r="E1442" s="0" t="s">
        <v>12</v>
      </c>
      <c r="F1442" s="0" t="s">
        <v>12</v>
      </c>
      <c r="G1442" s="0" t="s">
        <v>204</v>
      </c>
      <c r="I1442" s="5">
        <v>2868.981000</v>
      </c>
      <c r="J1442" s="5">
        <v>1.000000</v>
      </c>
    </row>
    <row r="1443" spans="1:11">
      <c r="A1443" s="22" t="str">
        <f>HYPERLINK("https://app.vivvix.com/360/KMI/IntelliDrive/ApplUI/Pages/CreativePages/CustomReportCreativeDetail.aspx?App=23&amp;ReportView=4&amp;Qid=1696098&amp;Row=1435&amp;Col=1","No Title Assigned - #15284998175")</f>
        <v/>
      </c>
      <c r="B1443" s="0" t="s">
        <v>1474</v>
      </c>
      <c r="C1443" s="0" t="s">
        <v>1475</v>
      </c>
      <c r="D1443" s="0" t="s">
        <v>1475</v>
      </c>
      <c r="E1443" s="0" t="s">
        <v>12</v>
      </c>
      <c r="F1443" s="0" t="s">
        <v>12</v>
      </c>
      <c r="G1443" s="0" t="s">
        <v>204</v>
      </c>
      <c r="I1443" s="5">
        <v>493.593300</v>
      </c>
      <c r="J1443" s="5">
        <v>1.000000</v>
      </c>
    </row>
    <row r="1444" spans="1:11">
      <c r="A1444" s="22" t="str">
        <f>HYPERLINK("https://app.vivvix.com/360/KMI/IntelliDrive/ApplUI/Pages/CreativePages/CustomReportCreativeDetail.aspx?App=23&amp;ReportView=4&amp;Qid=1696098&amp;Row=1436&amp;Col=1","No Title Assigned - #15284998176")</f>
        <v/>
      </c>
      <c r="B1444" s="0" t="s">
        <v>1476</v>
      </c>
      <c r="C1444" s="0" t="s">
        <v>1477</v>
      </c>
      <c r="D1444" s="0" t="s">
        <v>1477</v>
      </c>
      <c r="E1444" s="0" t="s">
        <v>12</v>
      </c>
      <c r="F1444" s="0" t="s">
        <v>12</v>
      </c>
      <c r="G1444" s="0" t="s">
        <v>204</v>
      </c>
      <c r="I1444" s="5">
        <v>493.593300</v>
      </c>
      <c r="J1444" s="5">
        <v>1.000000</v>
      </c>
    </row>
    <row r="1445" spans="1:11">
      <c r="A1445" s="22" t="str">
        <f>HYPERLINK("https://app.vivvix.com/360/KMI/IntelliDrive/ApplUI/Pages/CreativePages/CustomReportCreativeDetail.aspx?App=23&amp;ReportView=4&amp;Qid=1696098&amp;Row=1437&amp;Col=1","No Title Assigned - #15285004390")</f>
        <v/>
      </c>
      <c r="B1445" s="0" t="s">
        <v>1478</v>
      </c>
      <c r="C1445" s="0" t="s">
        <v>1479</v>
      </c>
      <c r="D1445" s="0" t="s">
        <v>1479</v>
      </c>
      <c r="E1445" s="0" t="s">
        <v>12</v>
      </c>
      <c r="F1445" s="0" t="s">
        <v>12</v>
      </c>
      <c r="G1445" s="0" t="s">
        <v>204</v>
      </c>
      <c r="I1445" s="5">
        <v>1127.411400</v>
      </c>
      <c r="J1445" s="5">
        <v>1.000000</v>
      </c>
    </row>
    <row r="1446" spans="1:11">
      <c r="A1446" s="22" t="str">
        <f>HYPERLINK("https://app.vivvix.com/360/KMI/IntelliDrive/ApplUI/Pages/CreativePages/CustomReportCreativeDetail.aspx?App=23&amp;ReportView=4&amp;Qid=1696098&amp;Row=1438&amp;Col=1","No Title Assigned - #15285004391")</f>
        <v/>
      </c>
      <c r="B1446" s="0" t="s">
        <v>1480</v>
      </c>
      <c r="C1446" s="0" t="s">
        <v>1481</v>
      </c>
      <c r="D1446" s="0" t="s">
        <v>1481</v>
      </c>
      <c r="E1446" s="0" t="s">
        <v>12</v>
      </c>
      <c r="F1446" s="0" t="s">
        <v>12</v>
      </c>
      <c r="G1446" s="0" t="s">
        <v>204</v>
      </c>
      <c r="I1446" s="5">
        <v>1127.411400</v>
      </c>
      <c r="J1446" s="5">
        <v>1.000000</v>
      </c>
    </row>
    <row r="1447" spans="1:11">
      <c r="A1447" s="22" t="str">
        <f>HYPERLINK("https://app.vivvix.com/360/KMI/IntelliDrive/ApplUI/Pages/CreativePages/CustomReportCreativeDetail.aspx?App=23&amp;ReportView=4&amp;Qid=1696098&amp;Row=1439&amp;Col=1","No Title Assigned - #15285004392")</f>
        <v/>
      </c>
      <c r="B1447" s="0" t="s">
        <v>1482</v>
      </c>
      <c r="C1447" s="0" t="s">
        <v>1483</v>
      </c>
      <c r="D1447" s="0" t="s">
        <v>1483</v>
      </c>
      <c r="E1447" s="0" t="s">
        <v>12</v>
      </c>
      <c r="F1447" s="0" t="s">
        <v>12</v>
      </c>
      <c r="G1447" s="0" t="s">
        <v>204</v>
      </c>
      <c r="I1447" s="5">
        <v>1127.411400</v>
      </c>
      <c r="J1447" s="5">
        <v>1.000000</v>
      </c>
    </row>
    <row r="1448" spans="1:11">
      <c r="A1448" s="22" t="str">
        <f>HYPERLINK("https://app.vivvix.com/360/KMI/IntelliDrive/ApplUI/Pages/CreativePages/CustomReportCreativeDetail.aspx?App=23&amp;ReportView=4&amp;Qid=1696098&amp;Row=1440&amp;Col=1","No Title Assigned - #15285004406")</f>
        <v/>
      </c>
      <c r="B1448" s="0" t="s">
        <v>1484</v>
      </c>
      <c r="C1448" s="0" t="s">
        <v>1485</v>
      </c>
      <c r="D1448" s="0" t="s">
        <v>1485</v>
      </c>
      <c r="E1448" s="0" t="s">
        <v>12</v>
      </c>
      <c r="F1448" s="0" t="s">
        <v>12</v>
      </c>
      <c r="G1448" s="0" t="s">
        <v>204</v>
      </c>
      <c r="I1448" s="5">
        <v>1127.411400</v>
      </c>
      <c r="J1448" s="5">
        <v>1.000000</v>
      </c>
    </row>
    <row r="1449" spans="1:11">
      <c r="A1449" s="22" t="str">
        <f>HYPERLINK("https://app.vivvix.com/360/KMI/IntelliDrive/ApplUI/Pages/CreativePages/CustomReportCreativeDetail.aspx?App=23&amp;ReportView=4&amp;Qid=1696098&amp;Row=1441&amp;Col=1","No Title Assigned - #15285004408")</f>
        <v/>
      </c>
      <c r="B1449" s="0" t="s">
        <v>1486</v>
      </c>
      <c r="C1449" s="0" t="s">
        <v>1487</v>
      </c>
      <c r="D1449" s="0" t="s">
        <v>1487</v>
      </c>
      <c r="E1449" s="0" t="s">
        <v>12</v>
      </c>
      <c r="F1449" s="0" t="s">
        <v>12</v>
      </c>
      <c r="G1449" s="0" t="s">
        <v>204</v>
      </c>
      <c r="I1449" s="5">
        <v>1127.411400</v>
      </c>
      <c r="J1449" s="5">
        <v>1.000000</v>
      </c>
    </row>
    <row r="1450" spans="1:11">
      <c r="A1450" s="22" t="str">
        <f>HYPERLINK("https://app.vivvix.com/360/KMI/IntelliDrive/ApplUI/Pages/CreativePages/CustomReportCreativeDetail.aspx?App=23&amp;ReportView=4&amp;Qid=1696098&amp;Row=1442&amp;Col=1","No Title Assigned - #15285004420")</f>
        <v/>
      </c>
      <c r="B1450" s="0" t="s">
        <v>1488</v>
      </c>
      <c r="C1450" s="0" t="s">
        <v>1489</v>
      </c>
      <c r="D1450" s="0" t="s">
        <v>1489</v>
      </c>
      <c r="E1450" s="0" t="s">
        <v>12</v>
      </c>
      <c r="F1450" s="0" t="s">
        <v>12</v>
      </c>
      <c r="G1450" s="0" t="s">
        <v>204</v>
      </c>
      <c r="I1450" s="5">
        <v>1127.411400</v>
      </c>
      <c r="J1450" s="5">
        <v>1.000000</v>
      </c>
    </row>
    <row r="1451" spans="1:11">
      <c r="A1451" s="22" t="str">
        <f>HYPERLINK("https://app.vivvix.com/360/KMI/IntelliDrive/ApplUI/Pages/CreativePages/CustomReportCreativeDetail.aspx?App=23&amp;ReportView=4&amp;Qid=1696098&amp;Row=1443&amp;Col=1","No Title Assigned - #15285004422")</f>
        <v/>
      </c>
      <c r="B1451" s="0" t="s">
        <v>1490</v>
      </c>
      <c r="C1451" s="0" t="s">
        <v>1491</v>
      </c>
      <c r="D1451" s="0" t="s">
        <v>1491</v>
      </c>
      <c r="E1451" s="0" t="s">
        <v>12</v>
      </c>
      <c r="F1451" s="0" t="s">
        <v>12</v>
      </c>
      <c r="G1451" s="0" t="s">
        <v>204</v>
      </c>
      <c r="I1451" s="5">
        <v>1127.411400</v>
      </c>
      <c r="J1451" s="5">
        <v>1.000000</v>
      </c>
    </row>
    <row r="1452" spans="1:11">
      <c r="A1452" s="22" t="str">
        <f>HYPERLINK("https://app.vivvix.com/360/KMI/IntelliDrive/ApplUI/Pages/CreativePages/CustomReportCreativeDetail.aspx?App=23&amp;ReportView=4&amp;Qid=1696098&amp;Row=1444&amp;Col=1","No Title Assigned - #15285004601")</f>
        <v/>
      </c>
      <c r="B1452" s="0" t="s">
        <v>1492</v>
      </c>
      <c r="C1452" s="0" t="s">
        <v>1493</v>
      </c>
      <c r="D1452" s="0" t="s">
        <v>1493</v>
      </c>
      <c r="E1452" s="0" t="s">
        <v>12</v>
      </c>
      <c r="F1452" s="0" t="s">
        <v>12</v>
      </c>
      <c r="G1452" s="0" t="s">
        <v>204</v>
      </c>
      <c r="I1452" s="5">
        <v>1127.411400</v>
      </c>
      <c r="J1452" s="5">
        <v>1.000000</v>
      </c>
    </row>
    <row r="1453" spans="1:11">
      <c r="A1453" s="22" t="str">
        <f>HYPERLINK("https://app.vivvix.com/360/KMI/IntelliDrive/ApplUI/Pages/CreativePages/CustomReportCreativeDetail.aspx?App=23&amp;ReportView=4&amp;Qid=1696098&amp;Row=1445&amp;Col=1","No Title Assigned - #15285005584")</f>
        <v/>
      </c>
      <c r="B1453" s="0" t="s">
        <v>1494</v>
      </c>
      <c r="C1453" s="0" t="s">
        <v>1495</v>
      </c>
      <c r="D1453" s="0" t="s">
        <v>1495</v>
      </c>
      <c r="E1453" s="0" t="s">
        <v>12</v>
      </c>
      <c r="F1453" s="0" t="s">
        <v>12</v>
      </c>
      <c r="G1453" s="0" t="s">
        <v>204</v>
      </c>
      <c r="I1453" s="5">
        <v>114.694800</v>
      </c>
      <c r="J1453" s="5">
        <v>3.000000</v>
      </c>
    </row>
    <row r="1454" spans="1:11">
      <c r="A1454" s="22" t="str">
        <f>HYPERLINK("https://app.vivvix.com/360/KMI/IntelliDrive/ApplUI/Pages/CreativePages/CustomReportCreativeDetail.aspx?App=23&amp;ReportView=4&amp;Qid=1696098&amp;Row=1446&amp;Col=1","No Title Assigned - #15285005585")</f>
        <v/>
      </c>
      <c r="B1454" s="0" t="s">
        <v>1496</v>
      </c>
      <c r="C1454" s="0" t="s">
        <v>1497</v>
      </c>
      <c r="D1454" s="0" t="s">
        <v>1497</v>
      </c>
      <c r="E1454" s="0" t="s">
        <v>12</v>
      </c>
      <c r="F1454" s="0" t="s">
        <v>12</v>
      </c>
      <c r="G1454" s="0" t="s">
        <v>204</v>
      </c>
      <c r="I1454" s="5">
        <v>38.231600</v>
      </c>
      <c r="J1454" s="5">
        <v>1.000000</v>
      </c>
    </row>
    <row r="1455" spans="1:11">
      <c r="A1455" s="22" t="str">
        <f>HYPERLINK("https://app.vivvix.com/360/KMI/IntelliDrive/ApplUI/Pages/CreativePages/CustomReportCreativeDetail.aspx?App=23&amp;ReportView=4&amp;Qid=1696098&amp;Row=1447&amp;Col=1","No Title Assigned - #15285011234")</f>
        <v/>
      </c>
      <c r="B1455" s="0" t="s">
        <v>1498</v>
      </c>
      <c r="C1455" s="0" t="s">
        <v>1499</v>
      </c>
      <c r="D1455" s="0" t="s">
        <v>1499</v>
      </c>
      <c r="E1455" s="0" t="s">
        <v>12</v>
      </c>
      <c r="F1455" s="0" t="s">
        <v>12</v>
      </c>
      <c r="G1455" s="0" t="s">
        <v>204</v>
      </c>
      <c r="I1455" s="5">
        <v>1465.383500</v>
      </c>
      <c r="J1455" s="5">
        <v>1.000000</v>
      </c>
    </row>
    <row r="1456" spans="1:11">
      <c r="A1456" s="22" t="str">
        <f>HYPERLINK("https://app.vivvix.com/360/KMI/IntelliDrive/ApplUI/Pages/CreativePages/CustomReportCreativeDetail.aspx?App=23&amp;ReportView=4&amp;Qid=1696098&amp;Row=1448&amp;Col=1","No Title Assigned - #15285011778")</f>
        <v/>
      </c>
      <c r="B1456" s="0" t="s">
        <v>1500</v>
      </c>
      <c r="C1456" s="0" t="s">
        <v>1501</v>
      </c>
      <c r="D1456" s="0" t="s">
        <v>1501</v>
      </c>
      <c r="E1456" s="0" t="s">
        <v>12</v>
      </c>
      <c r="F1456" s="0" t="s">
        <v>12</v>
      </c>
      <c r="G1456" s="0" t="s">
        <v>204</v>
      </c>
      <c r="I1456" s="5">
        <v>2098.173100</v>
      </c>
      <c r="J1456" s="5">
        <v>1.000000</v>
      </c>
    </row>
    <row r="1457" spans="1:11">
      <c r="A1457" s="22" t="str">
        <f>HYPERLINK("https://app.vivvix.com/360/KMI/IntelliDrive/ApplUI/Pages/CreativePages/CustomReportCreativeDetail.aspx?App=23&amp;ReportView=4&amp;Qid=1696098&amp;Row=1449&amp;Col=1","No Title Assigned - #15285011788")</f>
        <v/>
      </c>
      <c r="B1457" s="0" t="s">
        <v>1502</v>
      </c>
      <c r="C1457" s="0" t="s">
        <v>1503</v>
      </c>
      <c r="D1457" s="0" t="s">
        <v>1503</v>
      </c>
      <c r="E1457" s="0" t="s">
        <v>12</v>
      </c>
      <c r="F1457" s="0" t="s">
        <v>12</v>
      </c>
      <c r="G1457" s="0" t="s">
        <v>204</v>
      </c>
      <c r="I1457" s="5">
        <v>2098.173100</v>
      </c>
      <c r="J1457" s="5">
        <v>1.000000</v>
      </c>
    </row>
    <row r="1458" spans="1:11">
      <c r="A1458" s="22" t="str">
        <f>HYPERLINK("https://app.vivvix.com/360/KMI/IntelliDrive/ApplUI/Pages/CreativePages/CustomReportCreativeDetail.aspx?App=23&amp;ReportView=4&amp;Qid=1696098&amp;Row=1450&amp;Col=1","No Title Assigned - #15285057323")</f>
        <v/>
      </c>
      <c r="B1458" s="0" t="s">
        <v>1504</v>
      </c>
      <c r="C1458" s="0" t="s">
        <v>1505</v>
      </c>
      <c r="D1458" s="0" t="s">
        <v>1505</v>
      </c>
      <c r="E1458" s="0" t="s">
        <v>12</v>
      </c>
      <c r="F1458" s="0" t="s">
        <v>12</v>
      </c>
      <c r="G1458" s="0" t="s">
        <v>204</v>
      </c>
      <c r="I1458" s="5">
        <v>673.165200</v>
      </c>
      <c r="J1458" s="5">
        <v>1.000000</v>
      </c>
    </row>
    <row r="1459" spans="1:11">
      <c r="A1459" s="22" t="str">
        <f>HYPERLINK("https://app.vivvix.com/360/KMI/IntelliDrive/ApplUI/Pages/CreativePages/CustomReportCreativeDetail.aspx?App=23&amp;ReportView=4&amp;Qid=1696098&amp;Row=1451&amp;Col=1","No Title Assigned - #15285082653")</f>
        <v/>
      </c>
      <c r="B1459" s="0" t="s">
        <v>1506</v>
      </c>
      <c r="C1459" s="0" t="s">
        <v>1507</v>
      </c>
      <c r="D1459" s="0" t="s">
        <v>1507</v>
      </c>
      <c r="E1459" s="0" t="s">
        <v>12</v>
      </c>
      <c r="F1459" s="0" t="s">
        <v>12</v>
      </c>
      <c r="G1459" s="0" t="s">
        <v>204</v>
      </c>
      <c r="I1459" s="5">
        <v>38.231600</v>
      </c>
      <c r="J1459" s="5">
        <v>1.000000</v>
      </c>
    </row>
    <row r="1460" spans="1:11">
      <c r="A1460" s="22" t="str">
        <f>HYPERLINK("https://app.vivvix.com/360/KMI/IntelliDrive/ApplUI/Pages/CreativePages/CustomReportCreativeDetail.aspx?App=23&amp;ReportView=4&amp;Qid=1696098&amp;Row=1452&amp;Col=1","No Title Assigned - #15285095193")</f>
        <v/>
      </c>
      <c r="B1460" s="0" t="s">
        <v>1508</v>
      </c>
      <c r="C1460" s="0" t="s">
        <v>1509</v>
      </c>
      <c r="D1460" s="0" t="s">
        <v>1509</v>
      </c>
      <c r="E1460" s="0" t="s">
        <v>12</v>
      </c>
      <c r="F1460" s="0" t="s">
        <v>12</v>
      </c>
      <c r="G1460" s="0" t="s">
        <v>204</v>
      </c>
      <c r="I1460" s="5">
        <v>1127.411400</v>
      </c>
      <c r="J1460" s="5">
        <v>1.000000</v>
      </c>
    </row>
    <row r="1461" spans="1:11">
      <c r="A1461" s="22" t="str">
        <f>HYPERLINK("https://app.vivvix.com/360/KMI/IntelliDrive/ApplUI/Pages/CreativePages/CustomReportCreativeDetail.aspx?App=23&amp;ReportView=4&amp;Qid=1696098&amp;Row=1453&amp;Col=1","No Title Assigned - #15285097663")</f>
        <v/>
      </c>
      <c r="B1461" s="0" t="s">
        <v>1510</v>
      </c>
      <c r="C1461" s="0" t="s">
        <v>1511</v>
      </c>
      <c r="D1461" s="0" t="s">
        <v>1511</v>
      </c>
      <c r="E1461" s="0" t="s">
        <v>12</v>
      </c>
      <c r="F1461" s="0" t="s">
        <v>12</v>
      </c>
      <c r="G1461" s="0" t="s">
        <v>204</v>
      </c>
      <c r="I1461" s="5">
        <v>238.828200</v>
      </c>
      <c r="J1461" s="5">
        <v>1.000000</v>
      </c>
    </row>
    <row r="1462" spans="1:11">
      <c r="A1462" s="22" t="str">
        <f>HYPERLINK("https://app.vivvix.com/360/KMI/IntelliDrive/ApplUI/Pages/CreativePages/CustomReportCreativeDetail.aspx?App=23&amp;ReportView=4&amp;Qid=1696098&amp;Row=1454&amp;Col=1","No Title Assigned - #15285122020")</f>
        <v/>
      </c>
      <c r="B1462" s="0" t="s">
        <v>1512</v>
      </c>
      <c r="C1462" s="0" t="s">
        <v>1513</v>
      </c>
      <c r="D1462" s="0" t="s">
        <v>1513</v>
      </c>
      <c r="E1462" s="0" t="s">
        <v>12</v>
      </c>
      <c r="F1462" s="0" t="s">
        <v>12</v>
      </c>
      <c r="G1462" s="0" t="s">
        <v>204</v>
      </c>
      <c r="I1462" s="5">
        <v>38.231600</v>
      </c>
      <c r="J1462" s="5">
        <v>1.000000</v>
      </c>
    </row>
    <row r="1463" spans="1:11">
      <c r="A1463" s="22" t="str">
        <f>HYPERLINK("https://app.vivvix.com/360/KMI/IntelliDrive/ApplUI/Pages/CreativePages/CustomReportCreativeDetail.aspx?App=23&amp;ReportView=4&amp;Qid=1696098&amp;Row=1455&amp;Col=1","No Title Assigned - #15285133653")</f>
        <v/>
      </c>
      <c r="B1463" s="0" t="s">
        <v>1514</v>
      </c>
      <c r="C1463" s="0" t="s">
        <v>1515</v>
      </c>
      <c r="D1463" s="0" t="s">
        <v>1515</v>
      </c>
      <c r="E1463" s="0" t="s">
        <v>12</v>
      </c>
      <c r="F1463" s="0" t="s">
        <v>12</v>
      </c>
      <c r="G1463" s="0" t="s">
        <v>204</v>
      </c>
      <c r="I1463" s="5">
        <v>38.231600</v>
      </c>
      <c r="J1463" s="5">
        <v>1.000000</v>
      </c>
    </row>
    <row r="1464" spans="1:11">
      <c r="A1464" s="22" t="str">
        <f>HYPERLINK("https://app.vivvix.com/360/KMI/IntelliDrive/ApplUI/Pages/CreativePages/CustomReportCreativeDetail.aspx?App=23&amp;ReportView=4&amp;Qid=1696098&amp;Row=1456&amp;Col=1","No Title Assigned - #15285134174")</f>
        <v/>
      </c>
      <c r="B1464" s="0" t="s">
        <v>1516</v>
      </c>
      <c r="C1464" s="0" t="s">
        <v>1517</v>
      </c>
      <c r="D1464" s="0" t="s">
        <v>1517</v>
      </c>
      <c r="E1464" s="0" t="s">
        <v>12</v>
      </c>
      <c r="F1464" s="0" t="s">
        <v>12</v>
      </c>
      <c r="G1464" s="0" t="s">
        <v>204</v>
      </c>
      <c r="I1464" s="5">
        <v>853.402200</v>
      </c>
      <c r="J1464" s="5">
        <v>1.000000</v>
      </c>
    </row>
    <row r="1465" spans="1:11">
      <c r="A1465" s="22" t="str">
        <f>HYPERLINK("https://app.vivvix.com/360/KMI/IntelliDrive/ApplUI/Pages/CreativePages/CustomReportCreativeDetail.aspx?App=23&amp;ReportView=4&amp;Qid=1696098&amp;Row=1457&amp;Col=1","No Title Assigned - #15285193320")</f>
        <v/>
      </c>
      <c r="B1465" s="0" t="s">
        <v>1518</v>
      </c>
      <c r="C1465" s="0" t="s">
        <v>1519</v>
      </c>
      <c r="D1465" s="0" t="s">
        <v>1519</v>
      </c>
      <c r="E1465" s="0" t="s">
        <v>12</v>
      </c>
      <c r="F1465" s="0" t="s">
        <v>12</v>
      </c>
      <c r="G1465" s="0" t="s">
        <v>204</v>
      </c>
      <c r="I1465" s="5">
        <v>238.828200</v>
      </c>
      <c r="J1465" s="5">
        <v>1.000000</v>
      </c>
    </row>
    <row r="1466" spans="1:11">
      <c r="A1466" s="22" t="str">
        <f>HYPERLINK("https://app.vivvix.com/360/KMI/IntelliDrive/ApplUI/Pages/CreativePages/CustomReportCreativeDetail.aspx?App=23&amp;ReportView=4&amp;Qid=1696098&amp;Row=1458&amp;Col=1","No Title Assigned - #15285194034")</f>
        <v/>
      </c>
      <c r="B1466" s="0" t="s">
        <v>1520</v>
      </c>
      <c r="C1466" s="0" t="s">
        <v>1521</v>
      </c>
      <c r="D1466" s="0" t="s">
        <v>1521</v>
      </c>
      <c r="E1466" s="0" t="s">
        <v>12</v>
      </c>
      <c r="F1466" s="0" t="s">
        <v>12</v>
      </c>
      <c r="G1466" s="0" t="s">
        <v>204</v>
      </c>
      <c r="I1466" s="5">
        <v>1974.373200</v>
      </c>
      <c r="J1466" s="5">
        <v>4.000000</v>
      </c>
    </row>
    <row r="1467" spans="1:11">
      <c r="A1467" s="22" t="str">
        <f>HYPERLINK("https://app.vivvix.com/360/KMI/IntelliDrive/ApplUI/Pages/CreativePages/CustomReportCreativeDetail.aspx?App=23&amp;ReportView=4&amp;Qid=1696098&amp;Row=1459&amp;Col=1","No Title Assigned - #15285197840")</f>
        <v/>
      </c>
      <c r="B1467" s="0" t="s">
        <v>1522</v>
      </c>
      <c r="C1467" s="0" t="s">
        <v>1523</v>
      </c>
      <c r="D1467" s="0" t="s">
        <v>1523</v>
      </c>
      <c r="E1467" s="0" t="s">
        <v>12</v>
      </c>
      <c r="F1467" s="0" t="s">
        <v>12</v>
      </c>
      <c r="G1467" s="0" t="s">
        <v>204</v>
      </c>
      <c r="I1467" s="5">
        <v>38.231600</v>
      </c>
      <c r="J1467" s="5">
        <v>1.000000</v>
      </c>
    </row>
    <row r="1468" spans="1:11">
      <c r="A1468" s="22" t="str">
        <f>HYPERLINK("https://app.vivvix.com/360/KMI/IntelliDrive/ApplUI/Pages/CreativePages/CustomReportCreativeDetail.aspx?App=23&amp;ReportView=4&amp;Qid=1696098&amp;Row=1460&amp;Col=1","No Title Assigned - #15285197841")</f>
        <v/>
      </c>
      <c r="B1468" s="0" t="s">
        <v>1524</v>
      </c>
      <c r="C1468" s="0" t="s">
        <v>1525</v>
      </c>
      <c r="D1468" s="0" t="s">
        <v>1525</v>
      </c>
      <c r="E1468" s="0" t="s">
        <v>12</v>
      </c>
      <c r="F1468" s="0" t="s">
        <v>12</v>
      </c>
      <c r="G1468" s="0" t="s">
        <v>204</v>
      </c>
      <c r="I1468" s="5">
        <v>76.463200</v>
      </c>
      <c r="J1468" s="5">
        <v>2.000000</v>
      </c>
    </row>
    <row r="1469" spans="1:11">
      <c r="A1469" s="22" t="str">
        <f>HYPERLINK("https://app.vivvix.com/360/KMI/IntelliDrive/ApplUI/Pages/CreativePages/CustomReportCreativeDetail.aspx?App=23&amp;ReportView=4&amp;Qid=1696098&amp;Row=1461&amp;Col=1","No Title Assigned - #15285197842")</f>
        <v/>
      </c>
      <c r="B1469" s="0" t="s">
        <v>1526</v>
      </c>
      <c r="C1469" s="0" t="s">
        <v>1527</v>
      </c>
      <c r="D1469" s="0" t="s">
        <v>1527</v>
      </c>
      <c r="E1469" s="0" t="s">
        <v>12</v>
      </c>
      <c r="F1469" s="0" t="s">
        <v>12</v>
      </c>
      <c r="G1469" s="0" t="s">
        <v>204</v>
      </c>
      <c r="I1469" s="5">
        <v>76.463200</v>
      </c>
      <c r="J1469" s="5">
        <v>2.000000</v>
      </c>
    </row>
    <row r="1470" spans="1:11">
      <c r="A1470" s="22" t="str">
        <f>HYPERLINK("https://app.vivvix.com/360/KMI/IntelliDrive/ApplUI/Pages/CreativePages/CustomReportCreativeDetail.aspx?App=23&amp;ReportView=4&amp;Qid=1696098&amp;Row=1462&amp;Col=1","No Title Assigned - #15285197851")</f>
        <v/>
      </c>
      <c r="B1470" s="0" t="s">
        <v>1528</v>
      </c>
      <c r="C1470" s="0" t="s">
        <v>1529</v>
      </c>
      <c r="D1470" s="0" t="s">
        <v>1529</v>
      </c>
      <c r="E1470" s="0" t="s">
        <v>12</v>
      </c>
      <c r="F1470" s="0" t="s">
        <v>12</v>
      </c>
      <c r="G1470" s="0" t="s">
        <v>204</v>
      </c>
      <c r="I1470" s="5">
        <v>76.463200</v>
      </c>
      <c r="J1470" s="5">
        <v>2.000000</v>
      </c>
    </row>
    <row r="1471" spans="1:11">
      <c r="A1471" s="22" t="str">
        <f>HYPERLINK("https://app.vivvix.com/360/KMI/IntelliDrive/ApplUI/Pages/CreativePages/CustomReportCreativeDetail.aspx?App=23&amp;ReportView=4&amp;Qid=1696098&amp;Row=1463&amp;Col=1","No Title Assigned - #15285197883")</f>
        <v/>
      </c>
      <c r="B1471" s="0" t="s">
        <v>1530</v>
      </c>
      <c r="C1471" s="0" t="s">
        <v>1531</v>
      </c>
      <c r="D1471" s="0" t="s">
        <v>1531</v>
      </c>
      <c r="E1471" s="0" t="s">
        <v>12</v>
      </c>
      <c r="F1471" s="0" t="s">
        <v>12</v>
      </c>
      <c r="G1471" s="0" t="s">
        <v>204</v>
      </c>
      <c r="I1471" s="5">
        <v>38.231600</v>
      </c>
      <c r="J1471" s="5">
        <v>1.000000</v>
      </c>
    </row>
    <row r="1472" spans="1:11">
      <c r="A1472" s="22" t="str">
        <f>HYPERLINK("https://app.vivvix.com/360/KMI/IntelliDrive/ApplUI/Pages/CreativePages/CustomReportCreativeDetail.aspx?App=23&amp;ReportView=4&amp;Qid=1696098&amp;Row=1464&amp;Col=1","No Title Assigned - #15285197884")</f>
        <v/>
      </c>
      <c r="B1472" s="0" t="s">
        <v>1532</v>
      </c>
      <c r="C1472" s="0" t="s">
        <v>1533</v>
      </c>
      <c r="D1472" s="0" t="s">
        <v>1533</v>
      </c>
      <c r="E1472" s="0" t="s">
        <v>12</v>
      </c>
      <c r="F1472" s="0" t="s">
        <v>12</v>
      </c>
      <c r="G1472" s="0" t="s">
        <v>204</v>
      </c>
      <c r="I1472" s="5">
        <v>38.231600</v>
      </c>
      <c r="J1472" s="5">
        <v>1.000000</v>
      </c>
    </row>
    <row r="1473" spans="1:11">
      <c r="A1473" s="22" t="str">
        <f>HYPERLINK("https://app.vivvix.com/360/KMI/IntelliDrive/ApplUI/Pages/CreativePages/CustomReportCreativeDetail.aspx?App=23&amp;ReportView=4&amp;Qid=1696098&amp;Row=1465&amp;Col=1","No Title Assigned - #15285202578")</f>
        <v/>
      </c>
      <c r="B1473" s="0" t="s">
        <v>1534</v>
      </c>
      <c r="C1473" s="0" t="s">
        <v>1535</v>
      </c>
      <c r="D1473" s="0" t="s">
        <v>1535</v>
      </c>
      <c r="E1473" s="0" t="s">
        <v>12</v>
      </c>
      <c r="F1473" s="0" t="s">
        <v>12</v>
      </c>
      <c r="G1473" s="0" t="s">
        <v>204</v>
      </c>
      <c r="I1473" s="5">
        <v>780.084500</v>
      </c>
      <c r="J1473" s="5">
        <v>1.000000</v>
      </c>
    </row>
    <row r="1474" spans="1:11">
      <c r="A1474" s="22" t="str">
        <f>HYPERLINK("https://app.vivvix.com/360/KMI/IntelliDrive/ApplUI/Pages/CreativePages/CustomReportCreativeDetail.aspx?App=23&amp;ReportView=4&amp;Qid=1696098&amp;Row=1466&amp;Col=1","No Title Assigned - #15285234715")</f>
        <v/>
      </c>
      <c r="B1474" s="0" t="s">
        <v>1536</v>
      </c>
      <c r="C1474" s="0" t="s">
        <v>1537</v>
      </c>
      <c r="D1474" s="0" t="s">
        <v>1537</v>
      </c>
      <c r="E1474" s="0" t="s">
        <v>12</v>
      </c>
      <c r="F1474" s="0" t="s">
        <v>12</v>
      </c>
      <c r="G1474" s="0" t="s">
        <v>204</v>
      </c>
      <c r="I1474" s="5">
        <v>1034.944900</v>
      </c>
      <c r="J1474" s="5">
        <v>1.000000</v>
      </c>
    </row>
    <row r="1475" spans="1:11">
      <c r="A1475" s="22" t="str">
        <f>HYPERLINK("https://app.vivvix.com/360/KMI/IntelliDrive/ApplUI/Pages/CreativePages/CustomReportCreativeDetail.aspx?App=23&amp;ReportView=4&amp;Qid=1696098&amp;Row=1467&amp;Col=1","No Title Assigned - #15285248710")</f>
        <v/>
      </c>
      <c r="B1475" s="0" t="s">
        <v>1538</v>
      </c>
      <c r="C1475" s="0" t="s">
        <v>1539</v>
      </c>
      <c r="D1475" s="0" t="s">
        <v>1539</v>
      </c>
      <c r="E1475" s="0" t="s">
        <v>12</v>
      </c>
      <c r="F1475" s="0" t="s">
        <v>12</v>
      </c>
      <c r="G1475" s="0" t="s">
        <v>204</v>
      </c>
      <c r="I1475" s="5">
        <v>194.126800</v>
      </c>
      <c r="J1475" s="5">
        <v>2.000000</v>
      </c>
    </row>
    <row r="1476" spans="1:11">
      <c r="A1476" s="22" t="str">
        <f>HYPERLINK("https://app.vivvix.com/360/KMI/IntelliDrive/ApplUI/Pages/CreativePages/CustomReportCreativeDetail.aspx?App=23&amp;ReportView=4&amp;Qid=1696098&amp;Row=1468&amp;Col=1","No Title Assigned - #15285296961")</f>
        <v/>
      </c>
      <c r="B1476" s="0" t="s">
        <v>1540</v>
      </c>
      <c r="C1476" s="0" t="s">
        <v>1541</v>
      </c>
      <c r="D1476" s="0" t="s">
        <v>1541</v>
      </c>
      <c r="E1476" s="0" t="s">
        <v>12</v>
      </c>
      <c r="F1476" s="0" t="s">
        <v>12</v>
      </c>
      <c r="G1476" s="0" t="s">
        <v>204</v>
      </c>
      <c r="I1476" s="5">
        <v>780.084500</v>
      </c>
      <c r="J1476" s="5">
        <v>1.000000</v>
      </c>
    </row>
    <row r="1477" spans="1:11">
      <c r="A1477" s="22" t="str">
        <f>HYPERLINK("https://app.vivvix.com/360/KMI/IntelliDrive/ApplUI/Pages/CreativePages/CustomReportCreativeDetail.aspx?App=23&amp;ReportView=4&amp;Qid=1696098&amp;Row=1469&amp;Col=1","No Title Assigned - #15285297167")</f>
        <v/>
      </c>
      <c r="B1477" s="0" t="s">
        <v>1542</v>
      </c>
      <c r="C1477" s="0" t="s">
        <v>1543</v>
      </c>
      <c r="D1477" s="0" t="s">
        <v>1543</v>
      </c>
      <c r="E1477" s="0" t="s">
        <v>12</v>
      </c>
      <c r="F1477" s="0" t="s">
        <v>12</v>
      </c>
      <c r="G1477" s="0" t="s">
        <v>204</v>
      </c>
      <c r="I1477" s="5">
        <v>780.084500</v>
      </c>
      <c r="J1477" s="5">
        <v>1.000000</v>
      </c>
    </row>
    <row r="1478" spans="1:11">
      <c r="A1478" s="22" t="str">
        <f>HYPERLINK("https://app.vivvix.com/360/KMI/IntelliDrive/ApplUI/Pages/CreativePages/CustomReportCreativeDetail.aspx?App=23&amp;ReportView=4&amp;Qid=1696098&amp;Row=1470&amp;Col=1","No Title Assigned - #15285334566")</f>
        <v/>
      </c>
      <c r="B1478" s="0" t="s">
        <v>1544</v>
      </c>
      <c r="C1478" s="0" t="s">
        <v>1545</v>
      </c>
      <c r="D1478" s="0" t="s">
        <v>1545</v>
      </c>
      <c r="E1478" s="0" t="s">
        <v>12</v>
      </c>
      <c r="F1478" s="0" t="s">
        <v>12</v>
      </c>
      <c r="G1478" s="0" t="s">
        <v>204</v>
      </c>
      <c r="I1478" s="5">
        <v>1701.991300</v>
      </c>
      <c r="J1478" s="5">
        <v>1.000000</v>
      </c>
    </row>
    <row r="1479" spans="1:11">
      <c r="A1479" s="22" t="str">
        <f>HYPERLINK("https://app.vivvix.com/360/KMI/IntelliDrive/ApplUI/Pages/CreativePages/CustomReportCreativeDetail.aspx?App=23&amp;ReportView=4&amp;Qid=1696098&amp;Row=1471&amp;Col=1","No Title Assigned - #15285371452")</f>
        <v/>
      </c>
      <c r="B1479" s="0" t="s">
        <v>1546</v>
      </c>
      <c r="C1479" s="0" t="s">
        <v>1547</v>
      </c>
      <c r="D1479" s="0" t="s">
        <v>1547</v>
      </c>
      <c r="E1479" s="0" t="s">
        <v>12</v>
      </c>
      <c r="F1479" s="0" t="s">
        <v>12</v>
      </c>
      <c r="G1479" s="0" t="s">
        <v>204</v>
      </c>
      <c r="I1479" s="5">
        <v>539.335600</v>
      </c>
      <c r="J1479" s="5">
        <v>1.000000</v>
      </c>
    </row>
    <row r="1480" spans="1:11">
      <c r="A1480" s="22" t="str">
        <f>HYPERLINK("https://app.vivvix.com/360/KMI/IntelliDrive/ApplUI/Pages/CreativePages/CustomReportCreativeDetail.aspx?App=23&amp;ReportView=4&amp;Qid=1696098&amp;Row=1472&amp;Col=1","No Title Assigned - #15285431518")</f>
        <v/>
      </c>
      <c r="B1480" s="0" t="s">
        <v>1548</v>
      </c>
      <c r="C1480" s="0" t="s">
        <v>1549</v>
      </c>
      <c r="D1480" s="0" t="s">
        <v>1549</v>
      </c>
      <c r="E1480" s="0" t="s">
        <v>12</v>
      </c>
      <c r="F1480" s="0" t="s">
        <v>12</v>
      </c>
      <c r="G1480" s="0" t="s">
        <v>204</v>
      </c>
      <c r="I1480" s="5">
        <v>2452.319000</v>
      </c>
      <c r="J1480" s="5">
        <v>2.000000</v>
      </c>
    </row>
    <row r="1481" spans="1:11">
      <c r="A1481" s="22" t="str">
        <f>HYPERLINK("https://app.vivvix.com/360/KMI/IntelliDrive/ApplUI/Pages/CreativePages/CustomReportCreativeDetail.aspx?App=23&amp;ReportView=4&amp;Qid=1696098&amp;Row=1473&amp;Col=1","No Title Assigned - #15285434454")</f>
        <v/>
      </c>
      <c r="B1481" s="0" t="s">
        <v>1550</v>
      </c>
      <c r="C1481" s="0" t="s">
        <v>1551</v>
      </c>
      <c r="D1481" s="0" t="s">
        <v>1551</v>
      </c>
      <c r="E1481" s="0" t="s">
        <v>12</v>
      </c>
      <c r="F1481" s="0" t="s">
        <v>12</v>
      </c>
      <c r="G1481" s="0" t="s">
        <v>204</v>
      </c>
      <c r="I1481" s="5">
        <v>229.389600</v>
      </c>
      <c r="J1481" s="5">
        <v>6.000000</v>
      </c>
    </row>
    <row r="1482" spans="1:11">
      <c r="A1482" s="22" t="str">
        <f>HYPERLINK("https://app.vivvix.com/360/KMI/IntelliDrive/ApplUI/Pages/CreativePages/CustomReportCreativeDetail.aspx?App=23&amp;ReportView=4&amp;Qid=1696098&amp;Row=1474&amp;Col=1","No Title Assigned - #15285434589")</f>
        <v/>
      </c>
      <c r="B1482" s="0" t="s">
        <v>1552</v>
      </c>
      <c r="C1482" s="0" t="s">
        <v>1553</v>
      </c>
      <c r="D1482" s="0" t="s">
        <v>1553</v>
      </c>
      <c r="E1482" s="0" t="s">
        <v>12</v>
      </c>
      <c r="F1482" s="0" t="s">
        <v>12</v>
      </c>
      <c r="G1482" s="0" t="s">
        <v>204</v>
      </c>
      <c r="I1482" s="5">
        <v>38.231600</v>
      </c>
      <c r="J1482" s="5">
        <v>1.000000</v>
      </c>
    </row>
    <row r="1483" spans="1:11">
      <c r="A1483" s="22" t="str">
        <f>HYPERLINK("https://app.vivvix.com/360/KMI/IntelliDrive/ApplUI/Pages/CreativePages/CustomReportCreativeDetail.aspx?App=23&amp;ReportView=4&amp;Qid=1696098&amp;Row=1475&amp;Col=1","No Title Assigned - #15285454550")</f>
        <v/>
      </c>
      <c r="B1483" s="0" t="s">
        <v>1554</v>
      </c>
      <c r="C1483" s="0" t="s">
        <v>1555</v>
      </c>
      <c r="D1483" s="0" t="s">
        <v>1555</v>
      </c>
      <c r="E1483" s="0" t="s">
        <v>12</v>
      </c>
      <c r="F1483" s="0" t="s">
        <v>12</v>
      </c>
      <c r="G1483" s="0" t="s">
        <v>204</v>
      </c>
      <c r="I1483" s="5">
        <v>2868.981000</v>
      </c>
      <c r="J1483" s="5">
        <v>1.000000</v>
      </c>
    </row>
    <row r="1484" spans="1:11">
      <c r="A1484" s="22" t="str">
        <f>HYPERLINK("https://app.vivvix.com/360/KMI/IntelliDrive/ApplUI/Pages/CreativePages/CustomReportCreativeDetail.aspx?App=23&amp;ReportView=4&amp;Qid=1696098&amp;Row=1476&amp;Col=1","No Title Assigned - #15285460457")</f>
        <v/>
      </c>
      <c r="B1484" s="0" t="s">
        <v>1556</v>
      </c>
      <c r="C1484" s="0" t="s">
        <v>1557</v>
      </c>
      <c r="D1484" s="0" t="s">
        <v>1557</v>
      </c>
      <c r="E1484" s="0" t="s">
        <v>12</v>
      </c>
      <c r="F1484" s="0" t="s">
        <v>12</v>
      </c>
      <c r="G1484" s="0" t="s">
        <v>204</v>
      </c>
      <c r="I1484" s="5">
        <v>609.010400</v>
      </c>
      <c r="J1484" s="5">
        <v>2.000000</v>
      </c>
    </row>
    <row r="1485" spans="1:11">
      <c r="A1485" s="22" t="str">
        <f>HYPERLINK("https://app.vivvix.com/360/KMI/IntelliDrive/ApplUI/Pages/CreativePages/CustomReportCreativeDetail.aspx?App=23&amp;ReportView=4&amp;Qid=1696098&amp;Row=1477&amp;Col=1","No Title Assigned - #15285474657")</f>
        <v/>
      </c>
      <c r="B1485" s="0" t="s">
        <v>1558</v>
      </c>
      <c r="C1485" s="0" t="s">
        <v>1559</v>
      </c>
      <c r="D1485" s="0" t="s">
        <v>1559</v>
      </c>
      <c r="E1485" s="0" t="s">
        <v>12</v>
      </c>
      <c r="F1485" s="0" t="s">
        <v>12</v>
      </c>
      <c r="G1485" s="0" t="s">
        <v>204</v>
      </c>
      <c r="I1485" s="5">
        <v>493.593300</v>
      </c>
      <c r="J1485" s="5">
        <v>1.000000</v>
      </c>
    </row>
    <row r="1486" spans="1:11">
      <c r="A1486" s="22" t="str">
        <f>HYPERLINK("https://app.vivvix.com/360/KMI/IntelliDrive/ApplUI/Pages/CreativePages/CustomReportCreativeDetail.aspx?App=23&amp;ReportView=4&amp;Qid=1696098&amp;Row=1478&amp;Col=1","No Title Assigned - #15285475294")</f>
        <v/>
      </c>
      <c r="B1486" s="0" t="s">
        <v>1560</v>
      </c>
      <c r="C1486" s="0" t="s">
        <v>1561</v>
      </c>
      <c r="D1486" s="0" t="s">
        <v>1561</v>
      </c>
      <c r="E1486" s="0" t="s">
        <v>12</v>
      </c>
      <c r="F1486" s="0" t="s">
        <v>12</v>
      </c>
      <c r="G1486" s="0" t="s">
        <v>204</v>
      </c>
      <c r="I1486" s="5">
        <v>38.231600</v>
      </c>
      <c r="J1486" s="5">
        <v>1.000000</v>
      </c>
    </row>
    <row r="1487" spans="1:11">
      <c r="A1487" s="22" t="str">
        <f>HYPERLINK("https://app.vivvix.com/360/KMI/IntelliDrive/ApplUI/Pages/CreativePages/CustomReportCreativeDetail.aspx?App=23&amp;ReportView=4&amp;Qid=1696098&amp;Row=1479&amp;Col=1","No Title Assigned - #15285506954")</f>
        <v/>
      </c>
      <c r="B1487" s="0" t="s">
        <v>1562</v>
      </c>
      <c r="C1487" s="0" t="s">
        <v>1563</v>
      </c>
      <c r="D1487" s="0" t="s">
        <v>1563</v>
      </c>
      <c r="E1487" s="0" t="s">
        <v>12</v>
      </c>
      <c r="F1487" s="0" t="s">
        <v>12</v>
      </c>
      <c r="G1487" s="0" t="s">
        <v>204</v>
      </c>
      <c r="I1487" s="5">
        <v>38.231600</v>
      </c>
      <c r="J1487" s="5">
        <v>1.000000</v>
      </c>
    </row>
    <row r="1488" spans="1:11">
      <c r="A1488" s="22" t="str">
        <f>HYPERLINK("https://app.vivvix.com/360/KMI/IntelliDrive/ApplUI/Pages/CreativePages/CustomReportCreativeDetail.aspx?App=23&amp;ReportView=4&amp;Qid=1696098&amp;Row=1480&amp;Col=1","No Title Assigned - #15285516462")</f>
        <v/>
      </c>
      <c r="B1488" s="0" t="s">
        <v>1564</v>
      </c>
      <c r="C1488" s="0" t="s">
        <v>1565</v>
      </c>
      <c r="D1488" s="0" t="s">
        <v>1565</v>
      </c>
      <c r="E1488" s="0" t="s">
        <v>12</v>
      </c>
      <c r="F1488" s="0" t="s">
        <v>12</v>
      </c>
      <c r="G1488" s="0" t="s">
        <v>204</v>
      </c>
      <c r="I1488" s="5">
        <v>27255.673800</v>
      </c>
      <c r="J1488" s="5">
        <v>1.000000</v>
      </c>
    </row>
    <row r="1489" spans="1:11">
      <c r="A1489" s="22" t="str">
        <f>HYPERLINK("https://app.vivvix.com/360/KMI/IntelliDrive/ApplUI/Pages/CreativePages/CustomReportCreativeDetail.aspx?App=23&amp;ReportView=4&amp;Qid=1696098&amp;Row=1481&amp;Col=1","No Title Assigned - #15285574242")</f>
        <v/>
      </c>
      <c r="B1489" s="0" t="s">
        <v>1566</v>
      </c>
      <c r="C1489" s="0" t="s">
        <v>1567</v>
      </c>
      <c r="D1489" s="0" t="s">
        <v>1567</v>
      </c>
      <c r="E1489" s="0" t="s">
        <v>12</v>
      </c>
      <c r="F1489" s="0" t="s">
        <v>12</v>
      </c>
      <c r="G1489" s="0" t="s">
        <v>204</v>
      </c>
      <c r="I1489" s="5">
        <v>115.692600</v>
      </c>
      <c r="J1489" s="5">
        <v>1.000000</v>
      </c>
    </row>
    <row r="1490" spans="1:11">
      <c r="A1490" s="22" t="str">
        <f>HYPERLINK("https://app.vivvix.com/360/KMI/IntelliDrive/ApplUI/Pages/CreativePages/CustomReportCreativeDetail.aspx?App=23&amp;ReportView=4&amp;Qid=1696098&amp;Row=1482&amp;Col=1","No Title Assigned - #15285574243")</f>
        <v/>
      </c>
      <c r="B1490" s="0" t="s">
        <v>1568</v>
      </c>
      <c r="C1490" s="0" t="s">
        <v>1569</v>
      </c>
      <c r="D1490" s="0" t="s">
        <v>1569</v>
      </c>
      <c r="E1490" s="0" t="s">
        <v>12</v>
      </c>
      <c r="F1490" s="0" t="s">
        <v>12</v>
      </c>
      <c r="G1490" s="0" t="s">
        <v>204</v>
      </c>
      <c r="I1490" s="5">
        <v>115.692600</v>
      </c>
      <c r="J1490" s="5">
        <v>1.000000</v>
      </c>
    </row>
    <row r="1491" spans="1:11">
      <c r="A1491" s="22" t="str">
        <f>HYPERLINK("https://app.vivvix.com/360/KMI/IntelliDrive/ApplUI/Pages/CreativePages/CustomReportCreativeDetail.aspx?App=23&amp;ReportView=4&amp;Qid=1696098&amp;Row=1483&amp;Col=1","No Title Assigned - #15285577463")</f>
        <v/>
      </c>
      <c r="B1491" s="0" t="s">
        <v>1570</v>
      </c>
      <c r="C1491" s="0" t="s">
        <v>1571</v>
      </c>
      <c r="D1491" s="0" t="s">
        <v>1571</v>
      </c>
      <c r="E1491" s="0" t="s">
        <v>12</v>
      </c>
      <c r="F1491" s="0" t="s">
        <v>12</v>
      </c>
      <c r="G1491" s="0" t="s">
        <v>245</v>
      </c>
      <c r="I1491" s="5">
        <v>923.637100</v>
      </c>
      <c r="J1491" s="5">
        <v>1.000000</v>
      </c>
    </row>
    <row r="1492" spans="1:11">
      <c r="A1492" s="22" t="str">
        <f>HYPERLINK("https://app.vivvix.com/360/KMI/IntelliDrive/ApplUI/Pages/CreativePages/CustomReportCreativeDetail.aspx?App=23&amp;ReportView=4&amp;Qid=1696098&amp;Row=1484&amp;Col=1","No Title Assigned - #15285609817")</f>
        <v/>
      </c>
      <c r="B1492" s="0" t="s">
        <v>1572</v>
      </c>
      <c r="C1492" s="0" t="s">
        <v>1573</v>
      </c>
      <c r="D1492" s="0" t="s">
        <v>1573</v>
      </c>
      <c r="E1492" s="0" t="s">
        <v>12</v>
      </c>
      <c r="F1492" s="0" t="s">
        <v>12</v>
      </c>
      <c r="G1492" s="0" t="s">
        <v>204</v>
      </c>
      <c r="I1492" s="5">
        <v>2868.981000</v>
      </c>
      <c r="J1492" s="5">
        <v>1.000000</v>
      </c>
    </row>
    <row r="1493" spans="1:11">
      <c r="A1493" s="22" t="str">
        <f>HYPERLINK("https://app.vivvix.com/360/KMI/IntelliDrive/ApplUI/Pages/CreativePages/CustomReportCreativeDetail.aspx?App=23&amp;ReportView=4&amp;Qid=1696098&amp;Row=1485&amp;Col=1","No Title Assigned - #15285615181")</f>
        <v/>
      </c>
      <c r="B1493" s="0" t="s">
        <v>1574</v>
      </c>
      <c r="C1493" s="0" t="s">
        <v>1575</v>
      </c>
      <c r="D1493" s="0" t="s">
        <v>1575</v>
      </c>
      <c r="E1493" s="0" t="s">
        <v>12</v>
      </c>
      <c r="F1493" s="0" t="s">
        <v>12</v>
      </c>
      <c r="G1493" s="0" t="s">
        <v>204</v>
      </c>
      <c r="I1493" s="5">
        <v>429.040700</v>
      </c>
      <c r="J1493" s="5">
        <v>1.000000</v>
      </c>
    </row>
    <row r="1494" spans="1:11">
      <c r="A1494" s="22" t="str">
        <f>HYPERLINK("https://app.vivvix.com/360/KMI/IntelliDrive/ApplUI/Pages/CreativePages/CustomReportCreativeDetail.aspx?App=23&amp;ReportView=4&amp;Qid=1696098&amp;Row=1486&amp;Col=1","No Title Assigned - #15285647546")</f>
        <v/>
      </c>
      <c r="B1494" s="0" t="s">
        <v>1576</v>
      </c>
      <c r="C1494" s="0" t="s">
        <v>1577</v>
      </c>
      <c r="D1494" s="0" t="s">
        <v>1577</v>
      </c>
      <c r="E1494" s="0" t="s">
        <v>12</v>
      </c>
      <c r="F1494" s="0" t="s">
        <v>12</v>
      </c>
      <c r="G1494" s="0" t="s">
        <v>204</v>
      </c>
      <c r="I1494" s="5">
        <v>231.385200</v>
      </c>
      <c r="J1494" s="5">
        <v>2.000000</v>
      </c>
    </row>
    <row r="1495" spans="1:11">
      <c r="A1495" s="22" t="str">
        <f>HYPERLINK("https://app.vivvix.com/360/KMI/IntelliDrive/ApplUI/Pages/CreativePages/CustomReportCreativeDetail.aspx?App=23&amp;ReportView=4&amp;Qid=1696098&amp;Row=1487&amp;Col=1","No Title Assigned - #15285647547")</f>
        <v/>
      </c>
      <c r="B1495" s="0" t="s">
        <v>1578</v>
      </c>
      <c r="C1495" s="0" t="s">
        <v>1579</v>
      </c>
      <c r="D1495" s="0" t="s">
        <v>1579</v>
      </c>
      <c r="E1495" s="0" t="s">
        <v>12</v>
      </c>
      <c r="F1495" s="0" t="s">
        <v>12</v>
      </c>
      <c r="G1495" s="0" t="s">
        <v>204</v>
      </c>
      <c r="I1495" s="5">
        <v>115.692600</v>
      </c>
      <c r="J1495" s="5">
        <v>1.000000</v>
      </c>
    </row>
    <row r="1496" spans="1:11">
      <c r="A1496" s="22" t="str">
        <f>HYPERLINK("https://app.vivvix.com/360/KMI/IntelliDrive/ApplUI/Pages/CreativePages/CustomReportCreativeDetail.aspx?App=23&amp;ReportView=4&amp;Qid=1696098&amp;Row=1488&amp;Col=1","No Title Assigned - #15285673377")</f>
        <v/>
      </c>
      <c r="B1496" s="0" t="s">
        <v>1580</v>
      </c>
      <c r="C1496" s="0" t="s">
        <v>1581</v>
      </c>
      <c r="D1496" s="0" t="s">
        <v>1581</v>
      </c>
      <c r="E1496" s="0" t="s">
        <v>12</v>
      </c>
      <c r="F1496" s="0" t="s">
        <v>12</v>
      </c>
      <c r="G1496" s="0" t="s">
        <v>204</v>
      </c>
      <c r="I1496" s="5">
        <v>539.335600</v>
      </c>
      <c r="J1496" s="5">
        <v>1.000000</v>
      </c>
    </row>
    <row r="1497" spans="1:11">
      <c r="A1497" s="22" t="str">
        <f>HYPERLINK("https://app.vivvix.com/360/KMI/IntelliDrive/ApplUI/Pages/CreativePages/CustomReportCreativeDetail.aspx?App=23&amp;ReportView=4&amp;Qid=1696098&amp;Row=1489&amp;Col=1","No Title Assigned - #15285674981")</f>
        <v/>
      </c>
      <c r="B1497" s="0" t="s">
        <v>1582</v>
      </c>
      <c r="C1497" s="0" t="s">
        <v>1583</v>
      </c>
      <c r="D1497" s="0" t="s">
        <v>1583</v>
      </c>
      <c r="E1497" s="0" t="s">
        <v>12</v>
      </c>
      <c r="F1497" s="0" t="s">
        <v>12</v>
      </c>
      <c r="G1497" s="0" t="s">
        <v>204</v>
      </c>
      <c r="I1497" s="5">
        <v>29.766300</v>
      </c>
      <c r="J1497" s="5">
        <v>1.000000</v>
      </c>
    </row>
    <row r="1498" spans="1:11">
      <c r="A1498" s="22" t="str">
        <f>HYPERLINK("https://app.vivvix.com/360/KMI/IntelliDrive/ApplUI/Pages/CreativePages/CustomReportCreativeDetail.aspx?App=23&amp;ReportView=4&amp;Qid=1696098&amp;Row=1490&amp;Col=1","No Title Assigned - #15285689997")</f>
        <v/>
      </c>
      <c r="B1498" s="0" t="s">
        <v>1584</v>
      </c>
      <c r="C1498" s="0" t="s">
        <v>1585</v>
      </c>
      <c r="D1498" s="0" t="s">
        <v>1585</v>
      </c>
      <c r="E1498" s="0" t="s">
        <v>12</v>
      </c>
      <c r="F1498" s="0" t="s">
        <v>12</v>
      </c>
      <c r="G1498" s="0" t="s">
        <v>204</v>
      </c>
      <c r="I1498" s="5">
        <v>38.231600</v>
      </c>
      <c r="J1498" s="5">
        <v>1.000000</v>
      </c>
    </row>
    <row r="1499" spans="1:11">
      <c r="A1499" s="22" t="str">
        <f>HYPERLINK("https://app.vivvix.com/360/KMI/IntelliDrive/ApplUI/Pages/CreativePages/CustomReportCreativeDetail.aspx?App=23&amp;ReportView=4&amp;Qid=1696098&amp;Row=1491&amp;Col=1","No Title Assigned - #15285689998")</f>
        <v/>
      </c>
      <c r="B1499" s="0" t="s">
        <v>1586</v>
      </c>
      <c r="C1499" s="0" t="s">
        <v>1587</v>
      </c>
      <c r="D1499" s="0" t="s">
        <v>1587</v>
      </c>
      <c r="E1499" s="0" t="s">
        <v>12</v>
      </c>
      <c r="F1499" s="0" t="s">
        <v>12</v>
      </c>
      <c r="G1499" s="0" t="s">
        <v>204</v>
      </c>
      <c r="I1499" s="5">
        <v>76.463200</v>
      </c>
      <c r="J1499" s="5">
        <v>2.000000</v>
      </c>
    </row>
    <row r="1500" spans="1:11">
      <c r="A1500" s="22" t="str">
        <f>HYPERLINK("https://app.vivvix.com/360/KMI/IntelliDrive/ApplUI/Pages/CreativePages/CustomReportCreativeDetail.aspx?App=23&amp;ReportView=4&amp;Qid=1696098&amp;Row=1492&amp;Col=1","No Title Assigned - #15285689999")</f>
        <v/>
      </c>
      <c r="B1500" s="0" t="s">
        <v>1588</v>
      </c>
      <c r="C1500" s="0" t="s">
        <v>1589</v>
      </c>
      <c r="D1500" s="0" t="s">
        <v>1589</v>
      </c>
      <c r="E1500" s="0" t="s">
        <v>12</v>
      </c>
      <c r="F1500" s="0" t="s">
        <v>12</v>
      </c>
      <c r="G1500" s="0" t="s">
        <v>204</v>
      </c>
      <c r="I1500" s="5">
        <v>38.231600</v>
      </c>
      <c r="J1500" s="5">
        <v>1.000000</v>
      </c>
    </row>
    <row r="1501" spans="1:11">
      <c r="A1501" s="22" t="str">
        <f>HYPERLINK("https://app.vivvix.com/360/KMI/IntelliDrive/ApplUI/Pages/CreativePages/CustomReportCreativeDetail.aspx?App=23&amp;ReportView=4&amp;Qid=1696098&amp;Row=1493&amp;Col=1","No Title Assigned - #15285727425")</f>
        <v/>
      </c>
      <c r="B1501" s="0" t="s">
        <v>1590</v>
      </c>
      <c r="C1501" s="0" t="s">
        <v>1591</v>
      </c>
      <c r="D1501" s="0" t="s">
        <v>1591</v>
      </c>
      <c r="E1501" s="0" t="s">
        <v>12</v>
      </c>
      <c r="F1501" s="0" t="s">
        <v>12</v>
      </c>
      <c r="G1501" s="0" t="s">
        <v>204</v>
      </c>
      <c r="I1501" s="5">
        <v>2868.981000</v>
      </c>
      <c r="J1501" s="5">
        <v>1.000000</v>
      </c>
    </row>
    <row r="1502" spans="1:11">
      <c r="A1502" s="22" t="str">
        <f>HYPERLINK("https://app.vivvix.com/360/KMI/IntelliDrive/ApplUI/Pages/CreativePages/CustomReportCreativeDetail.aspx?App=23&amp;ReportView=4&amp;Qid=1696098&amp;Row=1494&amp;Col=1","No Title Assigned - #15285764055")</f>
        <v/>
      </c>
      <c r="B1502" s="0" t="s">
        <v>1592</v>
      </c>
      <c r="C1502" s="0" t="s">
        <v>1593</v>
      </c>
      <c r="D1502" s="0" t="s">
        <v>1593</v>
      </c>
      <c r="E1502" s="0" t="s">
        <v>12</v>
      </c>
      <c r="F1502" s="0" t="s">
        <v>12</v>
      </c>
      <c r="G1502" s="0" t="s">
        <v>204</v>
      </c>
      <c r="I1502" s="5">
        <v>11211.398400</v>
      </c>
      <c r="J1502" s="5">
        <v>1.000000</v>
      </c>
    </row>
    <row r="1503" spans="1:11">
      <c r="A1503" s="22" t="str">
        <f>HYPERLINK("https://app.vivvix.com/360/KMI/IntelliDrive/ApplUI/Pages/CreativePages/CustomReportCreativeDetail.aspx?App=23&amp;ReportView=4&amp;Qid=1696098&amp;Row=1495&amp;Col=1","No Title Assigned - #15285771626")</f>
        <v/>
      </c>
      <c r="B1503" s="0" t="s">
        <v>1594</v>
      </c>
      <c r="C1503" s="0" t="s">
        <v>1595</v>
      </c>
      <c r="D1503" s="0" t="s">
        <v>1595</v>
      </c>
      <c r="E1503" s="0" t="s">
        <v>12</v>
      </c>
      <c r="F1503" s="0" t="s">
        <v>12</v>
      </c>
      <c r="G1503" s="0" t="s">
        <v>204</v>
      </c>
      <c r="I1503" s="5">
        <v>421.884300</v>
      </c>
      <c r="J1503" s="5">
        <v>1.000000</v>
      </c>
    </row>
    <row r="1504" spans="1:11">
      <c r="A1504" s="22" t="str">
        <f>HYPERLINK("https://app.vivvix.com/360/KMI/IntelliDrive/ApplUI/Pages/CreativePages/CustomReportCreativeDetail.aspx?App=23&amp;ReportView=4&amp;Qid=1696098&amp;Row=1496&amp;Col=1","No Title Assigned - #15285787044")</f>
        <v/>
      </c>
      <c r="B1504" s="0" t="s">
        <v>1596</v>
      </c>
      <c r="C1504" s="0" t="s">
        <v>1597</v>
      </c>
      <c r="D1504" s="0" t="s">
        <v>1597</v>
      </c>
      <c r="E1504" s="0" t="s">
        <v>12</v>
      </c>
      <c r="F1504" s="0" t="s">
        <v>12</v>
      </c>
      <c r="G1504" s="0" t="s">
        <v>204</v>
      </c>
      <c r="I1504" s="5">
        <v>420.547600</v>
      </c>
      <c r="J1504" s="5">
        <v>11.000000</v>
      </c>
    </row>
    <row r="1505" spans="1:11">
      <c r="A1505" s="22" t="str">
        <f>HYPERLINK("https://app.vivvix.com/360/KMI/IntelliDrive/ApplUI/Pages/CreativePages/CustomReportCreativeDetail.aspx?App=23&amp;ReportView=4&amp;Qid=1696098&amp;Row=1497&amp;Col=1","No Title Assigned - #15285787045")</f>
        <v/>
      </c>
      <c r="B1505" s="0" t="s">
        <v>1598</v>
      </c>
      <c r="C1505" s="0" t="s">
        <v>1599</v>
      </c>
      <c r="D1505" s="0" t="s">
        <v>1599</v>
      </c>
      <c r="E1505" s="0" t="s">
        <v>12</v>
      </c>
      <c r="F1505" s="0" t="s">
        <v>12</v>
      </c>
      <c r="G1505" s="0" t="s">
        <v>204</v>
      </c>
      <c r="I1505" s="5">
        <v>38.231600</v>
      </c>
      <c r="J1505" s="5">
        <v>1.000000</v>
      </c>
    </row>
    <row r="1506" spans="1:11">
      <c r="A1506" s="22" t="str">
        <f>HYPERLINK("https://app.vivvix.com/360/KMI/IntelliDrive/ApplUI/Pages/CreativePages/CustomReportCreativeDetail.aspx?App=23&amp;ReportView=4&amp;Qid=1696098&amp;Row=1498&amp;Col=1","No Title Assigned - #15285832207")</f>
        <v/>
      </c>
      <c r="B1506" s="0" t="s">
        <v>1600</v>
      </c>
      <c r="C1506" s="0" t="s">
        <v>1601</v>
      </c>
      <c r="D1506" s="0" t="s">
        <v>1601</v>
      </c>
      <c r="E1506" s="0" t="s">
        <v>12</v>
      </c>
      <c r="F1506" s="0" t="s">
        <v>12</v>
      </c>
      <c r="G1506" s="0" t="s">
        <v>204</v>
      </c>
      <c r="I1506" s="5">
        <v>3983.278100</v>
      </c>
      <c r="J1506" s="5">
        <v>1.000000</v>
      </c>
    </row>
    <row r="1507" spans="1:11">
      <c r="A1507" s="22" t="str">
        <f>HYPERLINK("https://app.vivvix.com/360/KMI/IntelliDrive/ApplUI/Pages/CreativePages/CustomReportCreativeDetail.aspx?App=23&amp;ReportView=4&amp;Qid=1696098&amp;Row=1499&amp;Col=1","No Title Assigned - #15285846658")</f>
        <v/>
      </c>
      <c r="B1507" s="0" t="s">
        <v>1602</v>
      </c>
      <c r="C1507" s="0" t="s">
        <v>1603</v>
      </c>
      <c r="D1507" s="0" t="s">
        <v>1603</v>
      </c>
      <c r="E1507" s="0" t="s">
        <v>12</v>
      </c>
      <c r="F1507" s="0" t="s">
        <v>12</v>
      </c>
      <c r="G1507" s="0" t="s">
        <v>204</v>
      </c>
      <c r="I1507" s="5">
        <v>238.828200</v>
      </c>
      <c r="J1507" s="5">
        <v>1.000000</v>
      </c>
    </row>
    <row r="1508" spans="1:11">
      <c r="A1508" s="22" t="str">
        <f>HYPERLINK("https://app.vivvix.com/360/KMI/IntelliDrive/ApplUI/Pages/CreativePages/CustomReportCreativeDetail.aspx?App=23&amp;ReportView=4&amp;Qid=1696098&amp;Row=1500&amp;Col=1","No Title Assigned - #15285848623")</f>
        <v/>
      </c>
      <c r="B1508" s="0" t="s">
        <v>1604</v>
      </c>
      <c r="C1508" s="0" t="s">
        <v>1605</v>
      </c>
      <c r="D1508" s="0" t="s">
        <v>1605</v>
      </c>
      <c r="E1508" s="0" t="s">
        <v>12</v>
      </c>
      <c r="F1508" s="0" t="s">
        <v>12</v>
      </c>
      <c r="G1508" s="0" t="s">
        <v>204</v>
      </c>
      <c r="I1508" s="5">
        <v>595.406500</v>
      </c>
      <c r="J1508" s="5">
        <v>1.000000</v>
      </c>
    </row>
    <row r="1509" spans="1:11">
      <c r="A1509" s="22" t="str">
        <f>HYPERLINK("https://app.vivvix.com/360/KMI/IntelliDrive/ApplUI/Pages/CreativePages/CustomReportCreativeDetail.aspx?App=23&amp;ReportView=4&amp;Qid=1696098&amp;Row=1501&amp;Col=1","No Title Assigned - #15285863208")</f>
        <v/>
      </c>
      <c r="B1509" s="0" t="s">
        <v>1606</v>
      </c>
      <c r="C1509" s="0" t="s">
        <v>1607</v>
      </c>
      <c r="D1509" s="0" t="s">
        <v>1607</v>
      </c>
      <c r="E1509" s="0" t="s">
        <v>12</v>
      </c>
      <c r="F1509" s="0" t="s">
        <v>12</v>
      </c>
      <c r="G1509" s="0" t="s">
        <v>204</v>
      </c>
      <c r="I1509" s="5">
        <v>486.530300</v>
      </c>
      <c r="J1509" s="5">
        <v>1.000000</v>
      </c>
    </row>
    <row r="1510" spans="1:11">
      <c r="A1510" s="22" t="str">
        <f>HYPERLINK("https://app.vivvix.com/360/KMI/IntelliDrive/ApplUI/Pages/CreativePages/CustomReportCreativeDetail.aspx?App=23&amp;ReportView=4&amp;Qid=1696098&amp;Row=1502&amp;Col=1","No Title Assigned - #15285871284")</f>
        <v/>
      </c>
      <c r="B1510" s="0" t="s">
        <v>1608</v>
      </c>
      <c r="C1510" s="0" t="s">
        <v>1609</v>
      </c>
      <c r="D1510" s="0" t="s">
        <v>1609</v>
      </c>
      <c r="E1510" s="0" t="s">
        <v>12</v>
      </c>
      <c r="F1510" s="0" t="s">
        <v>12</v>
      </c>
      <c r="G1510" s="0" t="s">
        <v>204</v>
      </c>
      <c r="I1510" s="5">
        <v>38.231600</v>
      </c>
      <c r="J1510" s="5">
        <v>1.000000</v>
      </c>
    </row>
    <row r="1511" spans="1:11">
      <c r="A1511" s="22" t="str">
        <f>HYPERLINK("https://app.vivvix.com/360/KMI/IntelliDrive/ApplUI/Pages/CreativePages/CustomReportCreativeDetail.aspx?App=23&amp;ReportView=4&amp;Qid=1696098&amp;Row=1503&amp;Col=1","No Title Assigned - #15285902269")</f>
        <v/>
      </c>
      <c r="B1511" s="0" t="s">
        <v>1610</v>
      </c>
      <c r="C1511" s="0" t="s">
        <v>1611</v>
      </c>
      <c r="D1511" s="0" t="s">
        <v>1611</v>
      </c>
      <c r="E1511" s="0" t="s">
        <v>12</v>
      </c>
      <c r="F1511" s="0" t="s">
        <v>12</v>
      </c>
      <c r="G1511" s="0" t="s">
        <v>204</v>
      </c>
      <c r="I1511" s="5">
        <v>493.593300</v>
      </c>
      <c r="J1511" s="5">
        <v>1.000000</v>
      </c>
    </row>
    <row r="1512" spans="1:11">
      <c r="A1512" s="22" t="str">
        <f>HYPERLINK("https://app.vivvix.com/360/KMI/IntelliDrive/ApplUI/Pages/CreativePages/CustomReportCreativeDetail.aspx?App=23&amp;ReportView=4&amp;Qid=1696098&amp;Row=1504&amp;Col=1","No Title Assigned - #15285961313")</f>
        <v/>
      </c>
      <c r="B1512" s="0" t="s">
        <v>1612</v>
      </c>
      <c r="C1512" s="0" t="s">
        <v>1613</v>
      </c>
      <c r="D1512" s="0" t="s">
        <v>1613</v>
      </c>
      <c r="E1512" s="0" t="s">
        <v>12</v>
      </c>
      <c r="F1512" s="0" t="s">
        <v>12</v>
      </c>
      <c r="G1512" s="0" t="s">
        <v>204</v>
      </c>
      <c r="I1512" s="5">
        <v>38.231600</v>
      </c>
      <c r="J1512" s="5">
        <v>1.000000</v>
      </c>
    </row>
    <row r="1513" spans="1:11">
      <c r="A1513" s="22" t="str">
        <f>HYPERLINK("https://app.vivvix.com/360/KMI/IntelliDrive/ApplUI/Pages/CreativePages/CustomReportCreativeDetail.aspx?App=23&amp;ReportView=4&amp;Qid=1696098&amp;Row=1505&amp;Col=1","No Title Assigned - #15285994169")</f>
        <v/>
      </c>
      <c r="B1513" s="0" t="s">
        <v>1614</v>
      </c>
      <c r="C1513" s="0" t="s">
        <v>1615</v>
      </c>
      <c r="D1513" s="0" t="s">
        <v>1615</v>
      </c>
      <c r="E1513" s="0" t="s">
        <v>12</v>
      </c>
      <c r="F1513" s="0" t="s">
        <v>12</v>
      </c>
      <c r="G1513" s="0" t="s">
        <v>204</v>
      </c>
      <c r="I1513" s="5">
        <v>38.231600</v>
      </c>
      <c r="J1513" s="5">
        <v>1.000000</v>
      </c>
    </row>
    <row r="1514" spans="1:11">
      <c r="A1514" s="22" t="str">
        <f>HYPERLINK("https://app.vivvix.com/360/KMI/IntelliDrive/ApplUI/Pages/CreativePages/CustomReportCreativeDetail.aspx?App=23&amp;ReportView=4&amp;Qid=1696098&amp;Row=1506&amp;Col=1","No Title Assigned - #15285999427")</f>
        <v/>
      </c>
      <c r="B1514" s="0" t="s">
        <v>1616</v>
      </c>
      <c r="C1514" s="0" t="s">
        <v>1617</v>
      </c>
      <c r="D1514" s="0" t="s">
        <v>1617</v>
      </c>
      <c r="E1514" s="0" t="s">
        <v>12</v>
      </c>
      <c r="F1514" s="0" t="s">
        <v>12</v>
      </c>
      <c r="G1514" s="0" t="s">
        <v>204</v>
      </c>
      <c r="I1514" s="5">
        <v>38.231600</v>
      </c>
      <c r="J1514" s="5">
        <v>1.000000</v>
      </c>
    </row>
    <row r="1515" spans="1:11">
      <c r="A1515" s="22" t="str">
        <f>HYPERLINK("https://app.vivvix.com/360/KMI/IntelliDrive/ApplUI/Pages/CreativePages/CustomReportCreativeDetail.aspx?App=23&amp;ReportView=4&amp;Qid=1696098&amp;Row=1507&amp;Col=1","No Title Assigned - #15285999428")</f>
        <v/>
      </c>
      <c r="B1515" s="0" t="s">
        <v>1618</v>
      </c>
      <c r="C1515" s="0" t="s">
        <v>1619</v>
      </c>
      <c r="D1515" s="0" t="s">
        <v>1619</v>
      </c>
      <c r="E1515" s="0" t="s">
        <v>12</v>
      </c>
      <c r="F1515" s="0" t="s">
        <v>12</v>
      </c>
      <c r="G1515" s="0" t="s">
        <v>204</v>
      </c>
      <c r="I1515" s="5">
        <v>38.231600</v>
      </c>
      <c r="J1515" s="5">
        <v>1.000000</v>
      </c>
    </row>
    <row r="1516" spans="1:11">
      <c r="A1516" s="22" t="str">
        <f>HYPERLINK("https://app.vivvix.com/360/KMI/IntelliDrive/ApplUI/Pages/CreativePages/CustomReportCreativeDetail.aspx?App=23&amp;ReportView=4&amp;Qid=1696098&amp;Row=1508&amp;Col=1","No Title Assigned - #15286001169")</f>
        <v/>
      </c>
      <c r="B1516" s="0" t="s">
        <v>1620</v>
      </c>
      <c r="C1516" s="0" t="s">
        <v>1621</v>
      </c>
      <c r="D1516" s="0" t="s">
        <v>1621</v>
      </c>
      <c r="E1516" s="0" t="s">
        <v>12</v>
      </c>
      <c r="F1516" s="0" t="s">
        <v>12</v>
      </c>
      <c r="G1516" s="0" t="s">
        <v>204</v>
      </c>
      <c r="I1516" s="5">
        <v>38.231600</v>
      </c>
      <c r="J1516" s="5">
        <v>1.000000</v>
      </c>
    </row>
    <row r="1517" spans="1:11">
      <c r="A1517" s="22" t="str">
        <f>HYPERLINK("https://app.vivvix.com/360/KMI/IntelliDrive/ApplUI/Pages/CreativePages/CustomReportCreativeDetail.aspx?App=23&amp;ReportView=4&amp;Qid=1696098&amp;Row=1509&amp;Col=1","No Title Assigned - #15286032852")</f>
        <v/>
      </c>
      <c r="B1517" s="0" t="s">
        <v>1622</v>
      </c>
      <c r="C1517" s="0" t="s">
        <v>1623</v>
      </c>
      <c r="D1517" s="0" t="s">
        <v>1623</v>
      </c>
      <c r="E1517" s="0" t="s">
        <v>12</v>
      </c>
      <c r="F1517" s="0" t="s">
        <v>12</v>
      </c>
      <c r="G1517" s="0" t="s">
        <v>204</v>
      </c>
      <c r="I1517" s="5">
        <v>76.463200</v>
      </c>
      <c r="J1517" s="5">
        <v>2.000000</v>
      </c>
    </row>
    <row r="1518" spans="1:11">
      <c r="A1518" s="22" t="str">
        <f>HYPERLINK("https://app.vivvix.com/360/KMI/IntelliDrive/ApplUI/Pages/CreativePages/CustomReportCreativeDetail.aspx?App=23&amp;ReportView=4&amp;Qid=1696098&amp;Row=1510&amp;Col=1","No Title Assigned - #15286032853")</f>
        <v/>
      </c>
      <c r="B1518" s="0" t="s">
        <v>1624</v>
      </c>
      <c r="C1518" s="0" t="s">
        <v>1625</v>
      </c>
      <c r="D1518" s="0" t="s">
        <v>1625</v>
      </c>
      <c r="E1518" s="0" t="s">
        <v>12</v>
      </c>
      <c r="F1518" s="0" t="s">
        <v>12</v>
      </c>
      <c r="G1518" s="0" t="s">
        <v>204</v>
      </c>
      <c r="I1518" s="5">
        <v>38.231600</v>
      </c>
      <c r="J1518" s="5">
        <v>1.000000</v>
      </c>
    </row>
    <row r="1519" spans="1:11">
      <c r="A1519" s="22" t="str">
        <f>HYPERLINK("https://app.vivvix.com/360/KMI/IntelliDrive/ApplUI/Pages/CreativePages/CustomReportCreativeDetail.aspx?App=23&amp;ReportView=4&amp;Qid=1696098&amp;Row=1511&amp;Col=1","No Title Assigned - #15286032855")</f>
        <v/>
      </c>
      <c r="B1519" s="0" t="s">
        <v>1626</v>
      </c>
      <c r="C1519" s="0" t="s">
        <v>1627</v>
      </c>
      <c r="D1519" s="0" t="s">
        <v>1627</v>
      </c>
      <c r="E1519" s="0" t="s">
        <v>12</v>
      </c>
      <c r="F1519" s="0" t="s">
        <v>12</v>
      </c>
      <c r="G1519" s="0" t="s">
        <v>204</v>
      </c>
      <c r="I1519" s="5">
        <v>38.231600</v>
      </c>
      <c r="J1519" s="5">
        <v>1.000000</v>
      </c>
    </row>
    <row r="1520" spans="1:11">
      <c r="A1520" s="22" t="str">
        <f>HYPERLINK("https://app.vivvix.com/360/KMI/IntelliDrive/ApplUI/Pages/CreativePages/CustomReportCreativeDetail.aspx?App=23&amp;ReportView=4&amp;Qid=1696098&amp;Row=1512&amp;Col=1","No Title Assigned - #15286037292")</f>
        <v/>
      </c>
      <c r="B1520" s="0" t="s">
        <v>1628</v>
      </c>
      <c r="C1520" s="0" t="s">
        <v>1629</v>
      </c>
      <c r="D1520" s="0" t="s">
        <v>1629</v>
      </c>
      <c r="E1520" s="0" t="s">
        <v>12</v>
      </c>
      <c r="F1520" s="0" t="s">
        <v>12</v>
      </c>
      <c r="G1520" s="0" t="s">
        <v>204</v>
      </c>
      <c r="I1520" s="5">
        <v>3983.278100</v>
      </c>
      <c r="J1520" s="5">
        <v>1.000000</v>
      </c>
    </row>
    <row r="1521" spans="1:11">
      <c r="A1521" s="22" t="str">
        <f>HYPERLINK("https://app.vivvix.com/360/KMI/IntelliDrive/ApplUI/Pages/CreativePages/CustomReportCreativeDetail.aspx?App=23&amp;ReportView=4&amp;Qid=1696098&amp;Row=1513&amp;Col=1","No Title Assigned - #15286069337")</f>
        <v/>
      </c>
      <c r="B1521" s="0" t="s">
        <v>1630</v>
      </c>
      <c r="C1521" s="0" t="s">
        <v>1631</v>
      </c>
      <c r="D1521" s="0" t="s">
        <v>1631</v>
      </c>
      <c r="E1521" s="0" t="s">
        <v>12</v>
      </c>
      <c r="F1521" s="0" t="s">
        <v>12</v>
      </c>
      <c r="G1521" s="0" t="s">
        <v>204</v>
      </c>
      <c r="I1521" s="5">
        <v>780.927400</v>
      </c>
      <c r="J1521" s="5">
        <v>1.000000</v>
      </c>
    </row>
    <row r="1522" spans="1:11">
      <c r="A1522" s="22" t="str">
        <f>HYPERLINK("https://app.vivvix.com/360/KMI/IntelliDrive/ApplUI/Pages/CreativePages/CustomReportCreativeDetail.aspx?App=23&amp;ReportView=4&amp;Qid=1696098&amp;Row=1514&amp;Col=1","No Title Assigned - #28598972")</f>
        <v/>
      </c>
      <c r="B1522" s="0" t="s">
        <v>1632</v>
      </c>
      <c r="E1522" s="0" t="s">
        <v>12</v>
      </c>
      <c r="F1522" s="0" t="s">
        <v>12</v>
      </c>
      <c r="G1522" s="0" t="s">
        <v>13</v>
      </c>
      <c r="I1522" s="5">
        <v>4246.000000</v>
      </c>
      <c r="J1522" s="5">
        <v>8.000000</v>
      </c>
    </row>
    <row r="1523" spans="1:11">
      <c r="A1523" s="22" t="str">
        <f>HYPERLINK("https://app.vivvix.com/360/KMI/IntelliDrive/ApplUI/Pages/CreativePages/CustomReportCreativeDetail.aspx?App=23&amp;ReportView=4&amp;Qid=1696098&amp;Row=1515&amp;Col=1","No Title Assigned - #586684295")</f>
        <v/>
      </c>
      <c r="B1523" s="0" t="s">
        <v>1633</v>
      </c>
      <c r="C1523" s="0" t="s">
        <v>1634</v>
      </c>
      <c r="D1523" s="0" t="s">
        <v>1634</v>
      </c>
      <c r="E1523" s="0" t="s">
        <v>12</v>
      </c>
      <c r="F1523" s="0" t="s">
        <v>12</v>
      </c>
      <c r="G1523" s="0" t="s">
        <v>1635</v>
      </c>
      <c r="I1523" s="5">
        <v>526.000000</v>
      </c>
      <c r="J1523" s="5">
        <v>1.000000</v>
      </c>
    </row>
    <row r="1524" spans="1:11">
      <c r="A1524" s="22" t="str">
        <f>HYPERLINK("https://app.vivvix.com/360/KMI/IntelliDrive/ApplUI/Pages/CreativePages/CustomReportCreativeDetail.aspx?App=23&amp;ReportView=4&amp;Qid=1696098&amp;Row=1516&amp;Col=1","No Title Available")</f>
        <v/>
      </c>
      <c r="B1524" s="0" t="s">
        <v>1636</v>
      </c>
      <c r="C1524" s="0" t="s">
        <v>1637</v>
      </c>
      <c r="D1524" s="0" t="s">
        <v>1637</v>
      </c>
      <c r="E1524" s="0" t="s">
        <v>12</v>
      </c>
      <c r="F1524" s="0" t="s">
        <v>12</v>
      </c>
      <c r="G1524" s="0" t="s">
        <v>17</v>
      </c>
      <c r="I1524" s="5">
        <v>3.740000</v>
      </c>
      <c r="J1524" s="5">
        <v>1.000000</v>
      </c>
    </row>
    <row r="1525" spans="1:11">
      <c r="A1525" s="22" t="str">
        <f>HYPERLINK("https://app.vivvix.com/360/KMI/IntelliDrive/ApplUI/Pages/CreativePages/CustomReportCreativeDetail.aspx?App=23&amp;ReportView=4&amp;Qid=1696098&amp;Row=1517&amp;Col=1","No Title Available")</f>
        <v/>
      </c>
      <c r="B1525" s="0" t="s">
        <v>1638</v>
      </c>
      <c r="C1525" s="0" t="s">
        <v>1639</v>
      </c>
      <c r="D1525" s="0" t="s">
        <v>1639</v>
      </c>
      <c r="E1525" s="0" t="s">
        <v>12</v>
      </c>
      <c r="F1525" s="0" t="s">
        <v>12</v>
      </c>
      <c r="G1525" s="0" t="s">
        <v>17</v>
      </c>
      <c r="I1525" s="5">
        <v>3.740000</v>
      </c>
      <c r="J1525" s="5">
        <v>1.000000</v>
      </c>
    </row>
    <row r="1526" spans="1:11">
      <c r="A1526" s="22" t="str">
        <f>HYPERLINK("https://app.vivvix.com/360/KMI/IntelliDrive/ApplUI/Pages/CreativePages/CustomReportCreativeDetail.aspx?App=23&amp;ReportView=4&amp;Qid=1696098&amp;Row=1518&amp;Col=1","No Title Available")</f>
        <v/>
      </c>
      <c r="B1526" s="0" t="s">
        <v>1640</v>
      </c>
      <c r="C1526" s="0" t="s">
        <v>1641</v>
      </c>
      <c r="D1526" s="0" t="s">
        <v>1641</v>
      </c>
      <c r="E1526" s="0" t="s">
        <v>12</v>
      </c>
      <c r="F1526" s="0" t="s">
        <v>12</v>
      </c>
      <c r="G1526" s="0" t="s">
        <v>17</v>
      </c>
      <c r="I1526" s="5">
        <v>8.584000</v>
      </c>
      <c r="J1526" s="5">
        <v>2.000000</v>
      </c>
    </row>
    <row r="1527" spans="1:11">
      <c r="A1527" s="22" t="str">
        <f>HYPERLINK("https://app.vivvix.com/360/KMI/IntelliDrive/ApplUI/Pages/CreativePages/CustomReportCreativeDetail.aspx?App=23&amp;ReportView=4&amp;Qid=1696098&amp;Row=1519&amp;Col=1","No Title Available")</f>
        <v/>
      </c>
      <c r="B1527" s="0" t="s">
        <v>1642</v>
      </c>
      <c r="C1527" s="0" t="s">
        <v>1643</v>
      </c>
      <c r="D1527" s="0" t="s">
        <v>1643</v>
      </c>
      <c r="E1527" s="0" t="s">
        <v>12</v>
      </c>
      <c r="F1527" s="0" t="s">
        <v>12</v>
      </c>
      <c r="G1527" s="0" t="s">
        <v>17</v>
      </c>
      <c r="I1527" s="5">
        <v>9.688000</v>
      </c>
      <c r="J1527" s="5">
        <v>2.000000</v>
      </c>
    </row>
    <row r="1528" spans="1:11">
      <c r="A1528" s="22" t="str">
        <f>HYPERLINK("https://app.vivvix.com/360/KMI/IntelliDrive/ApplUI/Pages/CreativePages/CustomReportCreativeDetail.aspx?App=23&amp;ReportView=4&amp;Qid=1696098&amp;Row=1520&amp;Col=1","No Title Available")</f>
        <v/>
      </c>
      <c r="B1528" s="0" t="s">
        <v>1644</v>
      </c>
      <c r="C1528" s="0" t="s">
        <v>1645</v>
      </c>
      <c r="D1528" s="0" t="s">
        <v>1645</v>
      </c>
      <c r="E1528" s="0" t="s">
        <v>12</v>
      </c>
      <c r="F1528" s="0" t="s">
        <v>12</v>
      </c>
      <c r="G1528" s="0" t="s">
        <v>17</v>
      </c>
      <c r="I1528" s="5">
        <v>29.064000</v>
      </c>
      <c r="J1528" s="5">
        <v>6.000000</v>
      </c>
    </row>
    <row r="1529" spans="1:11">
      <c r="A1529" s="22" t="str">
        <f>HYPERLINK("https://app.vivvix.com/360/KMI/IntelliDrive/ApplUI/Pages/CreativePages/CustomReportCreativeDetail.aspx?App=23&amp;ReportView=4&amp;Qid=1696098&amp;Row=1521&amp;Col=1","No Title Available")</f>
        <v/>
      </c>
      <c r="B1529" s="0" t="s">
        <v>1646</v>
      </c>
      <c r="C1529" s="0" t="s">
        <v>1647</v>
      </c>
      <c r="D1529" s="0" t="s">
        <v>1647</v>
      </c>
      <c r="E1529" s="0" t="s">
        <v>12</v>
      </c>
      <c r="F1529" s="0" t="s">
        <v>12</v>
      </c>
      <c r="G1529" s="0" t="s">
        <v>17</v>
      </c>
      <c r="I1529" s="5">
        <v>42424.863000</v>
      </c>
      <c r="J1529" s="5">
        <v>1.000000</v>
      </c>
    </row>
    <row r="1530" spans="1:11">
      <c r="A1530" s="22" t="str">
        <f>HYPERLINK("https://app.vivvix.com/360/KMI/IntelliDrive/ApplUI/Pages/CreativePages/CustomReportCreativeDetail.aspx?App=23&amp;ReportView=4&amp;Qid=1696098&amp;Row=1522&amp;Col=1","Perfect Escape")</f>
        <v/>
      </c>
      <c r="B1530" s="0" t="s">
        <v>1648</v>
      </c>
      <c r="E1530" s="0" t="s">
        <v>12</v>
      </c>
      <c r="F1530" s="0" t="s">
        <v>12</v>
      </c>
      <c r="G1530" s="0" t="s">
        <v>17</v>
      </c>
      <c r="I1530" s="5">
        <v>24.857000</v>
      </c>
      <c r="J1530" s="5">
        <v>4.000000</v>
      </c>
    </row>
    <row r="1531" spans="1:11">
      <c r="A1531" s="22" t="str">
        <f>HYPERLINK("https://app.vivvix.com/360/KMI/IntelliDrive/ApplUI/Pages/CreativePages/CustomReportCreativeDetail.aspx?App=23&amp;ReportView=4&amp;Qid=1696098&amp;Row=1523&amp;Col=1","Perfect Place")</f>
        <v/>
      </c>
      <c r="B1531" s="0" t="s">
        <v>1649</v>
      </c>
      <c r="E1531" s="0" t="s">
        <v>12</v>
      </c>
      <c r="F1531" s="0" t="s">
        <v>12</v>
      </c>
      <c r="G1531" s="0" t="s">
        <v>17</v>
      </c>
      <c r="I1531" s="5">
        <v>40.461000</v>
      </c>
      <c r="J1531" s="5">
        <v>6.000000</v>
      </c>
    </row>
    <row r="1532" spans="1:11">
      <c r="A1532" s="22" t="str">
        <f>HYPERLINK("https://app.vivvix.com/360/KMI/IntelliDrive/ApplUI/Pages/CreativePages/CustomReportCreativeDetail.aspx?App=23&amp;ReportView=4&amp;Qid=1696098&amp;Row=1524&amp;Col=1","Perfect Stay")</f>
        <v/>
      </c>
      <c r="B1532" s="0" t="s">
        <v>1650</v>
      </c>
      <c r="E1532" s="0" t="s">
        <v>12</v>
      </c>
      <c r="F1532" s="0" t="s">
        <v>12</v>
      </c>
      <c r="G1532" s="0" t="s">
        <v>20</v>
      </c>
      <c r="I1532" s="5">
        <v>494950.601000</v>
      </c>
      <c r="J1532" s="5">
        <v>5190.000000</v>
      </c>
    </row>
    <row r="1533" spans="1:11">
      <c r="A1533" s="22" t="str">
        <f>HYPERLINK("https://app.vivvix.com/360/KMI/IntelliDrive/ApplUI/Pages/CreativePages/CustomReportCreativeDetail.aspx?App=23&amp;ReportView=4&amp;Qid=1696098&amp;Row=1525&amp;Col=1","Perfect Stay")</f>
        <v/>
      </c>
      <c r="B1533" s="0" t="s">
        <v>1650</v>
      </c>
      <c r="C1533" s="0" t="s">
        <v>1651</v>
      </c>
      <c r="D1533" s="0" t="s">
        <v>1651</v>
      </c>
      <c r="E1533" s="0" t="s">
        <v>12</v>
      </c>
      <c r="F1533" s="0" t="s">
        <v>12</v>
      </c>
      <c r="G1533" s="0" t="s">
        <v>17</v>
      </c>
      <c r="I1533" s="5">
        <v>16387.872000</v>
      </c>
      <c r="J1533" s="5">
        <v>4197.000000</v>
      </c>
    </row>
    <row r="1534" spans="1:11">
      <c r="A1534" s="22" t="str">
        <f>HYPERLINK("https://app.vivvix.com/360/KMI/IntelliDrive/ApplUI/Pages/CreativePages/CustomReportCreativeDetail.aspx?App=23&amp;ReportView=4&amp;Qid=1696098&amp;Row=1526&amp;Col=1","Relax")</f>
        <v/>
      </c>
      <c r="B1534" s="0" t="s">
        <v>1652</v>
      </c>
      <c r="E1534" s="0" t="s">
        <v>12</v>
      </c>
      <c r="F1534" s="0" t="s">
        <v>12</v>
      </c>
      <c r="G1534" s="0" t="s">
        <v>17</v>
      </c>
      <c r="I1534" s="5">
        <v>74.257000</v>
      </c>
      <c r="J1534" s="5">
        <v>8.000000</v>
      </c>
    </row>
    <row r="1535" spans="1:11">
      <c r="A1535" s="22" t="str">
        <f>HYPERLINK("https://app.vivvix.com/360/KMI/IntelliDrive/ApplUI/Pages/CreativePages/CustomReportCreativeDetail.aspx?App=23&amp;ReportView=4&amp;Qid=1696098&amp;Row=1527&amp;Col=1","Relax And Enjoy")</f>
        <v/>
      </c>
      <c r="B1535" s="0" t="s">
        <v>1653</v>
      </c>
      <c r="E1535" s="0" t="s">
        <v>12</v>
      </c>
      <c r="F1535" s="0" t="s">
        <v>12</v>
      </c>
      <c r="G1535" s="0" t="s">
        <v>17</v>
      </c>
      <c r="I1535" s="5">
        <v>90.510000</v>
      </c>
      <c r="J1535" s="5">
        <v>15.000000</v>
      </c>
    </row>
    <row r="1536" spans="1:11">
      <c r="A1536" s="22" t="str">
        <f>HYPERLINK("https://app.vivvix.com/360/KMI/IntelliDrive/ApplUI/Pages/CreativePages/CustomReportCreativeDetail.aspx?App=23&amp;ReportView=4&amp;Qid=1696098&amp;Row=1528&amp;Col=1","Relax Moment")</f>
        <v/>
      </c>
      <c r="B1536" s="0" t="s">
        <v>1654</v>
      </c>
      <c r="E1536" s="0" t="s">
        <v>12</v>
      </c>
      <c r="F1536" s="0" t="s">
        <v>12</v>
      </c>
      <c r="G1536" s="0" t="s">
        <v>17</v>
      </c>
      <c r="I1536" s="5">
        <v>15.937000</v>
      </c>
      <c r="J1536" s="5">
        <v>3.000000</v>
      </c>
    </row>
    <row r="1537" spans="1:11">
      <c r="A1537" s="22" t="str">
        <f>HYPERLINK("https://app.vivvix.com/360/KMI/IntelliDrive/ApplUI/Pages/CreativePages/CustomReportCreativeDetail.aspx?App=23&amp;ReportView=4&amp;Qid=1696098&amp;Row=1529&amp;Col=1","Relax Time")</f>
        <v/>
      </c>
      <c r="B1537" s="0" t="s">
        <v>1655</v>
      </c>
      <c r="E1537" s="0" t="s">
        <v>12</v>
      </c>
      <c r="F1537" s="0" t="s">
        <v>12</v>
      </c>
      <c r="G1537" s="0" t="s">
        <v>17</v>
      </c>
      <c r="I1537" s="5">
        <v>152.735000</v>
      </c>
      <c r="J1537" s="5">
        <v>25.000000</v>
      </c>
    </row>
    <row r="1538" spans="1:11">
      <c r="A1538" s="22" t="str">
        <f>HYPERLINK("https://app.vivvix.com/360/KMI/IntelliDrive/ApplUI/Pages/CreativePages/CustomReportCreativeDetail.aspx?App=23&amp;ReportView=4&amp;Qid=1696098&amp;Row=1530&amp;Col=1","Service Overview 181")</f>
        <v/>
      </c>
      <c r="B1538" s="0" t="s">
        <v>1656</v>
      </c>
      <c r="C1538" s="0" t="s">
        <v>1657</v>
      </c>
      <c r="D1538" s="0" t="s">
        <v>1657</v>
      </c>
      <c r="E1538" s="0" t="s">
        <v>12</v>
      </c>
      <c r="F1538" s="0" t="s">
        <v>12</v>
      </c>
      <c r="G1538" s="0" t="s">
        <v>13</v>
      </c>
      <c r="I1538" s="5">
        <v>913341.000000</v>
      </c>
      <c r="J1538" s="5">
        <v>402.000000</v>
      </c>
    </row>
    <row r="1539" spans="1:11">
      <c r="A1539" s="22" t="str">
        <f>HYPERLINK("https://app.vivvix.com/360/KMI/IntelliDrive/ApplUI/Pages/CreativePages/CustomReportCreativeDetail.aspx?App=23&amp;ReportView=4&amp;Qid=1696098&amp;Row=1531&amp;Col=1","Service Overview 181")</f>
        <v/>
      </c>
      <c r="B1539" s="0" t="s">
        <v>1656</v>
      </c>
      <c r="C1539" s="0" t="s">
        <v>1657</v>
      </c>
      <c r="D1539" s="0" t="s">
        <v>1657</v>
      </c>
      <c r="E1539" s="0" t="s">
        <v>12</v>
      </c>
      <c r="F1539" s="0" t="s">
        <v>12</v>
      </c>
      <c r="G1539" s="0" t="s">
        <v>14</v>
      </c>
      <c r="I1539" s="5">
        <v>1015900.000000</v>
      </c>
      <c r="J1539" s="5">
        <v>32.000000</v>
      </c>
    </row>
    <row r="1540" spans="1:11">
      <c r="A1540" s="22" t="str">
        <f>HYPERLINK("https://app.vivvix.com/360/KMI/IntelliDrive/ApplUI/Pages/CreativePages/CustomReportCreativeDetail.aspx?App=23&amp;ReportView=4&amp;Qid=1696098&amp;Row=1532&amp;Col=1","Service Overview 181")</f>
        <v/>
      </c>
      <c r="B1540" s="0" t="s">
        <v>1656</v>
      </c>
      <c r="C1540" s="0" t="s">
        <v>1657</v>
      </c>
      <c r="D1540" s="0" t="s">
        <v>1657</v>
      </c>
      <c r="E1540" s="0" t="s">
        <v>12</v>
      </c>
      <c r="F1540" s="0" t="s">
        <v>12</v>
      </c>
      <c r="G1540" s="0" t="s">
        <v>15</v>
      </c>
      <c r="I1540" s="5">
        <v>37.000000</v>
      </c>
      <c r="J1540" s="5">
        <v>2.000000</v>
      </c>
    </row>
    <row r="1541" spans="1:11">
      <c r="A1541" s="22" t="str">
        <f>HYPERLINK("https://app.vivvix.com/360/KMI/IntelliDrive/ApplUI/Pages/CreativePages/CustomReportCreativeDetail.aspx?App=23&amp;ReportView=4&amp;Qid=1696098&amp;Row=1533&amp;Col=1","Service Overview 215")</f>
        <v/>
      </c>
      <c r="B1541" s="0" t="s">
        <v>1658</v>
      </c>
      <c r="C1541" s="0" t="s">
        <v>1659</v>
      </c>
      <c r="D1541" s="0" t="s">
        <v>1659</v>
      </c>
      <c r="E1541" s="0" t="s">
        <v>12</v>
      </c>
      <c r="F1541" s="0" t="s">
        <v>12</v>
      </c>
      <c r="G1541" s="0" t="s">
        <v>13</v>
      </c>
      <c r="I1541" s="5">
        <v>567.000000</v>
      </c>
      <c r="J1541" s="5">
        <v>1.000000</v>
      </c>
    </row>
    <row r="1542" spans="1:11">
      <c r="A1542" s="22" t="str">
        <f>HYPERLINK("https://app.vivvix.com/360/KMI/IntelliDrive/ApplUI/Pages/CreativePages/CustomReportCreativeDetail.aspx?App=23&amp;ReportView=4&amp;Qid=1696098&amp;Row=1534&amp;Col=1","Service Overview 263")</f>
        <v/>
      </c>
      <c r="B1542" s="0" t="s">
        <v>1660</v>
      </c>
      <c r="C1542" s="0" t="s">
        <v>1661</v>
      </c>
      <c r="D1542" s="0" t="s">
        <v>1661</v>
      </c>
      <c r="E1542" s="0" t="s">
        <v>12</v>
      </c>
      <c r="F1542" s="0" t="s">
        <v>12</v>
      </c>
      <c r="G1542" s="0" t="s">
        <v>13</v>
      </c>
      <c r="I1542" s="5">
        <v>15738.000000</v>
      </c>
      <c r="J1542" s="5">
        <v>35.000000</v>
      </c>
    </row>
    <row r="1543" spans="1:11">
      <c r="A1543" s="22" t="str">
        <f>HYPERLINK("https://app.vivvix.com/360/KMI/IntelliDrive/ApplUI/Pages/CreativePages/CustomReportCreativeDetail.aspx?App=23&amp;ReportView=4&amp;Qid=1696098&amp;Row=1535&amp;Col=1","Service Overview 274")</f>
        <v/>
      </c>
      <c r="B1543" s="0" t="s">
        <v>1662</v>
      </c>
      <c r="C1543" s="0" t="s">
        <v>1663</v>
      </c>
      <c r="D1543" s="0" t="s">
        <v>1663</v>
      </c>
      <c r="E1543" s="0" t="s">
        <v>12</v>
      </c>
      <c r="F1543" s="0" t="s">
        <v>12</v>
      </c>
      <c r="G1543" s="0" t="s">
        <v>13</v>
      </c>
      <c r="I1543" s="5">
        <v>765.000000</v>
      </c>
      <c r="J1543" s="5">
        <v>2.000000</v>
      </c>
    </row>
    <row r="1544" spans="1:11">
      <c r="A1544" s="22" t="str">
        <f>HYPERLINK("https://app.vivvix.com/360/KMI/IntelliDrive/ApplUI/Pages/CreativePages/CustomReportCreativeDetail.aspx?App=23&amp;ReportView=4&amp;Qid=1696098&amp;Row=1536&amp;Col=1","so many Choices")</f>
        <v/>
      </c>
      <c r="B1544" s="0" t="s">
        <v>1664</v>
      </c>
      <c r="C1544" s="0" t="s">
        <v>1665</v>
      </c>
      <c r="D1544" s="0" t="s">
        <v>1665</v>
      </c>
      <c r="E1544" s="0" t="s">
        <v>12</v>
      </c>
      <c r="F1544" s="0" t="s">
        <v>12</v>
      </c>
      <c r="G1544" s="0" t="s">
        <v>14</v>
      </c>
      <c r="I1544" s="5">
        <v>413621.000000</v>
      </c>
      <c r="J1544" s="5">
        <v>146.000000</v>
      </c>
    </row>
    <row r="1545" spans="1:11">
      <c r="A1545" s="22" t="str">
        <f>HYPERLINK("https://app.vivvix.com/360/KMI/IntelliDrive/ApplUI/Pages/CreativePages/CustomReportCreativeDetail.aspx?App=23&amp;ReportView=4&amp;Qid=1696098&amp;Row=1537&amp;Col=1","so many Choices")</f>
        <v/>
      </c>
      <c r="B1545" s="0" t="s">
        <v>1664</v>
      </c>
      <c r="C1545" s="0" t="s">
        <v>1665</v>
      </c>
      <c r="D1545" s="0" t="s">
        <v>1665</v>
      </c>
      <c r="E1545" s="0" t="s">
        <v>12</v>
      </c>
      <c r="F1545" s="0" t="s">
        <v>12</v>
      </c>
      <c r="G1545" s="0" t="s">
        <v>13</v>
      </c>
      <c r="I1545" s="5">
        <v>2724296.000000</v>
      </c>
      <c r="J1545" s="5">
        <v>2386.000000</v>
      </c>
    </row>
    <row r="1546" spans="1:11">
      <c r="A1546" s="22" t="str">
        <f>HYPERLINK("https://app.vivvix.com/360/KMI/IntelliDrive/ApplUI/Pages/CreativePages/CustomReportCreativeDetail.aspx?App=23&amp;ReportView=4&amp;Qid=1696098&amp;Row=1538&amp;Col=1","so many Choices")</f>
        <v/>
      </c>
      <c r="B1546" s="0" t="s">
        <v>1664</v>
      </c>
      <c r="C1546" s="0" t="s">
        <v>1665</v>
      </c>
      <c r="D1546" s="0" t="s">
        <v>1665</v>
      </c>
      <c r="E1546" s="0" t="s">
        <v>12</v>
      </c>
      <c r="F1546" s="0" t="s">
        <v>12</v>
      </c>
      <c r="G1546" s="0" t="s">
        <v>15</v>
      </c>
      <c r="I1546" s="5">
        <v>68.000000</v>
      </c>
      <c r="J1546" s="5">
        <v>9.000000</v>
      </c>
    </row>
    <row r="1547" spans="1:11">
      <c r="A1547" s="22" t="str">
        <f>HYPERLINK("https://app.vivvix.com/360/KMI/IntelliDrive/ApplUI/Pages/CreativePages/CustomReportCreativeDetail.aspx?App=23&amp;ReportView=4&amp;Qid=1696098&amp;Row=1539&amp;Col=1","So Many Choices")</f>
        <v/>
      </c>
      <c r="B1547" s="0" t="s">
        <v>1666</v>
      </c>
      <c r="C1547" s="0" t="s">
        <v>1667</v>
      </c>
      <c r="D1547" s="0" t="s">
        <v>1667</v>
      </c>
      <c r="E1547" s="0" t="s">
        <v>12</v>
      </c>
      <c r="F1547" s="0" t="s">
        <v>12</v>
      </c>
      <c r="G1547" s="0" t="s">
        <v>13</v>
      </c>
      <c r="I1547" s="5">
        <v>71979.000000</v>
      </c>
      <c r="J1547" s="5">
        <v>82.000000</v>
      </c>
    </row>
    <row r="1548" spans="1:11">
      <c r="A1548" s="22" t="str">
        <f>HYPERLINK("https://app.vivvix.com/360/KMI/IntelliDrive/ApplUI/Pages/CreativePages/CustomReportCreativeDetail.aspx?App=23&amp;ReportView=4&amp;Qid=1696098&amp;Row=1540&amp;Col=1","So Many Choices")</f>
        <v/>
      </c>
      <c r="B1548" s="0" t="s">
        <v>1666</v>
      </c>
      <c r="C1548" s="0" t="s">
        <v>1667</v>
      </c>
      <c r="D1548" s="0" t="s">
        <v>1667</v>
      </c>
      <c r="E1548" s="0" t="s">
        <v>12</v>
      </c>
      <c r="F1548" s="0" t="s">
        <v>12</v>
      </c>
      <c r="G1548" s="0" t="s">
        <v>14</v>
      </c>
      <c r="I1548" s="5">
        <v>345272.000000</v>
      </c>
      <c r="J1548" s="5">
        <v>32.000000</v>
      </c>
    </row>
    <row r="1549" spans="1:11">
      <c r="A1549" s="22" t="str">
        <f>HYPERLINK("https://app.vivvix.com/360/KMI/IntelliDrive/ApplUI/Pages/CreativePages/CustomReportCreativeDetail.aspx?App=23&amp;ReportView=4&amp;Qid=1696098&amp;Row=1541&amp;Col=1","So Many Choices")</f>
        <v/>
      </c>
      <c r="B1549" s="0" t="s">
        <v>1666</v>
      </c>
      <c r="C1549" s="0" t="s">
        <v>1667</v>
      </c>
      <c r="D1549" s="0" t="s">
        <v>1667</v>
      </c>
      <c r="E1549" s="0" t="s">
        <v>12</v>
      </c>
      <c r="F1549" s="0" t="s">
        <v>12</v>
      </c>
      <c r="G1549" s="0" t="s">
        <v>15</v>
      </c>
      <c r="I1549" s="5">
        <v>8.000000</v>
      </c>
      <c r="J1549" s="5">
        <v>1.000000</v>
      </c>
    </row>
    <row r="1550" spans="1:11">
      <c r="A1550" s="22" t="str">
        <f>HYPERLINK("https://app.vivvix.com/360/KMI/IntelliDrive/ApplUI/Pages/CreativePages/CustomReportCreativeDetail.aspx?App=23&amp;ReportView=4&amp;Qid=1696098&amp;Row=1542&amp;Col=1","So Many Choices")</f>
        <v/>
      </c>
      <c r="B1550" s="0" t="s">
        <v>1668</v>
      </c>
      <c r="C1550" s="0" t="s">
        <v>1669</v>
      </c>
      <c r="D1550" s="0" t="s">
        <v>1669</v>
      </c>
      <c r="E1550" s="0" t="s">
        <v>12</v>
      </c>
      <c r="F1550" s="0" t="s">
        <v>12</v>
      </c>
      <c r="G1550" s="0" t="s">
        <v>15</v>
      </c>
      <c r="I1550" s="5">
        <v>6409.000000</v>
      </c>
      <c r="J1550" s="5">
        <v>64.000000</v>
      </c>
    </row>
    <row r="1551" spans="1:11">
      <c r="A1551" s="22" t="str">
        <f>HYPERLINK("https://app.vivvix.com/360/KMI/IntelliDrive/ApplUI/Pages/CreativePages/CustomReportCreativeDetail.aspx?App=23&amp;ReportView=4&amp;Qid=1696098&amp;Row=1543&amp;Col=1","So Many Choices")</f>
        <v/>
      </c>
      <c r="B1551" s="0" t="s">
        <v>1668</v>
      </c>
      <c r="C1551" s="0" t="s">
        <v>1669</v>
      </c>
      <c r="D1551" s="0" t="s">
        <v>1669</v>
      </c>
      <c r="E1551" s="0" t="s">
        <v>12</v>
      </c>
      <c r="F1551" s="0" t="s">
        <v>12</v>
      </c>
      <c r="G1551" s="0" t="s">
        <v>13</v>
      </c>
      <c r="I1551" s="5">
        <v>372422.000000</v>
      </c>
      <c r="J1551" s="5">
        <v>163.000000</v>
      </c>
    </row>
    <row r="1552" spans="1:11">
      <c r="A1552" s="22" t="str">
        <f>HYPERLINK("https://app.vivvix.com/360/KMI/IntelliDrive/ApplUI/Pages/CreativePages/CustomReportCreativeDetail.aspx?App=23&amp;ReportView=4&amp;Qid=1696098&amp;Row=1544&amp;Col=1","So Many Choices")</f>
        <v/>
      </c>
      <c r="B1552" s="0" t="s">
        <v>1668</v>
      </c>
      <c r="C1552" s="0" t="s">
        <v>1669</v>
      </c>
      <c r="D1552" s="0" t="s">
        <v>1669</v>
      </c>
      <c r="E1552" s="0" t="s">
        <v>12</v>
      </c>
      <c r="F1552" s="0" t="s">
        <v>12</v>
      </c>
      <c r="G1552" s="0" t="s">
        <v>14</v>
      </c>
      <c r="I1552" s="5">
        <v>200528.000000</v>
      </c>
      <c r="J1552" s="5">
        <v>11.000000</v>
      </c>
    </row>
    <row r="1553" spans="1:11">
      <c r="A1553" s="22" t="str">
        <f>HYPERLINK("https://app.vivvix.com/360/KMI/IntelliDrive/ApplUI/Pages/CreativePages/CustomReportCreativeDetail.aspx?App=23&amp;ReportView=4&amp;Qid=1696098&amp;Row=1545&amp;Col=1","so many Choices 2")</f>
        <v/>
      </c>
      <c r="B1553" s="0" t="s">
        <v>1670</v>
      </c>
      <c r="C1553" s="0" t="s">
        <v>1671</v>
      </c>
      <c r="D1553" s="0" t="s">
        <v>1671</v>
      </c>
      <c r="E1553" s="0" t="s">
        <v>12</v>
      </c>
      <c r="F1553" s="0" t="s">
        <v>12</v>
      </c>
      <c r="G1553" s="0" t="s">
        <v>13</v>
      </c>
      <c r="I1553" s="5">
        <v>390386.000000</v>
      </c>
      <c r="J1553" s="5">
        <v>422.000000</v>
      </c>
    </row>
    <row r="1554" spans="1:11">
      <c r="A1554" s="22" t="str">
        <f>HYPERLINK("https://app.vivvix.com/360/KMI/IntelliDrive/ApplUI/Pages/CreativePages/CustomReportCreativeDetail.aspx?App=23&amp;ReportView=4&amp;Qid=1696098&amp;Row=1546&amp;Col=1","so many Choices 2")</f>
        <v/>
      </c>
      <c r="B1554" s="0" t="s">
        <v>1670</v>
      </c>
      <c r="C1554" s="0" t="s">
        <v>1671</v>
      </c>
      <c r="D1554" s="0" t="s">
        <v>1671</v>
      </c>
      <c r="E1554" s="0" t="s">
        <v>12</v>
      </c>
      <c r="F1554" s="0" t="s">
        <v>12</v>
      </c>
      <c r="G1554" s="0" t="s">
        <v>15</v>
      </c>
      <c r="I1554" s="5">
        <v>3671.000000</v>
      </c>
      <c r="J1554" s="5">
        <v>106.000000</v>
      </c>
    </row>
    <row r="1555" spans="1:11">
      <c r="A1555" s="22" t="str">
        <f>HYPERLINK("https://app.vivvix.com/360/KMI/IntelliDrive/ApplUI/Pages/CreativePages/CustomReportCreativeDetail.aspx?App=23&amp;ReportView=4&amp;Qid=1696098&amp;Row=1547&amp;Col=1","so many Choices 2")</f>
        <v/>
      </c>
      <c r="B1555" s="0" t="s">
        <v>1670</v>
      </c>
      <c r="C1555" s="0" t="s">
        <v>1671</v>
      </c>
      <c r="D1555" s="0" t="s">
        <v>1671</v>
      </c>
      <c r="E1555" s="0" t="s">
        <v>12</v>
      </c>
      <c r="F1555" s="0" t="s">
        <v>12</v>
      </c>
      <c r="G1555" s="0" t="s">
        <v>14</v>
      </c>
      <c r="I1555" s="5">
        <v>706643.000000</v>
      </c>
      <c r="J1555" s="5">
        <v>70.000000</v>
      </c>
    </row>
    <row r="1556" spans="1:11">
      <c r="A1556" s="22" t="str">
        <f>HYPERLINK("https://app.vivvix.com/360/KMI/IntelliDrive/ApplUI/Pages/CreativePages/CustomReportCreativeDetail.aspx?App=23&amp;ReportView=4&amp;Qid=1696098&amp;Row=1548&amp;Col=1","so many choices are available")</f>
        <v/>
      </c>
      <c r="B1556" s="0" t="s">
        <v>1672</v>
      </c>
      <c r="C1556" s="0" t="s">
        <v>1673</v>
      </c>
      <c r="D1556" s="0" t="s">
        <v>1673</v>
      </c>
      <c r="E1556" s="0" t="s">
        <v>12</v>
      </c>
      <c r="F1556" s="0" t="s">
        <v>12</v>
      </c>
      <c r="G1556" s="0" t="s">
        <v>13</v>
      </c>
      <c r="I1556" s="5">
        <v>3380289.000000</v>
      </c>
      <c r="J1556" s="5">
        <v>3327.000000</v>
      </c>
    </row>
    <row r="1557" spans="1:11">
      <c r="A1557" s="22" t="str">
        <f>HYPERLINK("https://app.vivvix.com/360/KMI/IntelliDrive/ApplUI/Pages/CreativePages/CustomReportCreativeDetail.aspx?App=23&amp;ReportView=4&amp;Qid=1696098&amp;Row=1549&amp;Col=1","so many choices are available")</f>
        <v/>
      </c>
      <c r="B1557" s="0" t="s">
        <v>1672</v>
      </c>
      <c r="C1557" s="0" t="s">
        <v>1673</v>
      </c>
      <c r="D1557" s="0" t="s">
        <v>1673</v>
      </c>
      <c r="E1557" s="0" t="s">
        <v>12</v>
      </c>
      <c r="F1557" s="0" t="s">
        <v>12</v>
      </c>
      <c r="G1557" s="0" t="s">
        <v>14</v>
      </c>
      <c r="I1557" s="5">
        <v>468503.000000</v>
      </c>
      <c r="J1557" s="5">
        <v>130.000000</v>
      </c>
    </row>
    <row r="1558" spans="1:11">
      <c r="A1558" s="22" t="str">
        <f>HYPERLINK("https://app.vivvix.com/360/KMI/IntelliDrive/ApplUI/Pages/CreativePages/CustomReportCreativeDetail.aspx?App=23&amp;ReportView=4&amp;Qid=1696098&amp;Row=1550&amp;Col=1","so many choices are available")</f>
        <v/>
      </c>
      <c r="B1558" s="0" t="s">
        <v>1672</v>
      </c>
      <c r="C1558" s="0" t="s">
        <v>1673</v>
      </c>
      <c r="D1558" s="0" t="s">
        <v>1673</v>
      </c>
      <c r="E1558" s="0" t="s">
        <v>12</v>
      </c>
      <c r="F1558" s="0" t="s">
        <v>12</v>
      </c>
      <c r="G1558" s="0" t="s">
        <v>15</v>
      </c>
      <c r="I1558" s="5">
        <v>1023.000000</v>
      </c>
      <c r="J1558" s="5">
        <v>18.000000</v>
      </c>
    </row>
    <row r="1559" spans="1:11">
      <c r="A1559" s="22" t="str">
        <f>HYPERLINK("https://app.vivvix.com/360/KMI/IntelliDrive/ApplUI/Pages/CreativePages/CustomReportCreativeDetail.aspx?App=23&amp;ReportView=4&amp;Qid=1696098&amp;Row=1551&amp;Col=1","so many choices are available 2")</f>
        <v/>
      </c>
      <c r="B1559" s="0" t="s">
        <v>1674</v>
      </c>
      <c r="C1559" s="0" t="s">
        <v>1675</v>
      </c>
      <c r="D1559" s="0" t="s">
        <v>1675</v>
      </c>
      <c r="E1559" s="0" t="s">
        <v>12</v>
      </c>
      <c r="F1559" s="0" t="s">
        <v>12</v>
      </c>
      <c r="G1559" s="0" t="s">
        <v>14</v>
      </c>
      <c r="I1559" s="5">
        <v>236.000000</v>
      </c>
      <c r="J1559" s="5">
        <v>1.000000</v>
      </c>
    </row>
    <row r="1560" spans="1:11">
      <c r="A1560" s="22" t="str">
        <f>HYPERLINK("https://app.vivvix.com/360/KMI/IntelliDrive/ApplUI/Pages/CreativePages/CustomReportCreativeDetail.aspx?App=23&amp;ReportView=4&amp;Qid=1696098&amp;Row=1552&amp;Col=1","so many choices are available 2")</f>
        <v/>
      </c>
      <c r="B1560" s="0" t="s">
        <v>1674</v>
      </c>
      <c r="C1560" s="0" t="s">
        <v>1675</v>
      </c>
      <c r="D1560" s="0" t="s">
        <v>1675</v>
      </c>
      <c r="E1560" s="0" t="s">
        <v>12</v>
      </c>
      <c r="F1560" s="0" t="s">
        <v>12</v>
      </c>
      <c r="G1560" s="0" t="s">
        <v>13</v>
      </c>
      <c r="I1560" s="5">
        <v>16154.000000</v>
      </c>
      <c r="J1560" s="5">
        <v>7.000000</v>
      </c>
    </row>
    <row r="1561" spans="1:11">
      <c r="A1561" s="22" t="str">
        <f>HYPERLINK("https://app.vivvix.com/360/KMI/IntelliDrive/ApplUI/Pages/CreativePages/CustomReportCreativeDetail.aspx?App=23&amp;ReportView=4&amp;Qid=1696098&amp;Row=1553&amp;Col=1","so many choices are available 3")</f>
        <v/>
      </c>
      <c r="B1561" s="0" t="s">
        <v>1676</v>
      </c>
      <c r="C1561" s="0" t="s">
        <v>1677</v>
      </c>
      <c r="D1561" s="0" t="s">
        <v>1677</v>
      </c>
      <c r="E1561" s="0" t="s">
        <v>12</v>
      </c>
      <c r="F1561" s="0" t="s">
        <v>12</v>
      </c>
      <c r="G1561" s="0" t="s">
        <v>13</v>
      </c>
      <c r="I1561" s="5">
        <v>322684.000000</v>
      </c>
      <c r="J1561" s="5">
        <v>323.000000</v>
      </c>
    </row>
    <row r="1562" spans="1:11">
      <c r="A1562" s="22" t="str">
        <f>HYPERLINK("https://app.vivvix.com/360/KMI/IntelliDrive/ApplUI/Pages/CreativePages/CustomReportCreativeDetail.aspx?App=23&amp;ReportView=4&amp;Qid=1696098&amp;Row=1554&amp;Col=1","so many choices are available 3")</f>
        <v/>
      </c>
      <c r="B1562" s="0" t="s">
        <v>1676</v>
      </c>
      <c r="C1562" s="0" t="s">
        <v>1677</v>
      </c>
      <c r="D1562" s="0" t="s">
        <v>1677</v>
      </c>
      <c r="E1562" s="0" t="s">
        <v>12</v>
      </c>
      <c r="F1562" s="0" t="s">
        <v>12</v>
      </c>
      <c r="G1562" s="0" t="s">
        <v>14</v>
      </c>
      <c r="I1562" s="5">
        <v>87614.000000</v>
      </c>
      <c r="J1562" s="5">
        <v>14.000000</v>
      </c>
    </row>
    <row r="1563" spans="1:11">
      <c r="A1563" s="22" t="str">
        <f>HYPERLINK("https://app.vivvix.com/360/KMI/IntelliDrive/ApplUI/Pages/CreativePages/CustomReportCreativeDetail.aspx?App=23&amp;ReportView=4&amp;Qid=1696098&amp;Row=1555&amp;Col=1","so many choices are available 3")</f>
        <v/>
      </c>
      <c r="B1563" s="0" t="s">
        <v>1676</v>
      </c>
      <c r="C1563" s="0" t="s">
        <v>1677</v>
      </c>
      <c r="D1563" s="0" t="s">
        <v>1677</v>
      </c>
      <c r="E1563" s="0" t="s">
        <v>12</v>
      </c>
      <c r="F1563" s="0" t="s">
        <v>12</v>
      </c>
      <c r="G1563" s="0" t="s">
        <v>15</v>
      </c>
      <c r="I1563" s="5">
        <v>28.000000</v>
      </c>
      <c r="J1563" s="5">
        <v>4.000000</v>
      </c>
    </row>
    <row r="1564" spans="1:11">
      <c r="A1564" s="22" t="str">
        <f>HYPERLINK("https://app.vivvix.com/360/KMI/IntelliDrive/ApplUI/Pages/CreativePages/CustomReportCreativeDetail.aspx?App=23&amp;ReportView=4&amp;Qid=1696098&amp;Row=1556&amp;Col=1","so many choices are available 4")</f>
        <v/>
      </c>
      <c r="B1564" s="0" t="s">
        <v>1678</v>
      </c>
      <c r="C1564" s="0" t="s">
        <v>1679</v>
      </c>
      <c r="D1564" s="0" t="s">
        <v>1679</v>
      </c>
      <c r="E1564" s="0" t="s">
        <v>12</v>
      </c>
      <c r="F1564" s="0" t="s">
        <v>12</v>
      </c>
      <c r="G1564" s="0" t="s">
        <v>13</v>
      </c>
      <c r="I1564" s="5">
        <v>873890.000000</v>
      </c>
      <c r="J1564" s="5">
        <v>489.000000</v>
      </c>
    </row>
    <row r="1565" spans="1:11">
      <c r="A1565" s="22" t="str">
        <f>HYPERLINK("https://app.vivvix.com/360/KMI/IntelliDrive/ApplUI/Pages/CreativePages/CustomReportCreativeDetail.aspx?App=23&amp;ReportView=4&amp;Qid=1696098&amp;Row=1557&amp;Col=1","so many choices are available 4")</f>
        <v/>
      </c>
      <c r="B1565" s="0" t="s">
        <v>1678</v>
      </c>
      <c r="C1565" s="0" t="s">
        <v>1679</v>
      </c>
      <c r="D1565" s="0" t="s">
        <v>1679</v>
      </c>
      <c r="E1565" s="0" t="s">
        <v>12</v>
      </c>
      <c r="F1565" s="0" t="s">
        <v>12</v>
      </c>
      <c r="G1565" s="0" t="s">
        <v>14</v>
      </c>
      <c r="I1565" s="5">
        <v>338391.000000</v>
      </c>
      <c r="J1565" s="5">
        <v>61.000000</v>
      </c>
    </row>
    <row r="1566" spans="1:11">
      <c r="A1566" s="22" t="str">
        <f>HYPERLINK("https://app.vivvix.com/360/KMI/IntelliDrive/ApplUI/Pages/CreativePages/CustomReportCreativeDetail.aspx?App=23&amp;ReportView=4&amp;Qid=1696098&amp;Row=1558&amp;Col=1","so many choices are available 4")</f>
        <v/>
      </c>
      <c r="B1566" s="0" t="s">
        <v>1678</v>
      </c>
      <c r="C1566" s="0" t="s">
        <v>1679</v>
      </c>
      <c r="D1566" s="0" t="s">
        <v>1679</v>
      </c>
      <c r="E1566" s="0" t="s">
        <v>12</v>
      </c>
      <c r="F1566" s="0" t="s">
        <v>12</v>
      </c>
      <c r="G1566" s="0" t="s">
        <v>15</v>
      </c>
      <c r="I1566" s="5">
        <v>1865.000000</v>
      </c>
      <c r="J1566" s="5">
        <v>9.000000</v>
      </c>
    </row>
    <row r="1567" spans="1:11">
      <c r="A1567" s="22" t="str">
        <f>HYPERLINK("https://app.vivvix.com/360/KMI/IntelliDrive/ApplUI/Pages/CreativePages/CustomReportCreativeDetail.aspx?App=23&amp;ReportView=4&amp;Qid=1696098&amp;Row=1559&amp;Col=1","so many choices are available 5")</f>
        <v/>
      </c>
      <c r="B1567" s="0" t="s">
        <v>1680</v>
      </c>
      <c r="C1567" s="0" t="s">
        <v>1681</v>
      </c>
      <c r="D1567" s="0" t="s">
        <v>1681</v>
      </c>
      <c r="E1567" s="0" t="s">
        <v>12</v>
      </c>
      <c r="F1567" s="0" t="s">
        <v>12</v>
      </c>
      <c r="G1567" s="0" t="s">
        <v>14</v>
      </c>
      <c r="I1567" s="5">
        <v>3346.000000</v>
      </c>
      <c r="J1567" s="5">
        <v>5.000000</v>
      </c>
    </row>
    <row r="1568" spans="1:11">
      <c r="A1568" s="22" t="str">
        <f>HYPERLINK("https://app.vivvix.com/360/KMI/IntelliDrive/ApplUI/Pages/CreativePages/CustomReportCreativeDetail.aspx?App=23&amp;ReportView=4&amp;Qid=1696098&amp;Row=1560&amp;Col=1","so many choices are available 5")</f>
        <v/>
      </c>
      <c r="B1568" s="0" t="s">
        <v>1680</v>
      </c>
      <c r="C1568" s="0" t="s">
        <v>1681</v>
      </c>
      <c r="D1568" s="0" t="s">
        <v>1681</v>
      </c>
      <c r="E1568" s="0" t="s">
        <v>12</v>
      </c>
      <c r="F1568" s="0" t="s">
        <v>12</v>
      </c>
      <c r="G1568" s="0" t="s">
        <v>15</v>
      </c>
      <c r="I1568" s="5">
        <v>687.000000</v>
      </c>
      <c r="J1568" s="5">
        <v>7.000000</v>
      </c>
    </row>
    <row r="1569" spans="1:11">
      <c r="A1569" s="22" t="str">
        <f>HYPERLINK("https://app.vivvix.com/360/KMI/IntelliDrive/ApplUI/Pages/CreativePages/CustomReportCreativeDetail.aspx?App=23&amp;ReportView=4&amp;Qid=1696098&amp;Row=1561&amp;Col=1","so many choices to choose")</f>
        <v/>
      </c>
      <c r="B1569" s="0" t="s">
        <v>1682</v>
      </c>
      <c r="C1569" s="0" t="s">
        <v>1683</v>
      </c>
      <c r="D1569" s="0" t="s">
        <v>1683</v>
      </c>
      <c r="E1569" s="0" t="s">
        <v>12</v>
      </c>
      <c r="F1569" s="0" t="s">
        <v>12</v>
      </c>
      <c r="G1569" s="0" t="s">
        <v>13</v>
      </c>
      <c r="I1569" s="5">
        <v>1729896.000000</v>
      </c>
      <c r="J1569" s="5">
        <v>1050.000000</v>
      </c>
    </row>
    <row r="1570" spans="1:11">
      <c r="A1570" s="22" t="str">
        <f>HYPERLINK("https://app.vivvix.com/360/KMI/IntelliDrive/ApplUI/Pages/CreativePages/CustomReportCreativeDetail.aspx?App=23&amp;ReportView=4&amp;Qid=1696098&amp;Row=1562&amp;Col=1","so many choices to choose")</f>
        <v/>
      </c>
      <c r="B1570" s="0" t="s">
        <v>1682</v>
      </c>
      <c r="C1570" s="0" t="s">
        <v>1683</v>
      </c>
      <c r="D1570" s="0" t="s">
        <v>1683</v>
      </c>
      <c r="E1570" s="0" t="s">
        <v>12</v>
      </c>
      <c r="F1570" s="0" t="s">
        <v>12</v>
      </c>
      <c r="G1570" s="0" t="s">
        <v>14</v>
      </c>
      <c r="I1570" s="5">
        <v>577537.000000</v>
      </c>
      <c r="J1570" s="5">
        <v>25.000000</v>
      </c>
    </row>
    <row r="1571" spans="1:11">
      <c r="A1571" s="22" t="str">
        <f>HYPERLINK("https://app.vivvix.com/360/KMI/IntelliDrive/ApplUI/Pages/CreativePages/CustomReportCreativeDetail.aspx?App=23&amp;ReportView=4&amp;Qid=1696098&amp;Row=1563&amp;Col=1","so many choices to choose")</f>
        <v/>
      </c>
      <c r="B1571" s="0" t="s">
        <v>1682</v>
      </c>
      <c r="C1571" s="0" t="s">
        <v>1683</v>
      </c>
      <c r="D1571" s="0" t="s">
        <v>1683</v>
      </c>
      <c r="E1571" s="0" t="s">
        <v>12</v>
      </c>
      <c r="F1571" s="0" t="s">
        <v>12</v>
      </c>
      <c r="G1571" s="0" t="s">
        <v>15</v>
      </c>
      <c r="I1571" s="5">
        <v>787.000000</v>
      </c>
      <c r="J1571" s="5">
        <v>2.000000</v>
      </c>
    </row>
    <row r="1572" spans="1:11">
      <c r="A1572" s="22" t="str">
        <f>HYPERLINK("https://app.vivvix.com/360/KMI/IntelliDrive/ApplUI/Pages/CreativePages/CustomReportCreativeDetail.aspx?App=23&amp;ReportView=4&amp;Qid=1696098&amp;Row=1564&amp;Col=1","so many choices to choose 2")</f>
        <v/>
      </c>
      <c r="B1572" s="0" t="s">
        <v>1684</v>
      </c>
      <c r="C1572" s="0" t="s">
        <v>1685</v>
      </c>
      <c r="D1572" s="0" t="s">
        <v>1685</v>
      </c>
      <c r="E1572" s="0" t="s">
        <v>12</v>
      </c>
      <c r="F1572" s="0" t="s">
        <v>12</v>
      </c>
      <c r="G1572" s="0" t="s">
        <v>13</v>
      </c>
      <c r="I1572" s="5">
        <v>3875.000000</v>
      </c>
      <c r="J1572" s="5">
        <v>10.000000</v>
      </c>
    </row>
    <row r="1573" spans="1:11">
      <c r="A1573" s="22" t="str">
        <f>HYPERLINK("https://app.vivvix.com/360/KMI/IntelliDrive/ApplUI/Pages/CreativePages/CustomReportCreativeDetail.aspx?App=23&amp;ReportView=4&amp;Qid=1696098&amp;Row=1565&amp;Col=1","so many choices to choose 2")</f>
        <v/>
      </c>
      <c r="B1573" s="0" t="s">
        <v>1684</v>
      </c>
      <c r="C1573" s="0" t="s">
        <v>1685</v>
      </c>
      <c r="D1573" s="0" t="s">
        <v>1685</v>
      </c>
      <c r="E1573" s="0" t="s">
        <v>12</v>
      </c>
      <c r="F1573" s="0" t="s">
        <v>12</v>
      </c>
      <c r="G1573" s="0" t="s">
        <v>14</v>
      </c>
      <c r="I1573" s="5">
        <v>9940.000000</v>
      </c>
      <c r="J1573" s="5">
        <v>1.000000</v>
      </c>
    </row>
    <row r="1574" spans="1:11">
      <c r="A1574" s="22" t="str">
        <f>HYPERLINK("https://app.vivvix.com/360/KMI/IntelliDrive/ApplUI/Pages/CreativePages/CustomReportCreativeDetail.aspx?App=23&amp;ReportView=4&amp;Qid=1696098&amp;Row=1566&amp;Col=1","Somewhere Anywhere (15 Sec.)")</f>
        <v/>
      </c>
      <c r="B1574" s="0" t="s">
        <v>1686</v>
      </c>
      <c r="E1574" s="0" t="s">
        <v>12</v>
      </c>
      <c r="F1574" s="0" t="s">
        <v>12</v>
      </c>
      <c r="G1574" s="0" t="s">
        <v>20</v>
      </c>
      <c r="I1574" s="5">
        <v>9667.641000</v>
      </c>
      <c r="J1574" s="5">
        <v>22.000000</v>
      </c>
    </row>
    <row r="1575" spans="1:11">
      <c r="A1575" s="22" t="str">
        <f>HYPERLINK("https://app.vivvix.com/360/KMI/IntelliDrive/ApplUI/Pages/CreativePages/CustomReportCreativeDetail.aspx?App=23&amp;ReportView=4&amp;Qid=1696098&amp;Row=1567&amp;Col=1","Somewhere Anywhere (15 Sec.)")</f>
        <v/>
      </c>
      <c r="B1575" s="0" t="s">
        <v>1686</v>
      </c>
      <c r="E1575" s="0" t="s">
        <v>12</v>
      </c>
      <c r="F1575" s="0" t="s">
        <v>12</v>
      </c>
      <c r="G1575" s="0" t="s">
        <v>17</v>
      </c>
      <c r="I1575" s="5">
        <v>18889.969000</v>
      </c>
      <c r="J1575" s="5">
        <v>30.000000</v>
      </c>
    </row>
    <row r="1576" spans="1:11">
      <c r="A1576" s="22" t="str">
        <f>HYPERLINK("https://app.vivvix.com/360/KMI/IntelliDrive/ApplUI/Pages/CreativePages/CustomReportCreativeDetail.aspx?App=23&amp;ReportView=4&amp;Qid=1696098&amp;Row=1568&amp;Col=1","Somewhere, Anywhere")</f>
        <v/>
      </c>
      <c r="B1576" s="0" t="s">
        <v>1687</v>
      </c>
      <c r="E1576" s="0" t="s">
        <v>12</v>
      </c>
      <c r="F1576" s="0" t="s">
        <v>12</v>
      </c>
      <c r="G1576" s="0" t="s">
        <v>17</v>
      </c>
      <c r="I1576" s="5">
        <v>61283.444000</v>
      </c>
      <c r="J1576" s="5">
        <v>35.000000</v>
      </c>
    </row>
    <row r="1577" spans="1:11">
      <c r="A1577" s="22" t="str">
        <f>HYPERLINK("https://app.vivvix.com/360/KMI/IntelliDrive/ApplUI/Pages/CreativePages/CustomReportCreativeDetail.aspx?App=23&amp;ReportView=4&amp;Qid=1696098&amp;Row=1569&amp;Col=1","Somewhere, Anywhere")</f>
        <v/>
      </c>
      <c r="B1577" s="0" t="s">
        <v>1687</v>
      </c>
      <c r="E1577" s="0" t="s">
        <v>12</v>
      </c>
      <c r="F1577" s="0" t="s">
        <v>12</v>
      </c>
      <c r="G1577" s="0" t="s">
        <v>20</v>
      </c>
      <c r="I1577" s="5">
        <v>2516.148000</v>
      </c>
      <c r="J1577" s="5">
        <v>15.000000</v>
      </c>
    </row>
    <row r="1578" spans="1:11">
      <c r="A1578" s="22" t="str">
        <f>HYPERLINK("https://app.vivvix.com/360/KMI/IntelliDrive/ApplUI/Pages/CreativePages/CustomReportCreativeDetail.aspx?App=23&amp;ReportView=4&amp;Qid=1696098&amp;Row=1570&amp;Col=1","Somewhere, Anywhere (Visual Change)")</f>
        <v/>
      </c>
      <c r="B1578" s="0" t="s">
        <v>1688</v>
      </c>
      <c r="E1578" s="0" t="s">
        <v>12</v>
      </c>
      <c r="F1578" s="0" t="s">
        <v>12</v>
      </c>
      <c r="G1578" s="0" t="s">
        <v>17</v>
      </c>
      <c r="I1578" s="5">
        <v>5604.046000</v>
      </c>
      <c r="J1578" s="5">
        <v>613.000000</v>
      </c>
    </row>
    <row r="1579" spans="1:11">
      <c r="A1579" s="22" t="str">
        <f>HYPERLINK("https://app.vivvix.com/360/KMI/IntelliDrive/ApplUI/Pages/CreativePages/CustomReportCreativeDetail.aspx?App=23&amp;ReportView=4&amp;Qid=1696098&amp;Row=1571&amp;Col=1","Somewhere, Anywhere (Visual Change)")</f>
        <v/>
      </c>
      <c r="B1579" s="0" t="s">
        <v>1688</v>
      </c>
      <c r="E1579" s="0" t="s">
        <v>12</v>
      </c>
      <c r="F1579" s="0" t="s">
        <v>12</v>
      </c>
      <c r="G1579" s="0" t="s">
        <v>20</v>
      </c>
      <c r="I1579" s="5">
        <v>52756.765000</v>
      </c>
      <c r="J1579" s="5">
        <v>305.000000</v>
      </c>
    </row>
    <row r="1580" spans="1:11">
      <c r="A1580" s="22" t="str">
        <f>HYPERLINK("https://app.vivvix.com/360/KMI/IntelliDrive/ApplUI/Pages/CreativePages/CustomReportCreativeDetail.aspx?App=23&amp;ReportView=4&amp;Qid=1696098&amp;Row=1572&amp;Col=1","Stay Assured")</f>
        <v/>
      </c>
      <c r="B1580" s="0" t="s">
        <v>1689</v>
      </c>
      <c r="E1580" s="0" t="s">
        <v>12</v>
      </c>
      <c r="F1580" s="0" t="s">
        <v>12</v>
      </c>
      <c r="G1580" s="0" t="s">
        <v>17</v>
      </c>
      <c r="I1580" s="5">
        <v>383.907000</v>
      </c>
      <c r="J1580" s="5">
        <v>2.000000</v>
      </c>
    </row>
    <row r="1581" spans="1:11">
      <c r="A1581" s="22" t="str">
        <f>HYPERLINK("https://app.vivvix.com/360/KMI/IntelliDrive/ApplUI/Pages/CreativePages/CustomReportCreativeDetail.aspx?App=23&amp;ReportView=4&amp;Qid=1696098&amp;Row=1573&amp;Col=1","T. Fey: So Many Choices")</f>
        <v/>
      </c>
      <c r="B1581" s="0" t="s">
        <v>1690</v>
      </c>
      <c r="C1581" s="0" t="s">
        <v>1634</v>
      </c>
      <c r="D1581" s="0" t="s">
        <v>1634</v>
      </c>
      <c r="E1581" s="0" t="s">
        <v>12</v>
      </c>
      <c r="F1581" s="0" t="s">
        <v>12</v>
      </c>
      <c r="G1581" s="0" t="s">
        <v>13</v>
      </c>
      <c r="I1581" s="5">
        <v>1743145.000000</v>
      </c>
      <c r="J1581" s="5">
        <v>1575.000000</v>
      </c>
    </row>
    <row r="1582" spans="1:11">
      <c r="A1582" s="22" t="str">
        <f>HYPERLINK("https://app.vivvix.com/360/KMI/IntelliDrive/ApplUI/Pages/CreativePages/CustomReportCreativeDetail.aspx?App=23&amp;ReportView=4&amp;Qid=1696098&amp;Row=1574&amp;Col=1","T. Fey: So Many Choices")</f>
        <v/>
      </c>
      <c r="B1582" s="0" t="s">
        <v>1690</v>
      </c>
      <c r="C1582" s="0" t="s">
        <v>1634</v>
      </c>
      <c r="D1582" s="0" t="s">
        <v>1634</v>
      </c>
      <c r="E1582" s="0" t="s">
        <v>12</v>
      </c>
      <c r="F1582" s="0" t="s">
        <v>12</v>
      </c>
      <c r="G1582" s="0" t="s">
        <v>14</v>
      </c>
      <c r="I1582" s="5">
        <v>1257883.000000</v>
      </c>
      <c r="J1582" s="5">
        <v>190.000000</v>
      </c>
    </row>
    <row r="1583" spans="1:11">
      <c r="A1583" s="22" t="str">
        <f>HYPERLINK("https://app.vivvix.com/360/KMI/IntelliDrive/ApplUI/Pages/CreativePages/CustomReportCreativeDetail.aspx?App=23&amp;ReportView=4&amp;Qid=1696098&amp;Row=1575&amp;Col=1","T. Fey: So Many Choices")</f>
        <v/>
      </c>
      <c r="B1583" s="0" t="s">
        <v>1690</v>
      </c>
      <c r="C1583" s="0" t="s">
        <v>1634</v>
      </c>
      <c r="D1583" s="0" t="s">
        <v>1634</v>
      </c>
      <c r="E1583" s="0" t="s">
        <v>12</v>
      </c>
      <c r="F1583" s="0" t="s">
        <v>12</v>
      </c>
      <c r="G1583" s="0" t="s">
        <v>15</v>
      </c>
      <c r="I1583" s="5">
        <v>199.000000</v>
      </c>
      <c r="J1583" s="5">
        <v>7.000000</v>
      </c>
    </row>
    <row r="1584" spans="1:11">
      <c r="A1584" s="22" t="str">
        <f>HYPERLINK("https://app.vivvix.com/360/KMI/IntelliDrive/ApplUI/Pages/CreativePages/CustomReportCreativeDetail.aspx?App=23&amp;ReportView=4&amp;Qid=1696098&amp;Row=1576&amp;Col=1","Tea Party")</f>
        <v/>
      </c>
      <c r="B1584" s="0" t="s">
        <v>1691</v>
      </c>
      <c r="E1584" s="0" t="s">
        <v>12</v>
      </c>
      <c r="F1584" s="0" t="s">
        <v>12</v>
      </c>
      <c r="G1584" s="0" t="s">
        <v>20</v>
      </c>
      <c r="I1584" s="5">
        <v>453209.255000</v>
      </c>
      <c r="J1584" s="5">
        <v>4722.000000</v>
      </c>
    </row>
    <row r="1585" spans="1:11">
      <c r="A1585" s="22" t="str">
        <f>HYPERLINK("https://app.vivvix.com/360/KMI/IntelliDrive/ApplUI/Pages/CreativePages/CustomReportCreativeDetail.aspx?App=23&amp;ReportView=4&amp;Qid=1696098&amp;Row=1577&amp;Col=1","Tea Party")</f>
        <v/>
      </c>
      <c r="B1585" s="0" t="s">
        <v>1691</v>
      </c>
      <c r="E1585" s="0" t="s">
        <v>12</v>
      </c>
      <c r="F1585" s="0" t="s">
        <v>12</v>
      </c>
      <c r="G1585" s="0" t="s">
        <v>17</v>
      </c>
      <c r="I1585" s="5">
        <v>13700.256000</v>
      </c>
      <c r="J1585" s="5">
        <v>3511.000000</v>
      </c>
    </row>
    <row r="1586" spans="1:11">
      <c r="A1586" s="22" t="str">
        <f>HYPERLINK("https://app.vivvix.com/360/KMI/IntelliDrive/ApplUI/Pages/CreativePages/CustomReportCreativeDetail.aspx?App=23&amp;ReportView=4&amp;Qid=1696098&amp;Row=1578&amp;Col=1","The Best Choice")</f>
        <v/>
      </c>
      <c r="B1586" s="0" t="s">
        <v>1692</v>
      </c>
      <c r="E1586" s="0" t="s">
        <v>12</v>
      </c>
      <c r="F1586" s="0" t="s">
        <v>12</v>
      </c>
      <c r="G1586" s="0" t="s">
        <v>17</v>
      </c>
      <c r="I1586" s="5">
        <v>1320.702000</v>
      </c>
      <c r="J1586" s="5">
        <v>189.000000</v>
      </c>
    </row>
    <row r="1587" spans="1:11">
      <c r="A1587" s="22" t="str">
        <f>HYPERLINK("https://app.vivvix.com/360/KMI/IntelliDrive/ApplUI/Pages/CreativePages/CustomReportCreativeDetail.aspx?App=23&amp;ReportView=4&amp;Qid=1696098&amp;Row=1579&amp;Col=1","There Are So Many Choices")</f>
        <v/>
      </c>
      <c r="B1587" s="0" t="s">
        <v>1693</v>
      </c>
      <c r="C1587" s="0" t="s">
        <v>1694</v>
      </c>
      <c r="D1587" s="0" t="s">
        <v>1694</v>
      </c>
      <c r="E1587" s="0" t="s">
        <v>12</v>
      </c>
      <c r="F1587" s="0" t="s">
        <v>12</v>
      </c>
      <c r="G1587" s="0" t="s">
        <v>13</v>
      </c>
      <c r="I1587" s="5">
        <v>49977.000000</v>
      </c>
      <c r="J1587" s="5">
        <v>43.000000</v>
      </c>
    </row>
    <row r="1588" spans="1:11">
      <c r="A1588" s="22" t="str">
        <f>HYPERLINK("https://app.vivvix.com/360/KMI/IntelliDrive/ApplUI/Pages/CreativePages/CustomReportCreativeDetail.aspx?App=23&amp;ReportView=4&amp;Qid=1696098&amp;Row=1580&amp;Col=1","There Are So Many Choices")</f>
        <v/>
      </c>
      <c r="B1588" s="0" t="s">
        <v>1693</v>
      </c>
      <c r="C1588" s="0" t="s">
        <v>1694</v>
      </c>
      <c r="D1588" s="0" t="s">
        <v>1694</v>
      </c>
      <c r="E1588" s="0" t="s">
        <v>12</v>
      </c>
      <c r="F1588" s="0" t="s">
        <v>12</v>
      </c>
      <c r="G1588" s="0" t="s">
        <v>14</v>
      </c>
      <c r="I1588" s="5">
        <v>372686.000000</v>
      </c>
      <c r="J1588" s="5">
        <v>9.000000</v>
      </c>
    </row>
    <row r="1589" spans="1:11">
      <c r="A1589" s="22" t="str">
        <f>HYPERLINK("https://app.vivvix.com/360/KMI/IntelliDrive/ApplUI/Pages/CreativePages/CustomReportCreativeDetail.aspx?App=23&amp;ReportView=4&amp;Qid=1696098&amp;Row=1581&amp;Col=1","Tina Finds Millions Of Possibilities")</f>
        <v/>
      </c>
      <c r="B1589" s="0" t="s">
        <v>1695</v>
      </c>
      <c r="C1589" s="0" t="s">
        <v>1696</v>
      </c>
      <c r="D1589" s="0" t="s">
        <v>1696</v>
      </c>
      <c r="E1589" s="0" t="s">
        <v>12</v>
      </c>
      <c r="F1589" s="0" t="s">
        <v>12</v>
      </c>
      <c r="G1589" s="0" t="s">
        <v>13</v>
      </c>
      <c r="I1589" s="5">
        <v>5965730.000000</v>
      </c>
      <c r="J1589" s="5">
        <v>3350.000000</v>
      </c>
    </row>
    <row r="1590" spans="1:11">
      <c r="A1590" s="22" t="str">
        <f>HYPERLINK("https://app.vivvix.com/360/KMI/IntelliDrive/ApplUI/Pages/CreativePages/CustomReportCreativeDetail.aspx?App=23&amp;ReportView=4&amp;Qid=1696098&amp;Row=1582&amp;Col=1","Tina Finds Millions Of Possibilities")</f>
        <v/>
      </c>
      <c r="B1590" s="0" t="s">
        <v>1695</v>
      </c>
      <c r="C1590" s="0" t="s">
        <v>1696</v>
      </c>
      <c r="D1590" s="0" t="s">
        <v>1696</v>
      </c>
      <c r="E1590" s="0" t="s">
        <v>12</v>
      </c>
      <c r="F1590" s="0" t="s">
        <v>12</v>
      </c>
      <c r="G1590" s="0" t="s">
        <v>14</v>
      </c>
      <c r="I1590" s="5">
        <v>13913640.000000</v>
      </c>
      <c r="J1590" s="5">
        <v>245.000000</v>
      </c>
    </row>
    <row r="1591" spans="1:11">
      <c r="A1591" s="22" t="str">
        <f>HYPERLINK("https://app.vivvix.com/360/KMI/IntelliDrive/ApplUI/Pages/CreativePages/CustomReportCreativeDetail.aspx?App=23&amp;ReportView=4&amp;Qid=1696098&amp;Row=1583&amp;Col=1","Tina Finds Millions Of Possibilities")</f>
        <v/>
      </c>
      <c r="B1591" s="0" t="s">
        <v>1695</v>
      </c>
      <c r="C1591" s="0" t="s">
        <v>1696</v>
      </c>
      <c r="D1591" s="0" t="s">
        <v>1696</v>
      </c>
      <c r="E1591" s="0" t="s">
        <v>12</v>
      </c>
      <c r="F1591" s="0" t="s">
        <v>12</v>
      </c>
      <c r="G1591" s="0" t="s">
        <v>15</v>
      </c>
      <c r="I1591" s="5">
        <v>72621.000000</v>
      </c>
      <c r="J1591" s="5">
        <v>176.000000</v>
      </c>
    </row>
    <row r="1592" spans="1:11">
      <c r="A1592" s="22" t="str">
        <f>HYPERLINK("https://app.vivvix.com/360/KMI/IntelliDrive/ApplUI/Pages/CreativePages/CustomReportCreativeDetail.aspx?App=23&amp;ReportView=4&amp;Qid=1696098&amp;Row=1584&amp;Col=1","Tina Finds So Many Choices")</f>
        <v/>
      </c>
      <c r="B1592" s="0" t="s">
        <v>1697</v>
      </c>
      <c r="C1592" s="0" t="s">
        <v>1698</v>
      </c>
      <c r="D1592" s="0" t="s">
        <v>1698</v>
      </c>
      <c r="E1592" s="0" t="s">
        <v>12</v>
      </c>
      <c r="F1592" s="0" t="s">
        <v>12</v>
      </c>
      <c r="G1592" s="0" t="s">
        <v>13</v>
      </c>
      <c r="I1592" s="5">
        <v>2420832.000000</v>
      </c>
      <c r="J1592" s="5">
        <v>2661.000000</v>
      </c>
    </row>
    <row r="1593" spans="1:11">
      <c r="A1593" s="22" t="str">
        <f>HYPERLINK("https://app.vivvix.com/360/KMI/IntelliDrive/ApplUI/Pages/CreativePages/CustomReportCreativeDetail.aspx?App=23&amp;ReportView=4&amp;Qid=1696098&amp;Row=1585&amp;Col=1","Tina Finds So Many Choices")</f>
        <v/>
      </c>
      <c r="B1593" s="0" t="s">
        <v>1697</v>
      </c>
      <c r="C1593" s="0" t="s">
        <v>1698</v>
      </c>
      <c r="D1593" s="0" t="s">
        <v>1698</v>
      </c>
      <c r="E1593" s="0" t="s">
        <v>12</v>
      </c>
      <c r="F1593" s="0" t="s">
        <v>12</v>
      </c>
      <c r="G1593" s="0" t="s">
        <v>14</v>
      </c>
      <c r="I1593" s="5">
        <v>1651478.000000</v>
      </c>
      <c r="J1593" s="5">
        <v>237.000000</v>
      </c>
    </row>
    <row r="1594" spans="1:11">
      <c r="A1594" s="22" t="str">
        <f>HYPERLINK("https://app.vivvix.com/360/KMI/IntelliDrive/ApplUI/Pages/CreativePages/CustomReportCreativeDetail.aspx?App=23&amp;ReportView=4&amp;Qid=1696098&amp;Row=1586&amp;Col=1","Tina Finds So Many Choices")</f>
        <v/>
      </c>
      <c r="B1594" s="0" t="s">
        <v>1697</v>
      </c>
      <c r="C1594" s="0" t="s">
        <v>1698</v>
      </c>
      <c r="D1594" s="0" t="s">
        <v>1698</v>
      </c>
      <c r="E1594" s="0" t="s">
        <v>12</v>
      </c>
      <c r="F1594" s="0" t="s">
        <v>12</v>
      </c>
      <c r="G1594" s="0" t="s">
        <v>15</v>
      </c>
      <c r="I1594" s="5">
        <v>904.000000</v>
      </c>
      <c r="J1594" s="5">
        <v>27.000000</v>
      </c>
    </row>
    <row r="1595" spans="1:11">
      <c r="A1595" s="22" t="str">
        <f>HYPERLINK("https://app.vivvix.com/360/KMI/IntelliDrive/ApplUI/Pages/CreativePages/CustomReportCreativeDetail.aspx?App=23&amp;ReportView=4&amp;Qid=1696098&amp;Row=1587&amp;Col=1","Tina Finds so many choices")</f>
        <v/>
      </c>
      <c r="B1595" s="0" t="s">
        <v>1699</v>
      </c>
      <c r="E1595" s="0" t="s">
        <v>12</v>
      </c>
      <c r="F1595" s="0" t="s">
        <v>12</v>
      </c>
      <c r="G1595" s="0" t="s">
        <v>13</v>
      </c>
      <c r="I1595" s="5">
        <v>7581.000000</v>
      </c>
      <c r="J1595" s="5">
        <v>2.000000</v>
      </c>
    </row>
    <row r="1596" spans="1:11">
      <c r="A1596" s="22" t="str">
        <f>HYPERLINK("https://app.vivvix.com/360/KMI/IntelliDrive/ApplUI/Pages/CreativePages/CustomReportCreativeDetail.aspx?App=23&amp;ReportView=4&amp;Qid=1696098&amp;Row=1588&amp;Col=1","Tina Finds So Many Choices 2")</f>
        <v/>
      </c>
      <c r="B1596" s="0" t="s">
        <v>1700</v>
      </c>
      <c r="C1596" s="0" t="s">
        <v>1701</v>
      </c>
      <c r="D1596" s="0" t="s">
        <v>1701</v>
      </c>
      <c r="E1596" s="0" t="s">
        <v>12</v>
      </c>
      <c r="F1596" s="0" t="s">
        <v>12</v>
      </c>
      <c r="G1596" s="0" t="s">
        <v>13</v>
      </c>
      <c r="I1596" s="5">
        <v>2836.000000</v>
      </c>
      <c r="J1596" s="5">
        <v>7.000000</v>
      </c>
    </row>
    <row r="1597" spans="1:11">
      <c r="A1597" s="22" t="str">
        <f>HYPERLINK("https://app.vivvix.com/360/KMI/IntelliDrive/ApplUI/Pages/CreativePages/CustomReportCreativeDetail.aspx?App=23&amp;ReportView=4&amp;Qid=1696098&amp;Row=1589&amp;Col=1","Travel Anywhere")</f>
        <v/>
      </c>
      <c r="B1597" s="0" t="s">
        <v>1702</v>
      </c>
      <c r="E1597" s="0" t="s">
        <v>12</v>
      </c>
      <c r="F1597" s="0" t="s">
        <v>12</v>
      </c>
      <c r="G1597" s="0" t="s">
        <v>17</v>
      </c>
      <c r="I1597" s="5">
        <v>3644.787000</v>
      </c>
      <c r="J1597" s="5">
        <v>353.000000</v>
      </c>
    </row>
    <row r="1598" spans="1:11">
      <c r="A1598" s="22" t="str">
        <f>HYPERLINK("https://app.vivvix.com/360/KMI/IntelliDrive/ApplUI/Pages/CreativePages/CustomReportCreativeDetail.aspx?App=23&amp;ReportView=4&amp;Qid=1696098&amp;Row=1590&amp;Col=1","Travel Now")</f>
        <v/>
      </c>
      <c r="B1598" s="0" t="s">
        <v>1703</v>
      </c>
      <c r="E1598" s="0" t="s">
        <v>12</v>
      </c>
      <c r="F1598" s="0" t="s">
        <v>12</v>
      </c>
      <c r="G1598" s="0" t="s">
        <v>20</v>
      </c>
      <c r="I1598" s="5">
        <v>489030.774000</v>
      </c>
      <c r="J1598" s="5">
        <v>17.000000</v>
      </c>
    </row>
    <row r="1599" spans="1:11">
      <c r="A1599" s="22" t="str">
        <f>HYPERLINK("https://app.vivvix.com/360/KMI/IntelliDrive/ApplUI/Pages/CreativePages/CustomReportCreativeDetail.aspx?App=23&amp;ReportView=4&amp;Qid=1696098&amp;Row=1591&amp;Col=1","Travel Now")</f>
        <v/>
      </c>
      <c r="B1599" s="0" t="s">
        <v>1703</v>
      </c>
      <c r="E1599" s="0" t="s">
        <v>12</v>
      </c>
      <c r="F1599" s="0" t="s">
        <v>12</v>
      </c>
      <c r="G1599" s="0" t="s">
        <v>17</v>
      </c>
      <c r="I1599" s="5">
        <v>37846.113000</v>
      </c>
      <c r="J1599" s="5">
        <v>3.000000</v>
      </c>
    </row>
    <row r="1600" spans="1:11">
      <c r="A1600" s="22" t="str">
        <f>HYPERLINK("https://app.vivvix.com/360/KMI/IntelliDrive/ApplUI/Pages/CreativePages/CustomReportCreativeDetail.aspx?App=23&amp;ReportView=4&amp;Qid=1696098&amp;Row=1592&amp;Col=1","Vacation Becomes Enjoyable")</f>
        <v/>
      </c>
      <c r="B1600" s="0" t="s">
        <v>1704</v>
      </c>
      <c r="C1600" s="0" t="s">
        <v>1705</v>
      </c>
      <c r="D1600" s="0" t="s">
        <v>1705</v>
      </c>
      <c r="E1600" s="0" t="s">
        <v>12</v>
      </c>
      <c r="F1600" s="0" t="s">
        <v>12</v>
      </c>
      <c r="G1600" s="0" t="s">
        <v>17</v>
      </c>
      <c r="I1600" s="5">
        <v>11.220000</v>
      </c>
      <c r="J1600" s="5">
        <v>3.000000</v>
      </c>
    </row>
    <row r="1601" spans="1:11">
      <c r="A1601" s="22" t="str">
        <f>HYPERLINK("https://app.vivvix.com/360/KMI/IntelliDrive/ApplUI/Pages/CreativePages/CustomReportCreativeDetail.aspx?App=23&amp;ReportView=4&amp;Qid=1696098&amp;Row=1593&amp;Col=1","Vacation Plan")</f>
        <v/>
      </c>
      <c r="B1601" s="0" t="s">
        <v>1706</v>
      </c>
      <c r="E1601" s="0" t="s">
        <v>12</v>
      </c>
      <c r="F1601" s="0" t="s">
        <v>12</v>
      </c>
      <c r="G1601" s="0" t="s">
        <v>17</v>
      </c>
      <c r="I1601" s="5">
        <v>79.344000</v>
      </c>
      <c r="J1601" s="5">
        <v>16.000000</v>
      </c>
    </row>
    <row r="1602" spans="1:11">
      <c r="A1602" s="22" t="str">
        <f>HYPERLINK("https://app.vivvix.com/360/KMI/IntelliDrive/ApplUI/Pages/CreativePages/CustomReportCreativeDetail.aspx?App=23&amp;ReportView=4&amp;Qid=1696098&amp;Row=1594&amp;Col=1","Very Relaxing")</f>
        <v/>
      </c>
      <c r="B1602" s="0" t="s">
        <v>1707</v>
      </c>
      <c r="E1602" s="0" t="s">
        <v>12</v>
      </c>
      <c r="F1602" s="0" t="s">
        <v>12</v>
      </c>
      <c r="G1602" s="0" t="s">
        <v>17</v>
      </c>
      <c r="I1602" s="5">
        <v>927.409000</v>
      </c>
      <c r="J1602" s="5">
        <v>133.000000</v>
      </c>
    </row>
    <row r="1603" spans="1:11">
      <c r="A1603" s="22" t="str">
        <f>HYPERLINK("https://app.vivvix.com/360/KMI/IntelliDrive/ApplUI/Pages/CreativePages/CustomReportCreativeDetail.aspx?App=23&amp;ReportView=4&amp;Qid=1696098&amp;Row=1595&amp;Col=1","Website Overview 14")</f>
        <v/>
      </c>
      <c r="B1603" s="0" t="s">
        <v>1708</v>
      </c>
      <c r="C1603" s="0" t="s">
        <v>1709</v>
      </c>
      <c r="D1603" s="0" t="s">
        <v>1709</v>
      </c>
      <c r="E1603" s="0" t="s">
        <v>12</v>
      </c>
      <c r="F1603" s="0" t="s">
        <v>12</v>
      </c>
      <c r="G1603" s="0" t="s">
        <v>13</v>
      </c>
      <c r="I1603" s="5">
        <v>406180.000000</v>
      </c>
      <c r="J1603" s="5">
        <v>357.000000</v>
      </c>
    </row>
    <row r="1604" spans="1:11">
      <c r="A1604" s="22" t="str">
        <f>HYPERLINK("https://app.vivvix.com/360/KMI/IntelliDrive/ApplUI/Pages/CreativePages/CustomReportCreativeDetail.aspx?App=23&amp;ReportView=4&amp;Qid=1696098&amp;Row=1596&amp;Col=1","Website Overview 14")</f>
        <v/>
      </c>
      <c r="B1604" s="0" t="s">
        <v>1708</v>
      </c>
      <c r="C1604" s="0" t="s">
        <v>1709</v>
      </c>
      <c r="D1604" s="0" t="s">
        <v>1709</v>
      </c>
      <c r="E1604" s="0" t="s">
        <v>12</v>
      </c>
      <c r="F1604" s="0" t="s">
        <v>12</v>
      </c>
      <c r="G1604" s="0" t="s">
        <v>14</v>
      </c>
      <c r="I1604" s="5">
        <v>148500.000000</v>
      </c>
      <c r="J1604" s="5">
        <v>21.000000</v>
      </c>
    </row>
    <row r="1605" spans="1:11">
      <c r="A1605" s="22" t="str">
        <f>HYPERLINK("https://app.vivvix.com/360/KMI/IntelliDrive/ApplUI/Pages/CreativePages/CustomReportCreativeDetail.aspx?App=23&amp;ReportView=4&amp;Qid=1696098&amp;Row=1597&amp;Col=1","Website Overview 34")</f>
        <v/>
      </c>
      <c r="B1605" s="0" t="s">
        <v>1710</v>
      </c>
      <c r="C1605" s="0" t="s">
        <v>1711</v>
      </c>
      <c r="D1605" s="0" t="s">
        <v>1711</v>
      </c>
      <c r="E1605" s="0" t="s">
        <v>12</v>
      </c>
      <c r="F1605" s="0" t="s">
        <v>12</v>
      </c>
      <c r="G1605" s="0" t="s">
        <v>13</v>
      </c>
      <c r="I1605" s="5">
        <v>9855.000000</v>
      </c>
      <c r="J1605" s="5">
        <v>3.000000</v>
      </c>
    </row>
    <row r="1606" spans="1:11">
      <c r="A1606" s="22" t="str">
        <f>HYPERLINK("https://app.vivvix.com/360/KMI/IntelliDrive/ApplUI/Pages/CreativePages/CustomReportCreativeDetail.aspx?App=23&amp;ReportView=4&amp;Qid=1696098&amp;Row=1598&amp;Col=1","Website Overview 36")</f>
        <v/>
      </c>
      <c r="B1606" s="0" t="s">
        <v>1712</v>
      </c>
      <c r="C1606" s="0" t="s">
        <v>1713</v>
      </c>
      <c r="D1606" s="0" t="s">
        <v>1713</v>
      </c>
      <c r="E1606" s="0" t="s">
        <v>12</v>
      </c>
      <c r="F1606" s="0" t="s">
        <v>12</v>
      </c>
      <c r="G1606" s="0" t="s">
        <v>13</v>
      </c>
      <c r="I1606" s="5">
        <v>25712.000000</v>
      </c>
      <c r="J1606" s="5">
        <v>22.000000</v>
      </c>
    </row>
    <row r="1607" spans="1:11">
      <c r="A1607" s="22" t="str">
        <f>HYPERLINK("https://app.vivvix.com/360/KMI/IntelliDrive/ApplUI/Pages/CreativePages/CustomReportCreativeDetail.aspx?App=23&amp;ReportView=4&amp;Qid=1696098&amp;Row=1599&amp;Col=1","Website Overview 37")</f>
        <v/>
      </c>
      <c r="B1607" s="0" t="s">
        <v>1714</v>
      </c>
      <c r="C1607" s="0" t="s">
        <v>1715</v>
      </c>
      <c r="D1607" s="0" t="s">
        <v>1715</v>
      </c>
      <c r="E1607" s="0" t="s">
        <v>12</v>
      </c>
      <c r="F1607" s="0" t="s">
        <v>12</v>
      </c>
      <c r="G1607" s="0" t="s">
        <v>13</v>
      </c>
      <c r="I1607" s="5">
        <v>41987.000000</v>
      </c>
      <c r="J1607" s="5">
        <v>55.000000</v>
      </c>
    </row>
    <row r="1608" spans="1:11">
      <c r="A1608" s="22" t="str">
        <f>HYPERLINK("https://app.vivvix.com/360/KMI/IntelliDrive/ApplUI/Pages/CreativePages/CustomReportCreativeDetail.aspx?App=23&amp;ReportView=4&amp;Qid=1696098&amp;Row=1600&amp;Col=1","Website Overview 50")</f>
        <v/>
      </c>
      <c r="B1608" s="0" t="s">
        <v>1716</v>
      </c>
      <c r="C1608" s="0" t="s">
        <v>1717</v>
      </c>
      <c r="D1608" s="0" t="s">
        <v>1717</v>
      </c>
      <c r="E1608" s="0" t="s">
        <v>12</v>
      </c>
      <c r="F1608" s="0" t="s">
        <v>12</v>
      </c>
      <c r="G1608" s="0" t="s">
        <v>13</v>
      </c>
      <c r="I1608" s="5">
        <v>567.000000</v>
      </c>
      <c r="J1608" s="5">
        <v>1.000000</v>
      </c>
    </row>
    <row r="1609" spans="1:11">
      <c r="A1609" s="22" t="str">
        <f>HYPERLINK("https://app.vivvix.com/360/KMI/IntelliDrive/ApplUI/Pages/CreativePages/CustomReportCreativeDetail.aspx?App=23&amp;ReportView=4&amp;Qid=1696098&amp;Row=1601&amp;Col=1","Website Overview 51")</f>
        <v/>
      </c>
      <c r="B1609" s="0" t="s">
        <v>1718</v>
      </c>
      <c r="C1609" s="0" t="s">
        <v>1719</v>
      </c>
      <c r="D1609" s="0" t="s">
        <v>1719</v>
      </c>
      <c r="E1609" s="0" t="s">
        <v>12</v>
      </c>
      <c r="F1609" s="0" t="s">
        <v>12</v>
      </c>
      <c r="G1609" s="0" t="s">
        <v>13</v>
      </c>
      <c r="I1609" s="5">
        <v>1142.000000</v>
      </c>
      <c r="J1609" s="5">
        <v>3.000000</v>
      </c>
    </row>
    <row r="1610" spans="1:11">
      <c r="A1610" s="22" t="str">
        <f>HYPERLINK("https://app.vivvix.com/360/KMI/IntelliDrive/ApplUI/Pages/CreativePages/CustomReportCreativeDetail.aspx?App=23&amp;ReportView=4&amp;Qid=1696098&amp;Row=1602&amp;Col=1","Website Overview 52")</f>
        <v/>
      </c>
      <c r="B1610" s="0" t="s">
        <v>1720</v>
      </c>
      <c r="C1610" s="0" t="s">
        <v>1721</v>
      </c>
      <c r="D1610" s="0" t="s">
        <v>1721</v>
      </c>
      <c r="E1610" s="0" t="s">
        <v>12</v>
      </c>
      <c r="F1610" s="0" t="s">
        <v>12</v>
      </c>
      <c r="G1610" s="0" t="s">
        <v>13</v>
      </c>
      <c r="I1610" s="5">
        <v>61760.000000</v>
      </c>
      <c r="J1610" s="5">
        <v>46.000000</v>
      </c>
    </row>
    <row r="1611" spans="1:11">
      <c r="A1611" s="22" t="str">
        <f>HYPERLINK("https://app.vivvix.com/360/KMI/IntelliDrive/ApplUI/Pages/CreativePages/CustomReportCreativeDetail.aspx?App=23&amp;ReportView=4&amp;Qid=1696098&amp;Row=1603&amp;Col=1","Website Overview 52")</f>
        <v/>
      </c>
      <c r="B1611" s="0" t="s">
        <v>1720</v>
      </c>
      <c r="C1611" s="0" t="s">
        <v>1721</v>
      </c>
      <c r="D1611" s="0" t="s">
        <v>1721</v>
      </c>
      <c r="E1611" s="0" t="s">
        <v>12</v>
      </c>
      <c r="F1611" s="0" t="s">
        <v>12</v>
      </c>
      <c r="G1611" s="0" t="s">
        <v>14</v>
      </c>
      <c r="I1611" s="5">
        <v>1268.000000</v>
      </c>
      <c r="J1611" s="5">
        <v>2.000000</v>
      </c>
    </row>
    <row r="1612" spans="1:11">
      <c r="A1612" s="22" t="str">
        <f>HYPERLINK("https://app.vivvix.com/360/KMI/IntelliDrive/ApplUI/Pages/CreativePages/CustomReportCreativeDetail.aspx?App=23&amp;ReportView=4&amp;Qid=1696098&amp;Row=1604&amp;Col=1","with so many choices")</f>
        <v/>
      </c>
      <c r="B1612" s="0" t="s">
        <v>1722</v>
      </c>
      <c r="C1612" s="0" t="s">
        <v>1723</v>
      </c>
      <c r="D1612" s="0" t="s">
        <v>1723</v>
      </c>
      <c r="E1612" s="0" t="s">
        <v>12</v>
      </c>
      <c r="F1612" s="0" t="s">
        <v>12</v>
      </c>
      <c r="G1612" s="0" t="s">
        <v>13</v>
      </c>
      <c r="I1612" s="5">
        <v>326643.000000</v>
      </c>
      <c r="J1612" s="5">
        <v>221.000000</v>
      </c>
    </row>
    <row r="1613" spans="1:11">
      <c r="A1613" s="22" t="str">
        <f>HYPERLINK("https://app.vivvix.com/360/KMI/IntelliDrive/ApplUI/Pages/CreativePages/CustomReportCreativeDetail.aspx?App=23&amp;ReportView=4&amp;Qid=1696098&amp;Row=1605&amp;Col=1","with so many choices")</f>
        <v/>
      </c>
      <c r="B1613" s="0" t="s">
        <v>1722</v>
      </c>
      <c r="C1613" s="0" t="s">
        <v>1723</v>
      </c>
      <c r="D1613" s="0" t="s">
        <v>1723</v>
      </c>
      <c r="E1613" s="0" t="s">
        <v>12</v>
      </c>
      <c r="F1613" s="0" t="s">
        <v>12</v>
      </c>
      <c r="G1613" s="0" t="s">
        <v>14</v>
      </c>
      <c r="I1613" s="5">
        <v>131397.000000</v>
      </c>
      <c r="J1613" s="5">
        <v>15.000000</v>
      </c>
    </row>
    <row r="1614" spans="1:11">
      <c r="A1614" s="22" t="str">
        <f>HYPERLINK("https://app.vivvix.com/360/KMI/IntelliDrive/ApplUI/Pages/CreativePages/CustomReportCreativeDetail.aspx?App=23&amp;ReportView=4&amp;Qid=1696098&amp;Row=1606&amp;Col=1","with so many choices")</f>
        <v/>
      </c>
      <c r="B1614" s="0" t="s">
        <v>1722</v>
      </c>
      <c r="C1614" s="0" t="s">
        <v>1723</v>
      </c>
      <c r="D1614" s="0" t="s">
        <v>1723</v>
      </c>
      <c r="E1614" s="0" t="s">
        <v>12</v>
      </c>
      <c r="F1614" s="0" t="s">
        <v>12</v>
      </c>
      <c r="G1614" s="0" t="s">
        <v>15</v>
      </c>
      <c r="I1614" s="5">
        <v>32.000000</v>
      </c>
      <c r="J1614" s="5">
        <v>3.000000</v>
      </c>
    </row>
    <row r="1615" spans="1:11">
      <c r="A1615" s="22" t="str">
        <f>HYPERLINK("https://app.vivvix.com/360/KMI/IntelliDrive/ApplUI/Pages/CreativePages/CustomReportCreativeDetail.aspx?App=23&amp;ReportView=4&amp;Qid=1696098&amp;Row=1607&amp;Col=1","with So Many Choices like waterfront hotel")</f>
        <v/>
      </c>
      <c r="B1615" s="0" t="s">
        <v>1724</v>
      </c>
      <c r="C1615" s="0" t="s">
        <v>1725</v>
      </c>
      <c r="D1615" s="0" t="s">
        <v>1725</v>
      </c>
      <c r="E1615" s="0" t="s">
        <v>12</v>
      </c>
      <c r="F1615" s="0" t="s">
        <v>12</v>
      </c>
      <c r="G1615" s="0" t="s">
        <v>13</v>
      </c>
      <c r="I1615" s="5">
        <v>2762980.000000</v>
      </c>
      <c r="J1615" s="5">
        <v>247.000000</v>
      </c>
    </row>
    <row r="1616" spans="1:11">
      <c r="A1616" s="22" t="str">
        <f>HYPERLINK("https://app.vivvix.com/360/KMI/IntelliDrive/ApplUI/Pages/CreativePages/CustomReportCreativeDetail.aspx?App=23&amp;ReportView=4&amp;Qid=1696098&amp;Row=1608&amp;Col=1","with So Many Choices like waterfront hotel")</f>
        <v/>
      </c>
      <c r="B1616" s="0" t="s">
        <v>1724</v>
      </c>
      <c r="C1616" s="0" t="s">
        <v>1725</v>
      </c>
      <c r="D1616" s="0" t="s">
        <v>1725</v>
      </c>
      <c r="E1616" s="0" t="s">
        <v>12</v>
      </c>
      <c r="F1616" s="0" t="s">
        <v>12</v>
      </c>
      <c r="G1616" s="0" t="s">
        <v>14</v>
      </c>
      <c r="I1616" s="5">
        <v>1709753.000000</v>
      </c>
      <c r="J1616" s="5">
        <v>23.000000</v>
      </c>
    </row>
    <row r="1617" spans="1:11">
      <c r="A1617" s="22" t="str">
        <f>HYPERLINK("https://app.vivvix.com/360/KMI/IntelliDrive/ApplUI/Pages/CreativePages/CustomReportCreativeDetail.aspx?App=23&amp;ReportView=4&amp;Qid=1696098&amp;Row=1609&amp;Col=1","with So Many Choices like waterfront hotel")</f>
        <v/>
      </c>
      <c r="B1617" s="0" t="s">
        <v>1724</v>
      </c>
      <c r="C1617" s="0" t="s">
        <v>1725</v>
      </c>
      <c r="D1617" s="0" t="s">
        <v>1725</v>
      </c>
      <c r="E1617" s="0" t="s">
        <v>12</v>
      </c>
      <c r="F1617" s="0" t="s">
        <v>12</v>
      </c>
      <c r="G1617" s="0" t="s">
        <v>15</v>
      </c>
      <c r="I1617" s="5">
        <v>12312.000000</v>
      </c>
      <c r="J1617" s="5">
        <v>49.000000</v>
      </c>
    </row>
    <row r="1618" spans="1:11">
      <c r="A1618" s="22" t="str">
        <f>HYPERLINK("https://app.vivvix.com/360/KMI/IntelliDrive/ApplUI/Pages/CreativePages/CustomReportCreativeDetail.aspx?App=23&amp;ReportView=4&amp;Qid=1696098&amp;Row=1610&amp;Col=1","you can book whoever you want to be")</f>
        <v/>
      </c>
      <c r="B1618" s="0" t="s">
        <v>1726</v>
      </c>
      <c r="C1618" s="0" t="s">
        <v>1727</v>
      </c>
      <c r="D1618" s="0" t="s">
        <v>1727</v>
      </c>
      <c r="E1618" s="0" t="s">
        <v>12</v>
      </c>
      <c r="F1618" s="0" t="s">
        <v>12</v>
      </c>
      <c r="G1618" s="0" t="s">
        <v>13</v>
      </c>
      <c r="I1618" s="5">
        <v>3384857.000000</v>
      </c>
      <c r="J1618" s="5">
        <v>1734.000000</v>
      </c>
    </row>
    <row r="1619" spans="1:11">
      <c r="A1619" s="22" t="str">
        <f>HYPERLINK("https://app.vivvix.com/360/KMI/IntelliDrive/ApplUI/Pages/CreativePages/CustomReportCreativeDetail.aspx?App=23&amp;ReportView=4&amp;Qid=1696098&amp;Row=1611&amp;Col=1","you can book whoever you want to be")</f>
        <v/>
      </c>
      <c r="B1619" s="0" t="s">
        <v>1726</v>
      </c>
      <c r="C1619" s="0" t="s">
        <v>1727</v>
      </c>
      <c r="D1619" s="0" t="s">
        <v>1727</v>
      </c>
      <c r="E1619" s="0" t="s">
        <v>12</v>
      </c>
      <c r="F1619" s="0" t="s">
        <v>12</v>
      </c>
      <c r="G1619" s="0" t="s">
        <v>14</v>
      </c>
      <c r="I1619" s="5">
        <v>1382591.000000</v>
      </c>
      <c r="J1619" s="5">
        <v>114.000000</v>
      </c>
    </row>
    <row r="1620" spans="1:11">
      <c r="A1620" s="22" t="str">
        <f>HYPERLINK("https://app.vivvix.com/360/KMI/IntelliDrive/ApplUI/Pages/CreativePages/CustomReportCreativeDetail.aspx?App=23&amp;ReportView=4&amp;Qid=1696098&amp;Row=1612&amp;Col=1","you can book whoever you want to be")</f>
        <v/>
      </c>
      <c r="B1620" s="0" t="s">
        <v>1726</v>
      </c>
      <c r="C1620" s="0" t="s">
        <v>1727</v>
      </c>
      <c r="D1620" s="0" t="s">
        <v>1727</v>
      </c>
      <c r="E1620" s="0" t="s">
        <v>12</v>
      </c>
      <c r="F1620" s="0" t="s">
        <v>12</v>
      </c>
      <c r="G1620" s="0" t="s">
        <v>15</v>
      </c>
      <c r="I1620" s="5">
        <v>847.000000</v>
      </c>
      <c r="J1620" s="5">
        <v>12.000000</v>
      </c>
    </row>
    <row r="1621" spans="1:11">
      <c r="A1621" s="11" t="s">
        <v>1728</v>
      </c>
      <c r="B1621" s="11" t="inlineStr">
        <is>
          <t xml:space="preserve"/>
        </is>
      </c>
      <c r="C1621" s="11" t="inlineStr">
        <is>
          <t xml:space="preserve"/>
        </is>
      </c>
      <c r="D1621" s="11" t="inlineStr">
        <is>
          <t xml:space="preserve"/>
        </is>
      </c>
      <c r="E1621" s="11" t="inlineStr">
        <is>
          <t xml:space="preserve"/>
        </is>
      </c>
      <c r="F1621" s="11" t="inlineStr">
        <is>
          <t xml:space="preserve"/>
        </is>
      </c>
      <c r="G1621" s="11" t="inlineStr">
        <is>
          <t xml:space="preserve"/>
        </is>
      </c>
      <c r="H1621" s="11" t="inlineStr">
        <is>
          <t xml:space="preserve"/>
        </is>
      </c>
      <c r="I1621" s="17">
        <v>127084975.057300</v>
      </c>
      <c r="J1621" s="17">
        <v>820886.000000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27"/>
  <sheetViews>
    <sheetView workbookViewId="0"/>
  </sheetViews>
  <sheetFormatPr defaultRowHeight="15"/>
  <cols>
    <col min="1" max="1" width="45" customWidth="1"/>
    <col min="2" max="2" width="45" customWidth="1"/>
    <col min="3" max="3" width="45" customWidth="1"/>
    <col min="4" max="4" width="45" customWidth="1"/>
  </cols>
  <sheetData>
    <row r="5" spans="1:4">
      <c r="A5" s="10" t="inlineStr">
        <is>
          <t xml:space="preserve">Report Title:  </t>
        </is>
      </c>
      <c r="B5" s="0" t="inlineStr">
        <is>
          <t xml:space="preserve">booking.com_2024</t>
        </is>
      </c>
    </row>
    <row r="6" spans="1:4">
      <c r="A6" s="10" t="inlineStr">
        <is>
          <t xml:space="preserve">Report Access:  </t>
        </is>
      </c>
      <c r="B6" s="0" t="inlineStr">
        <is>
          <t xml:space="preserve">PRIVATE                                 </t>
        </is>
      </c>
    </row>
    <row r="7" spans="1:4">
      <c r="A7" s="10" t="inlineStr">
        <is>
          <t xml:space="preserve">Report Owner:  </t>
        </is>
      </c>
      <c r="B7" s="0" t="inlineStr">
        <is>
          <t xml:space="preserve">Yulia Dubizhansky</t>
        </is>
      </c>
    </row>
    <row r="8" spans="1:4">
      <c r="A8" s="10" t="inlineStr">
        <is>
          <t xml:space="preserve">Report Completed:</t>
        </is>
      </c>
      <c r="B8" s="0" t="inlineStr">
        <is>
          <t xml:space="preserve">10/25/2025 17:16:31 EDT</t>
        </is>
      </c>
    </row>
    <row r="9" spans="1:4">
      <c r="A9" s="10" t="inlineStr">
        <is>
          <t xml:space="preserve">Expiration:</t>
        </is>
      </c>
      <c r="B9" s="0" t="inlineStr">
        <is>
          <t xml:space="preserve">12/09/2025</t>
        </is>
      </c>
    </row>
    <row r="10" spans="1:4">
      <c r="A10" s="10" t="inlineStr">
        <is>
          <t xml:space="preserve">Report ID:  </t>
        </is>
      </c>
      <c r="B10" s="0" t="inlineStr">
        <is>
          <t xml:space="preserve">1696090</t>
        </is>
      </c>
    </row>
    <row r="11" spans="1:4">
      <c r="A11" s="10" t="inlineStr">
        <is>
          <t xml:space="preserve">Reported Time Period:</t>
        </is>
      </c>
      <c r="B11" s="0" t="inlineStr">
        <is>
          <t xml:space="preserve">1/1/2024-12/31/2024 </t>
        </is>
      </c>
    </row>
    <row r="12" spans="1:4">
      <c r="A12" s="10" t="inlineStr">
        <is>
          <t xml:space="preserve">Original Populating Profile:</t>
        </is>
      </c>
      <c r="B12" s="0" t="inlineStr">
        <is>
          <t xml:space="preserve">My New Profile</t>
        </is>
      </c>
    </row>
    <row r="13" spans="1:1">
      <c r="A13" s="10" t="inlineStr">
        <is>
          <t xml:space="preserve">Availability</t>
        </is>
      </c>
      <c r="B13" s="10" t="inlineStr">
        <is>
          <t xml:space="preserve">Preliminary Ads:</t>
        </is>
      </c>
      <c r="C13" s="10" t="inlineStr">
        <is>
          <t xml:space="preserve">Final All:</t>
        </is>
      </c>
    </row>
    <row r="14" spans="1:1">
      <c r="A14" s="0" t="inlineStr">
        <is>
          <t xml:space="preserve">Magazines</t>
        </is>
      </c>
      <c r="B14" s="0" t="inlineStr">
        <is>
          <t xml:space="preserve">11/01/2025</t>
        </is>
      </c>
      <c r="C14" s="0" t="inlineStr">
        <is>
          <t xml:space="preserve">09/30/2025</t>
        </is>
      </c>
    </row>
    <row r="15" spans="1:1">
      <c r="A15" s="0" t="inlineStr">
        <is>
          <t xml:space="preserve">Sunday Magazines</t>
        </is>
      </c>
      <c r="B15" s="0" t="inlineStr">
        <is>
          <t xml:space="preserve">10/19/2025</t>
        </is>
      </c>
      <c r="C15" s="0" t="inlineStr">
        <is>
          <t xml:space="preserve">09/30/2025</t>
        </is>
      </c>
    </row>
    <row r="16" spans="1:1">
      <c r="A16" s="0" t="inlineStr">
        <is>
          <t xml:space="preserve">Network TV</t>
        </is>
      </c>
      <c r="B16" s="0" t="inlineStr">
        <is>
          <t xml:space="preserve">10/24/2025</t>
        </is>
      </c>
      <c r="C16" s="0" t="inlineStr">
        <is>
          <t xml:space="preserve">09/30/2025</t>
        </is>
      </c>
    </row>
    <row r="17" spans="1:1">
      <c r="A17" s="0" t="inlineStr">
        <is>
          <t xml:space="preserve">Syndication</t>
        </is>
      </c>
      <c r="B17" s="0" t="inlineStr">
        <is>
          <t xml:space="preserve">10/23/2025</t>
        </is>
      </c>
      <c r="C17" s="0" t="inlineStr">
        <is>
          <t xml:space="preserve">09/30/2025</t>
        </is>
      </c>
    </row>
    <row r="18" spans="1:1">
      <c r="A18" s="0" t="inlineStr">
        <is>
          <t xml:space="preserve">Cable TV</t>
        </is>
      </c>
      <c r="B18" s="0" t="inlineStr">
        <is>
          <t xml:space="preserve">10/24/2025</t>
        </is>
      </c>
      <c r="C18" s="0" t="inlineStr">
        <is>
          <t xml:space="preserve">09/30/2025</t>
        </is>
      </c>
    </row>
    <row r="19" spans="1:1">
      <c r="A19" s="0" t="inlineStr">
        <is>
          <t xml:space="preserve">Spot TV</t>
        </is>
      </c>
      <c r="B19" s="0" t="inlineStr">
        <is>
          <t xml:space="preserve">10/24/2025</t>
        </is>
      </c>
      <c r="C19" s="0" t="inlineStr">
        <is>
          <t xml:space="preserve">09/30/2025</t>
        </is>
      </c>
    </row>
    <row r="20" spans="1:1">
      <c r="A20" s="0" t="inlineStr">
        <is>
          <t xml:space="preserve">Internet - Display</t>
        </is>
      </c>
      <c r="B20" s="0" t="inlineStr">
        <is>
          <t xml:space="preserve">10/24/2025</t>
        </is>
      </c>
      <c r="C20" s="0" t="inlineStr">
        <is>
          <t xml:space="preserve">09/30/2025</t>
        </is>
      </c>
    </row>
    <row r="21" spans="1:1">
      <c r="A21" s="0" t="inlineStr">
        <is>
          <t xml:space="preserve">Newspapers</t>
        </is>
      </c>
      <c r="B21" s="0" t="inlineStr">
        <is>
          <t xml:space="preserve">10/23/2025</t>
        </is>
      </c>
      <c r="C21" s="0" t="inlineStr">
        <is>
          <t xml:space="preserve">09/30/2025</t>
        </is>
      </c>
    </row>
    <row r="22" spans="1:1">
      <c r="A22" s="0" t="inlineStr">
        <is>
          <t xml:space="preserve">Online Video</t>
        </is>
      </c>
      <c r="B22" s="0" t="inlineStr">
        <is>
          <t xml:space="preserve">10/24/2025</t>
        </is>
      </c>
      <c r="C22" s="0" t="inlineStr">
        <is>
          <t xml:space="preserve">09/30/2025</t>
        </is>
      </c>
    </row>
    <row r="23" spans="1:1">
      <c r="A23" s="0" t="inlineStr">
        <is>
          <t xml:space="preserve">Mobile Web</t>
        </is>
      </c>
      <c r="B23" s="0" t="inlineStr">
        <is>
          <t xml:space="preserve">10/24/2025</t>
        </is>
      </c>
      <c r="C23" s="0" t="inlineStr">
        <is>
          <t xml:space="preserve">09/30/2025</t>
        </is>
      </c>
    </row>
    <row r="24" spans="1:1">
      <c r="A24" s="0" t="inlineStr">
        <is>
          <t xml:space="preserve">Mobile Web Video</t>
        </is>
      </c>
      <c r="B24" s="0" t="inlineStr">
        <is>
          <t xml:space="preserve">10/24/2025</t>
        </is>
      </c>
      <c r="C24" s="0" t="inlineStr">
        <is>
          <t xml:space="preserve">09/30/2025</t>
        </is>
      </c>
    </row>
    <row r="26" spans="1:1">
      <c r="A26" s="10" t="inlineStr">
        <is>
          <t xml:space="preserve">Layout</t>
        </is>
      </c>
    </row>
    <row r="27" spans="1:1">
      <c r="A27" s="10" t="inlineStr">
        <is>
          <t xml:space="preserve">  Column/Type</t>
        </is>
      </c>
    </row>
    <row r="28" spans="1:1">
      <c r="A28" s="0" t="inlineStr">
        <is>
          <t xml:space="preserve">    Pivot Export</t>
        </is>
      </c>
    </row>
    <row r="29" spans="1:1">
      <c r="A29" s="10" t="inlineStr">
        <is>
          <t xml:space="preserve">  Sorts</t>
        </is>
      </c>
    </row>
    <row r="30" spans="1:1">
      <c r="A30" s="0" t="inlineStr">
        <is>
          <t xml:space="preserve">    Creative</t>
        </is>
      </c>
      <c r="B30" s="0" t="inlineStr">
        <is>
          <t xml:space="preserve">Links Expire 12/09/2025</t>
        </is>
      </c>
    </row>
    <row r="31" spans="1:1">
      <c r="A31" s="0" t="inlineStr">
        <is>
          <t xml:space="preserve">    Master Creative ID</t>
        </is>
      </c>
    </row>
    <row r="32" spans="1:1">
      <c r="A32" s="0" t="inlineStr">
        <is>
          <t xml:space="preserve">    Parent Creative ID</t>
        </is>
      </c>
    </row>
    <row r="33" spans="1:1">
      <c r="A33" s="0" t="inlineStr">
        <is>
          <t xml:space="preserve">    Detail Creative ID</t>
        </is>
      </c>
    </row>
    <row r="34" spans="1:1">
      <c r="A34" s="0" t="inlineStr">
        <is>
          <t xml:space="preserve">    Advertiser</t>
        </is>
      </c>
    </row>
    <row r="35" spans="1:1">
      <c r="A35" s="0" t="inlineStr">
        <is>
          <t xml:space="preserve">    Brand</t>
        </is>
      </c>
    </row>
    <row r="36" spans="1:1">
      <c r="A36" s="0" t="inlineStr">
        <is>
          <t xml:space="preserve">    Media</t>
        </is>
      </c>
    </row>
    <row r="37" spans="1:1">
      <c r="A37" s="0" t="inlineStr">
        <is>
          <t xml:space="preserve">    Color</t>
        </is>
      </c>
    </row>
    <row r="38" spans="1:1">
      <c r="A38" s="10" t="inlineStr">
        <is>
          <t xml:space="preserve">  Measures/Calcs</t>
        </is>
      </c>
    </row>
    <row r="39" spans="1:1">
      <c r="A39" s="0" t="inlineStr">
        <is>
          <t xml:space="preserve">    Dollars</t>
        </is>
      </c>
      <c r="B39" s="0" t="inlineStr">
        <is>
          <t xml:space="preserve">Weights Applied - None</t>
        </is>
      </c>
    </row>
    <row r="40" spans="1:1">
      <c r="A40" s="0" t="inlineStr">
        <is>
          <t xml:space="preserve">    Units</t>
        </is>
      </c>
    </row>
    <row r="41" spans="1:1">
      <c r="A41" s="10" t="inlineStr">
        <is>
          <t xml:space="preserve">Media/Markets</t>
        </is>
      </c>
    </row>
    <row r="42" spans="1:1">
      <c r="A42" s="10" t="inlineStr">
        <is>
          <t xml:space="preserve">  Media</t>
        </is>
      </c>
    </row>
    <row r="43" spans="1:1">
      <c r="A43" s="0" t="inlineStr">
        <is>
          <t xml:space="preserve">    Network TV</t>
        </is>
      </c>
    </row>
    <row r="44" spans="1:1">
      <c r="A44" s="0" t="inlineStr">
        <is>
          <t xml:space="preserve">    Syndication</t>
        </is>
      </c>
    </row>
    <row r="45" spans="1:1">
      <c r="A45" s="0" t="inlineStr">
        <is>
          <t xml:space="preserve">    Cable TV</t>
        </is>
      </c>
    </row>
    <row r="46" spans="1:1">
      <c r="A46" s="0" t="inlineStr">
        <is>
          <t xml:space="preserve">    Spot TV</t>
        </is>
      </c>
    </row>
    <row r="47" spans="1:1">
      <c r="A47" s="0" t="inlineStr">
        <is>
          <t xml:space="preserve">    Internet - Display</t>
        </is>
      </c>
    </row>
    <row r="48" spans="1:1">
      <c r="A48" s="0" t="inlineStr">
        <is>
          <t xml:space="preserve">    Online Video</t>
        </is>
      </c>
    </row>
    <row r="49" spans="1:1">
      <c r="A49" s="0" t="inlineStr">
        <is>
          <t xml:space="preserve">    Mobile Web</t>
        </is>
      </c>
    </row>
    <row r="50" spans="1:1">
      <c r="A50" s="0" t="inlineStr">
        <is>
          <t xml:space="preserve">    Mobile Web Video</t>
        </is>
      </c>
    </row>
    <row r="51" spans="1:1">
      <c r="A51" s="0" t="inlineStr">
        <is>
          <t xml:space="preserve">    Magazines</t>
        </is>
      </c>
    </row>
    <row r="52" spans="1:1">
      <c r="A52" s="0" t="inlineStr">
        <is>
          <t xml:space="preserve">    Sunday Magazines</t>
        </is>
      </c>
    </row>
    <row r="53" spans="1:1">
      <c r="A53" s="0" t="inlineStr">
        <is>
          <t xml:space="preserve">    Newspapers</t>
        </is>
      </c>
    </row>
    <row r="54" spans="1:1">
      <c r="A54" s="0" t="inlineStr">
        <is>
          <t xml:space="preserve">    House Ads: Excluded </t>
        </is>
      </c>
    </row>
    <row r="55" spans="1:1">
      <c r="A55" s="10" t="inlineStr">
        <is>
          <t xml:space="preserve">  Markets</t>
        </is>
      </c>
    </row>
    <row r="56" spans="1:1">
      <c r="A56" s="0" t="inlineStr">
        <is>
          <t xml:space="preserve">    * TOTAL US</t>
        </is>
      </c>
    </row>
    <row r="57" spans="1:1">
      <c r="A57" s="0" t="inlineStr">
        <is>
          <t xml:space="preserve">    ABILENE</t>
        </is>
      </c>
    </row>
    <row r="58" spans="1:1">
      <c r="A58" s="0" t="inlineStr">
        <is>
          <t xml:space="preserve">    ALBANY,GA</t>
        </is>
      </c>
    </row>
    <row r="59" spans="1:1">
      <c r="A59" s="0" t="inlineStr">
        <is>
          <t xml:space="preserve">    ALBANY,NY</t>
        </is>
      </c>
    </row>
    <row r="60" spans="1:1">
      <c r="A60" s="0" t="inlineStr">
        <is>
          <t xml:space="preserve">    ALBUQUERQUE</t>
        </is>
      </c>
    </row>
    <row r="61" spans="1:1">
      <c r="A61" s="0" t="inlineStr">
        <is>
          <t xml:space="preserve">    ALEXANDRIA</t>
        </is>
      </c>
    </row>
    <row r="62" spans="1:1">
      <c r="A62" s="0" t="inlineStr">
        <is>
          <t xml:space="preserve">    ALPENA</t>
        </is>
      </c>
    </row>
    <row r="63" spans="1:1">
      <c r="A63" s="0" t="inlineStr">
        <is>
          <t xml:space="preserve">    AMARILLO</t>
        </is>
      </c>
    </row>
    <row r="64" spans="1:1">
      <c r="A64" s="0" t="inlineStr">
        <is>
          <t xml:space="preserve">    ANCHORAGE</t>
        </is>
      </c>
    </row>
    <row r="65" spans="1:1">
      <c r="A65" s="0" t="inlineStr">
        <is>
          <t xml:space="preserve">    ATLANTA</t>
        </is>
      </c>
    </row>
    <row r="66" spans="1:1">
      <c r="A66" s="0" t="inlineStr">
        <is>
          <t xml:space="preserve">    AUGUSTA</t>
        </is>
      </c>
    </row>
    <row r="67" spans="1:1">
      <c r="A67" s="0" t="inlineStr">
        <is>
          <t xml:space="preserve">    AUSTIN</t>
        </is>
      </c>
    </row>
    <row r="68" spans="1:1">
      <c r="A68" s="0" t="inlineStr">
        <is>
          <t xml:space="preserve">    BAKERSFIELD</t>
        </is>
      </c>
    </row>
    <row r="69" spans="1:1">
      <c r="A69" s="0" t="inlineStr">
        <is>
          <t xml:space="preserve">    BALTIMORE</t>
        </is>
      </c>
    </row>
    <row r="70" spans="1:1">
      <c r="A70" s="0" t="inlineStr">
        <is>
          <t xml:space="preserve">    BANGOR</t>
        </is>
      </c>
    </row>
    <row r="71" spans="1:1">
      <c r="A71" s="0" t="inlineStr">
        <is>
          <t xml:space="preserve">    BATON ROUGE</t>
        </is>
      </c>
    </row>
    <row r="72" spans="1:1">
      <c r="A72" s="0" t="inlineStr">
        <is>
          <t xml:space="preserve">    BEAUMONT</t>
        </is>
      </c>
    </row>
    <row r="73" spans="1:1">
      <c r="A73" s="0" t="inlineStr">
        <is>
          <t xml:space="preserve">    BEND</t>
        </is>
      </c>
    </row>
    <row r="74" spans="1:1">
      <c r="A74" s="0" t="inlineStr">
        <is>
          <t xml:space="preserve">    BILLINGS</t>
        </is>
      </c>
    </row>
    <row r="75" spans="1:1">
      <c r="A75" s="0" t="inlineStr">
        <is>
          <t xml:space="preserve">    BILOXI</t>
        </is>
      </c>
    </row>
    <row r="76" spans="1:1">
      <c r="A76" s="0" t="inlineStr">
        <is>
          <t xml:space="preserve">    BINGHAMTON</t>
        </is>
      </c>
    </row>
    <row r="77" spans="1:1">
      <c r="A77" s="0" t="inlineStr">
        <is>
          <t xml:space="preserve">    BIRMINGHAM</t>
        </is>
      </c>
    </row>
    <row r="78" spans="1:1">
      <c r="A78" s="0" t="inlineStr">
        <is>
          <t xml:space="preserve">    BLUEFIELD</t>
        </is>
      </c>
    </row>
    <row r="79" spans="1:1">
      <c r="A79" s="0" t="inlineStr">
        <is>
          <t xml:space="preserve">    BOISE</t>
        </is>
      </c>
    </row>
    <row r="80" spans="1:1">
      <c r="A80" s="0" t="inlineStr">
        <is>
          <t xml:space="preserve">    BOSTON</t>
        </is>
      </c>
    </row>
    <row r="81" spans="1:1">
      <c r="A81" s="0" t="inlineStr">
        <is>
          <t xml:space="preserve">    BOWLING GREEN</t>
        </is>
      </c>
    </row>
    <row r="82" spans="1:1">
      <c r="A82" s="0" t="inlineStr">
        <is>
          <t xml:space="preserve">    BUFFALO</t>
        </is>
      </c>
    </row>
    <row r="83" spans="1:1">
      <c r="A83" s="0" t="inlineStr">
        <is>
          <t xml:space="preserve">    BURLINGTON</t>
        </is>
      </c>
    </row>
    <row r="84" spans="1:1">
      <c r="A84" s="0" t="inlineStr">
        <is>
          <t xml:space="preserve">    BUTTE</t>
        </is>
      </c>
    </row>
    <row r="85" spans="1:1">
      <c r="A85" s="0" t="inlineStr">
        <is>
          <t xml:space="preserve">    CASPER</t>
        </is>
      </c>
    </row>
    <row r="86" spans="1:1">
      <c r="A86" s="0" t="inlineStr">
        <is>
          <t xml:space="preserve">    CEDAR RAPIDS</t>
        </is>
      </c>
    </row>
    <row r="87" spans="1:1">
      <c r="A87" s="0" t="inlineStr">
        <is>
          <t xml:space="preserve">    CHAMPAIGN</t>
        </is>
      </c>
    </row>
    <row r="88" spans="1:1">
      <c r="A88" s="0" t="inlineStr">
        <is>
          <t xml:space="preserve">    CHARLESTON,SC</t>
        </is>
      </c>
    </row>
    <row r="89" spans="1:1">
      <c r="A89" s="0" t="inlineStr">
        <is>
          <t xml:space="preserve">    CHARLESTON,WV</t>
        </is>
      </c>
    </row>
    <row r="90" spans="1:1">
      <c r="A90" s="0" t="inlineStr">
        <is>
          <t xml:space="preserve">    CHARLOTTE</t>
        </is>
      </c>
    </row>
    <row r="91" spans="1:1">
      <c r="A91" s="0" t="inlineStr">
        <is>
          <t xml:space="preserve">    CHARLOTTESVILL</t>
        </is>
      </c>
    </row>
    <row r="92" spans="1:1">
      <c r="A92" s="0" t="inlineStr">
        <is>
          <t xml:space="preserve">    CHATTANOOGA</t>
        </is>
      </c>
    </row>
    <row r="93" spans="1:1">
      <c r="A93" s="0" t="inlineStr">
        <is>
          <t xml:space="preserve">    CHEYENNE</t>
        </is>
      </c>
    </row>
    <row r="94" spans="1:1">
      <c r="A94" s="0" t="inlineStr">
        <is>
          <t xml:space="preserve">    CHICAGO</t>
        </is>
      </c>
    </row>
    <row r="95" spans="1:1">
      <c r="A95" s="0" t="inlineStr">
        <is>
          <t xml:space="preserve">    CHICO</t>
        </is>
      </c>
    </row>
    <row r="96" spans="1:1">
      <c r="A96" s="0" t="inlineStr">
        <is>
          <t xml:space="preserve">    CINCINNATI</t>
        </is>
      </c>
    </row>
    <row r="97" spans="1:1">
      <c r="A97" s="0" t="inlineStr">
        <is>
          <t xml:space="preserve">    CLARKSBURG</t>
        </is>
      </c>
    </row>
    <row r="98" spans="1:1">
      <c r="A98" s="0" t="inlineStr">
        <is>
          <t xml:space="preserve">    CLEVELAND</t>
        </is>
      </c>
    </row>
    <row r="99" spans="1:1">
      <c r="A99" s="0" t="inlineStr">
        <is>
          <t xml:space="preserve">    COLORADO SPRGS</t>
        </is>
      </c>
    </row>
    <row r="100" spans="1:1">
      <c r="A100" s="0" t="inlineStr">
        <is>
          <t xml:space="preserve">    COLUMBIA,MO</t>
        </is>
      </c>
    </row>
    <row r="101" spans="1:1">
      <c r="A101" s="0" t="inlineStr">
        <is>
          <t xml:space="preserve">    COLUMBIA,SC</t>
        </is>
      </c>
    </row>
    <row r="102" spans="1:1">
      <c r="A102" s="0" t="inlineStr">
        <is>
          <t xml:space="preserve">    COLUMBUS,GA</t>
        </is>
      </c>
    </row>
    <row r="103" spans="1:1">
      <c r="A103" s="0" t="inlineStr">
        <is>
          <t xml:space="preserve">    COLUMBUS,MS</t>
        </is>
      </c>
    </row>
    <row r="104" spans="1:1">
      <c r="A104" s="0" t="inlineStr">
        <is>
          <t xml:space="preserve">    COLUMBUS,OH</t>
        </is>
      </c>
    </row>
    <row r="105" spans="1:1">
      <c r="A105" s="0" t="inlineStr">
        <is>
          <t xml:space="preserve">    CORPUS CHRISTI</t>
        </is>
      </c>
    </row>
    <row r="106" spans="1:1">
      <c r="A106" s="0" t="inlineStr">
        <is>
          <t xml:space="preserve">    DALLAS</t>
        </is>
      </c>
    </row>
    <row r="107" spans="1:1">
      <c r="A107" s="0" t="inlineStr">
        <is>
          <t xml:space="preserve">    DAVENPORT</t>
        </is>
      </c>
    </row>
    <row r="108" spans="1:1">
      <c r="A108" s="0" t="inlineStr">
        <is>
          <t xml:space="preserve">    DAYTON</t>
        </is>
      </c>
    </row>
    <row r="109" spans="1:1">
      <c r="A109" s="0" t="inlineStr">
        <is>
          <t xml:space="preserve">    DENVER</t>
        </is>
      </c>
    </row>
    <row r="110" spans="1:1">
      <c r="A110" s="0" t="inlineStr">
        <is>
          <t xml:space="preserve">    DES MOINES</t>
        </is>
      </c>
    </row>
    <row r="111" spans="1:1">
      <c r="A111" s="0" t="inlineStr">
        <is>
          <t xml:space="preserve">    DETROIT</t>
        </is>
      </c>
    </row>
    <row r="112" spans="1:1">
      <c r="A112" s="0" t="inlineStr">
        <is>
          <t xml:space="preserve">    DOTHAN</t>
        </is>
      </c>
    </row>
    <row r="113" spans="1:1">
      <c r="A113" s="0" t="inlineStr">
        <is>
          <t xml:space="preserve">    DULUTH</t>
        </is>
      </c>
    </row>
    <row r="114" spans="1:1">
      <c r="A114" s="0" t="inlineStr">
        <is>
          <t xml:space="preserve">    EL PASO</t>
        </is>
      </c>
    </row>
    <row r="115" spans="1:1">
      <c r="A115" s="0" t="inlineStr">
        <is>
          <t xml:space="preserve">    ELMIRA</t>
        </is>
      </c>
    </row>
    <row r="116" spans="1:1">
      <c r="A116" s="0" t="inlineStr">
        <is>
          <t xml:space="preserve">    ERIE</t>
        </is>
      </c>
    </row>
    <row r="117" spans="1:1">
      <c r="A117" s="0" t="inlineStr">
        <is>
          <t xml:space="preserve">    EUGENE</t>
        </is>
      </c>
    </row>
    <row r="118" spans="1:1">
      <c r="A118" s="0" t="inlineStr">
        <is>
          <t xml:space="preserve">    EUREKA</t>
        </is>
      </c>
    </row>
    <row r="119" spans="1:1">
      <c r="A119" s="0" t="inlineStr">
        <is>
          <t xml:space="preserve">    EVANSVILLE</t>
        </is>
      </c>
    </row>
    <row r="120" spans="1:1">
      <c r="A120" s="0" t="inlineStr">
        <is>
          <t xml:space="preserve">    FAIRBANKS</t>
        </is>
      </c>
    </row>
    <row r="121" spans="1:1">
      <c r="A121" s="0" t="inlineStr">
        <is>
          <t xml:space="preserve">    FARGO</t>
        </is>
      </c>
    </row>
    <row r="122" spans="1:1">
      <c r="A122" s="0" t="inlineStr">
        <is>
          <t xml:space="preserve">    FLINT</t>
        </is>
      </c>
    </row>
    <row r="123" spans="1:1">
      <c r="A123" s="0" t="inlineStr">
        <is>
          <t xml:space="preserve">    FRESNO</t>
        </is>
      </c>
    </row>
    <row r="124" spans="1:1">
      <c r="A124" s="0" t="inlineStr">
        <is>
          <t xml:space="preserve">    FT MYERS</t>
        </is>
      </c>
    </row>
    <row r="125" spans="1:1">
      <c r="A125" s="0" t="inlineStr">
        <is>
          <t xml:space="preserve">    FT SMITH</t>
        </is>
      </c>
    </row>
    <row r="126" spans="1:1">
      <c r="A126" s="0" t="inlineStr">
        <is>
          <t xml:space="preserve">    FT WAYNE</t>
        </is>
      </c>
    </row>
    <row r="127" spans="1:1">
      <c r="A127" s="0" t="inlineStr">
        <is>
          <t xml:space="preserve">    GAINESVILLE</t>
        </is>
      </c>
    </row>
    <row r="128" spans="1:1">
      <c r="A128" s="0" t="inlineStr">
        <is>
          <t xml:space="preserve">    GLENDIVE</t>
        </is>
      </c>
    </row>
    <row r="129" spans="1:1">
      <c r="A129" s="0" t="inlineStr">
        <is>
          <t xml:space="preserve">    GRAND JUNCTION</t>
        </is>
      </c>
    </row>
    <row r="130" spans="1:1">
      <c r="A130" s="0" t="inlineStr">
        <is>
          <t xml:space="preserve">    GRAND RAPIDS</t>
        </is>
      </c>
    </row>
    <row r="131" spans="1:1">
      <c r="A131" s="0" t="inlineStr">
        <is>
          <t xml:space="preserve">    GREAT FALLS</t>
        </is>
      </c>
    </row>
    <row r="132" spans="1:1">
      <c r="A132" s="0" t="inlineStr">
        <is>
          <t xml:space="preserve">    GREEN BAY</t>
        </is>
      </c>
    </row>
    <row r="133" spans="1:1">
      <c r="A133" s="0" t="inlineStr">
        <is>
          <t xml:space="preserve">    GREENSBORO</t>
        </is>
      </c>
    </row>
    <row r="134" spans="1:1">
      <c r="A134" s="0" t="inlineStr">
        <is>
          <t xml:space="preserve">    GREENVILLE,NC</t>
        </is>
      </c>
    </row>
    <row r="135" spans="1:1">
      <c r="A135" s="0" t="inlineStr">
        <is>
          <t xml:space="preserve">    GREENVILLE,SC</t>
        </is>
      </c>
    </row>
    <row r="136" spans="1:1">
      <c r="A136" s="0" t="inlineStr">
        <is>
          <t xml:space="preserve">    GREENWOOD</t>
        </is>
      </c>
    </row>
    <row r="137" spans="1:1">
      <c r="A137" s="0" t="inlineStr">
        <is>
          <t xml:space="preserve">    HARLINGEN</t>
        </is>
      </c>
    </row>
    <row r="138" spans="1:1">
      <c r="A138" s="0" t="inlineStr">
        <is>
          <t xml:space="preserve">    HARRISBURG</t>
        </is>
      </c>
    </row>
    <row r="139" spans="1:1">
      <c r="A139" s="0" t="inlineStr">
        <is>
          <t xml:space="preserve">    HARRISONBURG</t>
        </is>
      </c>
    </row>
    <row r="140" spans="1:1">
      <c r="A140" s="0" t="inlineStr">
        <is>
          <t xml:space="preserve">    HARTFORD</t>
        </is>
      </c>
    </row>
    <row r="141" spans="1:1">
      <c r="A141" s="0" t="inlineStr">
        <is>
          <t xml:space="preserve">    HATTIESBURG</t>
        </is>
      </c>
    </row>
    <row r="142" spans="1:1">
      <c r="A142" s="0" t="inlineStr">
        <is>
          <t xml:space="preserve">    HELENA</t>
        </is>
      </c>
    </row>
    <row r="143" spans="1:1">
      <c r="A143" s="0" t="inlineStr">
        <is>
          <t xml:space="preserve">    HONOLULU</t>
        </is>
      </c>
    </row>
    <row r="144" spans="1:1">
      <c r="A144" s="0" t="inlineStr">
        <is>
          <t xml:space="preserve">    HOUSTON</t>
        </is>
      </c>
    </row>
    <row r="145" spans="1:1">
      <c r="A145" s="0" t="inlineStr">
        <is>
          <t xml:space="preserve">    HUNTSVILLE</t>
        </is>
      </c>
    </row>
    <row r="146" spans="1:1">
      <c r="A146" s="0" t="inlineStr">
        <is>
          <t xml:space="preserve">    IDAHO FALLS</t>
        </is>
      </c>
    </row>
    <row r="147" spans="1:1">
      <c r="A147" s="0" t="inlineStr">
        <is>
          <t xml:space="preserve">    INDIANAPOLIS</t>
        </is>
      </c>
    </row>
    <row r="148" spans="1:1">
      <c r="A148" s="0" t="inlineStr">
        <is>
          <t xml:space="preserve">    JACKSON,MS</t>
        </is>
      </c>
    </row>
    <row r="149" spans="1:1">
      <c r="A149" s="0" t="inlineStr">
        <is>
          <t xml:space="preserve">    JACKSON,TN</t>
        </is>
      </c>
    </row>
    <row r="150" spans="1:1">
      <c r="A150" s="0" t="inlineStr">
        <is>
          <t xml:space="preserve">    JACKSONVILLE</t>
        </is>
      </c>
    </row>
    <row r="151" spans="1:1">
      <c r="A151" s="0" t="inlineStr">
        <is>
          <t xml:space="preserve">    JOHNSTOWN</t>
        </is>
      </c>
    </row>
    <row r="152" spans="1:1">
      <c r="A152" s="0" t="inlineStr">
        <is>
          <t xml:space="preserve">    JONESBORO</t>
        </is>
      </c>
    </row>
    <row r="153" spans="1:1">
      <c r="A153" s="0" t="inlineStr">
        <is>
          <t xml:space="preserve">    JOPLIN</t>
        </is>
      </c>
    </row>
    <row r="154" spans="1:1">
      <c r="A154" s="0" t="inlineStr">
        <is>
          <t xml:space="preserve">    JUNEAU</t>
        </is>
      </c>
    </row>
    <row r="155" spans="1:1">
      <c r="A155" s="0" t="inlineStr">
        <is>
          <t xml:space="preserve">    KANSAS CITY</t>
        </is>
      </c>
    </row>
    <row r="156" spans="1:1">
      <c r="A156" s="0" t="inlineStr">
        <is>
          <t xml:space="preserve">    KNOXVILLE</t>
        </is>
      </c>
    </row>
    <row r="157" spans="1:1">
      <c r="A157" s="0" t="inlineStr">
        <is>
          <t xml:space="preserve">    LA CROSSE</t>
        </is>
      </c>
    </row>
    <row r="158" spans="1:1">
      <c r="A158" s="0" t="inlineStr">
        <is>
          <t xml:space="preserve">    LAFAYETTE,IN</t>
        </is>
      </c>
    </row>
    <row r="159" spans="1:1">
      <c r="A159" s="0" t="inlineStr">
        <is>
          <t xml:space="preserve">    LAFAYETTE,LA</t>
        </is>
      </c>
    </row>
    <row r="160" spans="1:1">
      <c r="A160" s="0" t="inlineStr">
        <is>
          <t xml:space="preserve">    LAKE CHARLES</t>
        </is>
      </c>
    </row>
    <row r="161" spans="1:1">
      <c r="A161" s="0" t="inlineStr">
        <is>
          <t xml:space="preserve">    LANSING</t>
        </is>
      </c>
    </row>
    <row r="162" spans="1:1">
      <c r="A162" s="0" t="inlineStr">
        <is>
          <t xml:space="preserve">    LAREDO</t>
        </is>
      </c>
    </row>
    <row r="163" spans="1:1">
      <c r="A163" s="0" t="inlineStr">
        <is>
          <t xml:space="preserve">    LAS VEGAS</t>
        </is>
      </c>
    </row>
    <row r="164" spans="1:1">
      <c r="A164" s="0" t="inlineStr">
        <is>
          <t xml:space="preserve">    LEXINGTON</t>
        </is>
      </c>
    </row>
    <row r="165" spans="1:1">
      <c r="A165" s="0" t="inlineStr">
        <is>
          <t xml:space="preserve">    LIMA</t>
        </is>
      </c>
    </row>
    <row r="166" spans="1:1">
      <c r="A166" s="0" t="inlineStr">
        <is>
          <t xml:space="preserve">    LINCOLN</t>
        </is>
      </c>
    </row>
    <row r="167" spans="1:1">
      <c r="A167" s="0" t="inlineStr">
        <is>
          <t xml:space="preserve">    LITTLE ROCK</t>
        </is>
      </c>
    </row>
    <row r="168" spans="1:1">
      <c r="A168" s="0" t="inlineStr">
        <is>
          <t xml:space="preserve">    LOS ANGELES</t>
        </is>
      </c>
    </row>
    <row r="169" spans="1:1">
      <c r="A169" s="0" t="inlineStr">
        <is>
          <t xml:space="preserve">    LOUISVILLE</t>
        </is>
      </c>
    </row>
    <row r="170" spans="1:1">
      <c r="A170" s="0" t="inlineStr">
        <is>
          <t xml:space="preserve">    LUBBOCK</t>
        </is>
      </c>
    </row>
    <row r="171" spans="1:1">
      <c r="A171" s="0" t="inlineStr">
        <is>
          <t xml:space="preserve">    MACON</t>
        </is>
      </c>
    </row>
    <row r="172" spans="1:1">
      <c r="A172" s="0" t="inlineStr">
        <is>
          <t xml:space="preserve">    MADISON</t>
        </is>
      </c>
    </row>
    <row r="173" spans="1:1">
      <c r="A173" s="0" t="inlineStr">
        <is>
          <t xml:space="preserve">    MANKATO</t>
        </is>
      </c>
    </row>
    <row r="174" spans="1:1">
      <c r="A174" s="0" t="inlineStr">
        <is>
          <t xml:space="preserve">    MARQUETTE</t>
        </is>
      </c>
    </row>
    <row r="175" spans="1:1">
      <c r="A175" s="0" t="inlineStr">
        <is>
          <t xml:space="preserve">    MEDFORD</t>
        </is>
      </c>
    </row>
    <row r="176" spans="1:1">
      <c r="A176" s="0" t="inlineStr">
        <is>
          <t xml:space="preserve">    MEMPHIS</t>
        </is>
      </c>
    </row>
    <row r="177" spans="1:1">
      <c r="A177" s="0" t="inlineStr">
        <is>
          <t xml:space="preserve">    MERIDIAN</t>
        </is>
      </c>
    </row>
    <row r="178" spans="1:1">
      <c r="A178" s="0" t="inlineStr">
        <is>
          <t xml:space="preserve">    MIAMI</t>
        </is>
      </c>
    </row>
    <row r="179" spans="1:1">
      <c r="A179" s="0" t="inlineStr">
        <is>
          <t xml:space="preserve">    MILWAUKEE</t>
        </is>
      </c>
    </row>
    <row r="180" spans="1:1">
      <c r="A180" s="0" t="inlineStr">
        <is>
          <t xml:space="preserve">    MINNEAPOLIS</t>
        </is>
      </c>
    </row>
    <row r="181" spans="1:1">
      <c r="A181" s="0" t="inlineStr">
        <is>
          <t xml:space="preserve">    MINOT</t>
        </is>
      </c>
    </row>
    <row r="182" spans="1:1">
      <c r="A182" s="0" t="inlineStr">
        <is>
          <t xml:space="preserve">    MISSOULA</t>
        </is>
      </c>
    </row>
    <row r="183" spans="1:1">
      <c r="A183" s="0" t="inlineStr">
        <is>
          <t xml:space="preserve">    MOBILE</t>
        </is>
      </c>
    </row>
    <row r="184" spans="1:1">
      <c r="A184" s="0" t="inlineStr">
        <is>
          <t xml:space="preserve">    MONROE</t>
        </is>
      </c>
    </row>
    <row r="185" spans="1:1">
      <c r="A185" s="0" t="inlineStr">
        <is>
          <t xml:space="preserve">    MONTEREY</t>
        </is>
      </c>
    </row>
    <row r="186" spans="1:1">
      <c r="A186" s="0" t="inlineStr">
        <is>
          <t xml:space="preserve">    MONTGOMERY</t>
        </is>
      </c>
    </row>
    <row r="187" spans="1:1">
      <c r="A187" s="0" t="inlineStr">
        <is>
          <t xml:space="preserve">    MYRTLE BEACH</t>
        </is>
      </c>
    </row>
    <row r="188" spans="1:1">
      <c r="A188" s="0" t="inlineStr">
        <is>
          <t xml:space="preserve">    NASHVILLE</t>
        </is>
      </c>
    </row>
    <row r="189" spans="1:1">
      <c r="A189" s="0" t="inlineStr">
        <is>
          <t xml:space="preserve">    NEW ORLEANS</t>
        </is>
      </c>
    </row>
    <row r="190" spans="1:1">
      <c r="A190" s="0" t="inlineStr">
        <is>
          <t xml:space="preserve">    NEW YORK</t>
        </is>
      </c>
    </row>
    <row r="191" spans="1:1">
      <c r="A191" s="0" t="inlineStr">
        <is>
          <t xml:space="preserve">    NORFOLK</t>
        </is>
      </c>
    </row>
    <row r="192" spans="1:1">
      <c r="A192" s="0" t="inlineStr">
        <is>
          <t xml:space="preserve">    NORTH PLATTE</t>
        </is>
      </c>
    </row>
    <row r="193" spans="1:1">
      <c r="A193" s="0" t="inlineStr">
        <is>
          <t xml:space="preserve">    ODESSA</t>
        </is>
      </c>
    </row>
    <row r="194" spans="1:1">
      <c r="A194" s="0" t="inlineStr">
        <is>
          <t xml:space="preserve">    OKLAHOMA CITY</t>
        </is>
      </c>
    </row>
    <row r="195" spans="1:1">
      <c r="A195" s="0" t="inlineStr">
        <is>
          <t xml:space="preserve">    OMAHA</t>
        </is>
      </c>
    </row>
    <row r="196" spans="1:1">
      <c r="A196" s="0" t="inlineStr">
        <is>
          <t xml:space="preserve">    ORLANDO</t>
        </is>
      </c>
    </row>
    <row r="197" spans="1:1">
      <c r="A197" s="0" t="inlineStr">
        <is>
          <t xml:space="preserve">    OTTUMWA</t>
        </is>
      </c>
    </row>
    <row r="198" spans="1:1">
      <c r="A198" s="0" t="inlineStr">
        <is>
          <t xml:space="preserve">    PADUCAH</t>
        </is>
      </c>
    </row>
    <row r="199" spans="1:1">
      <c r="A199" s="0" t="inlineStr">
        <is>
          <t xml:space="preserve">    PALM SPRINGS</t>
        </is>
      </c>
    </row>
    <row r="200" spans="1:1">
      <c r="A200" s="0" t="inlineStr">
        <is>
          <t xml:space="preserve">    PANAMA CITY</t>
        </is>
      </c>
    </row>
    <row r="201" spans="1:1">
      <c r="A201" s="0" t="inlineStr">
        <is>
          <t xml:space="preserve">    PARKERSBURG</t>
        </is>
      </c>
    </row>
    <row r="202" spans="1:1">
      <c r="A202" s="0" t="inlineStr">
        <is>
          <t xml:space="preserve">    PEORIA</t>
        </is>
      </c>
    </row>
    <row r="203" spans="1:1">
      <c r="A203" s="0" t="inlineStr">
        <is>
          <t xml:space="preserve">    PHILADELPHIA</t>
        </is>
      </c>
    </row>
    <row r="204" spans="1:1">
      <c r="A204" s="0" t="inlineStr">
        <is>
          <t xml:space="preserve">    PHOENIX</t>
        </is>
      </c>
    </row>
    <row r="205" spans="1:1">
      <c r="A205" s="0" t="inlineStr">
        <is>
          <t xml:space="preserve">    PITTSBURGH</t>
        </is>
      </c>
    </row>
    <row r="206" spans="1:1">
      <c r="A206" s="0" t="inlineStr">
        <is>
          <t xml:space="preserve">    PORTLAND,ME</t>
        </is>
      </c>
    </row>
    <row r="207" spans="1:1">
      <c r="A207" s="0" t="inlineStr">
        <is>
          <t xml:space="preserve">    PORTLAND,OR</t>
        </is>
      </c>
    </row>
    <row r="208" spans="1:1">
      <c r="A208" s="0" t="inlineStr">
        <is>
          <t xml:space="preserve">    PRESQUE ISLE</t>
        </is>
      </c>
    </row>
    <row r="209" spans="1:1">
      <c r="A209" s="0" t="inlineStr">
        <is>
          <t xml:space="preserve">    PROVIDENCE</t>
        </is>
      </c>
    </row>
    <row r="210" spans="1:1">
      <c r="A210" s="0" t="inlineStr">
        <is>
          <t xml:space="preserve">    QUINCY</t>
        </is>
      </c>
    </row>
    <row r="211" spans="1:1">
      <c r="A211" s="0" t="inlineStr">
        <is>
          <t xml:space="preserve">    RALEIGH</t>
        </is>
      </c>
    </row>
    <row r="212" spans="1:1">
      <c r="A212" s="0" t="inlineStr">
        <is>
          <t xml:space="preserve">    RAPID CITY</t>
        </is>
      </c>
    </row>
    <row r="213" spans="1:1">
      <c r="A213" s="0" t="inlineStr">
        <is>
          <t xml:space="preserve">    RENO</t>
        </is>
      </c>
    </row>
    <row r="214" spans="1:1">
      <c r="A214" s="0" t="inlineStr">
        <is>
          <t xml:space="preserve">    RICHMOND</t>
        </is>
      </c>
    </row>
    <row r="215" spans="1:1">
      <c r="A215" s="0" t="inlineStr">
        <is>
          <t xml:space="preserve">    ROANOKE</t>
        </is>
      </c>
    </row>
    <row r="216" spans="1:1">
      <c r="A216" s="0" t="inlineStr">
        <is>
          <t xml:space="preserve">    ROCHESTER,MN</t>
        </is>
      </c>
    </row>
    <row r="217" spans="1:1">
      <c r="A217" s="0" t="inlineStr">
        <is>
          <t xml:space="preserve">    ROCHESTER,NY</t>
        </is>
      </c>
    </row>
    <row r="218" spans="1:1">
      <c r="A218" s="0" t="inlineStr">
        <is>
          <t xml:space="preserve">    ROCKFORD</t>
        </is>
      </c>
    </row>
    <row r="219" spans="1:1">
      <c r="A219" s="0" t="inlineStr">
        <is>
          <t xml:space="preserve">    SACRAMENTO</t>
        </is>
      </c>
    </row>
    <row r="220" spans="1:1">
      <c r="A220" s="0" t="inlineStr">
        <is>
          <t xml:space="preserve">    SALISBURY</t>
        </is>
      </c>
    </row>
    <row r="221" spans="1:1">
      <c r="A221" s="0" t="inlineStr">
        <is>
          <t xml:space="preserve">    SALT LAKE CITY</t>
        </is>
      </c>
    </row>
    <row r="222" spans="1:1">
      <c r="A222" s="0" t="inlineStr">
        <is>
          <t xml:space="preserve">    SAN ANGELO</t>
        </is>
      </c>
    </row>
    <row r="223" spans="1:1">
      <c r="A223" s="0" t="inlineStr">
        <is>
          <t xml:space="preserve">    SAN ANTONIO</t>
        </is>
      </c>
    </row>
    <row r="224" spans="1:1">
      <c r="A224" s="0" t="inlineStr">
        <is>
          <t xml:space="preserve">    SAN DIEGO</t>
        </is>
      </c>
    </row>
    <row r="225" spans="1:1">
      <c r="A225" s="0" t="inlineStr">
        <is>
          <t xml:space="preserve">    SAN FRANCISCO</t>
        </is>
      </c>
    </row>
    <row r="226" spans="1:1">
      <c r="A226" s="0" t="inlineStr">
        <is>
          <t xml:space="preserve">    SANTA BARBARA</t>
        </is>
      </c>
    </row>
    <row r="227" spans="1:1">
      <c r="A227" s="0" t="inlineStr">
        <is>
          <t xml:space="preserve">    SAVANNAH</t>
        </is>
      </c>
    </row>
    <row r="228" spans="1:1">
      <c r="A228" s="0" t="inlineStr">
        <is>
          <t xml:space="preserve">    SEATTLE</t>
        </is>
      </c>
    </row>
    <row r="229" spans="1:1">
      <c r="A229" s="0" t="inlineStr">
        <is>
          <t xml:space="preserve">    SHERMAN</t>
        </is>
      </c>
    </row>
    <row r="230" spans="1:1">
      <c r="A230" s="0" t="inlineStr">
        <is>
          <t xml:space="preserve">    SHREVEPORT</t>
        </is>
      </c>
    </row>
    <row r="231" spans="1:1">
      <c r="A231" s="0" t="inlineStr">
        <is>
          <t xml:space="preserve">    SIOUX CITY</t>
        </is>
      </c>
    </row>
    <row r="232" spans="1:1">
      <c r="A232" s="0" t="inlineStr">
        <is>
          <t xml:space="preserve">    SIOUX FALLS</t>
        </is>
      </c>
    </row>
    <row r="233" spans="1:1">
      <c r="A233" s="0" t="inlineStr">
        <is>
          <t xml:space="preserve">    SOUTH BEND</t>
        </is>
      </c>
    </row>
    <row r="234" spans="1:1">
      <c r="A234" s="0" t="inlineStr">
        <is>
          <t xml:space="preserve">    SPOKANE</t>
        </is>
      </c>
    </row>
    <row r="235" spans="1:1">
      <c r="A235" s="0" t="inlineStr">
        <is>
          <t xml:space="preserve">    SPRINGFIELD,MA</t>
        </is>
      </c>
    </row>
    <row r="236" spans="1:1">
      <c r="A236" s="0" t="inlineStr">
        <is>
          <t xml:space="preserve">    SPRINGFIELD,MO</t>
        </is>
      </c>
    </row>
    <row r="237" spans="1:1">
      <c r="A237" s="0" t="inlineStr">
        <is>
          <t xml:space="preserve">    ST JOSEPH</t>
        </is>
      </c>
    </row>
    <row r="238" spans="1:1">
      <c r="A238" s="0" t="inlineStr">
        <is>
          <t xml:space="preserve">    ST LOUIS</t>
        </is>
      </c>
    </row>
    <row r="239" spans="1:1">
      <c r="A239" s="0" t="inlineStr">
        <is>
          <t xml:space="preserve">    SYRACUSE</t>
        </is>
      </c>
    </row>
    <row r="240" spans="1:1">
      <c r="A240" s="0" t="inlineStr">
        <is>
          <t xml:space="preserve">    TALLAHASSEE</t>
        </is>
      </c>
    </row>
    <row r="241" spans="1:1">
      <c r="A241" s="0" t="inlineStr">
        <is>
          <t xml:space="preserve">    TAMPA</t>
        </is>
      </c>
    </row>
    <row r="242" spans="1:1">
      <c r="A242" s="0" t="inlineStr">
        <is>
          <t xml:space="preserve">    TERRE HAUTE</t>
        </is>
      </c>
    </row>
    <row r="243" spans="1:1">
      <c r="A243" s="0" t="inlineStr">
        <is>
          <t xml:space="preserve">    TOLEDO</t>
        </is>
      </c>
    </row>
    <row r="244" spans="1:1">
      <c r="A244" s="0" t="inlineStr">
        <is>
          <t xml:space="preserve">    TOPEKA</t>
        </is>
      </c>
    </row>
    <row r="245" spans="1:1">
      <c r="A245" s="0" t="inlineStr">
        <is>
          <t xml:space="preserve">    TRAVERSE CITY</t>
        </is>
      </c>
    </row>
    <row r="246" spans="1:1">
      <c r="A246" s="0" t="inlineStr">
        <is>
          <t xml:space="preserve">    TRI CITIES</t>
        </is>
      </c>
    </row>
    <row r="247" spans="1:1">
      <c r="A247" s="0" t="inlineStr">
        <is>
          <t xml:space="preserve">    TUCSON</t>
        </is>
      </c>
    </row>
    <row r="248" spans="1:1">
      <c r="A248" s="0" t="inlineStr">
        <is>
          <t xml:space="preserve">    TULSA</t>
        </is>
      </c>
    </row>
    <row r="249" spans="1:1">
      <c r="A249" s="0" t="inlineStr">
        <is>
          <t xml:space="preserve">    TWIN FALLS</t>
        </is>
      </c>
    </row>
    <row r="250" spans="1:1">
      <c r="A250" s="0" t="inlineStr">
        <is>
          <t xml:space="preserve">    TYLER</t>
        </is>
      </c>
    </row>
    <row r="251" spans="1:1">
      <c r="A251" s="0" t="inlineStr">
        <is>
          <t xml:space="preserve">    UTICA</t>
        </is>
      </c>
    </row>
    <row r="252" spans="1:1">
      <c r="A252" s="0" t="inlineStr">
        <is>
          <t xml:space="preserve">    VICTORIA</t>
        </is>
      </c>
    </row>
    <row r="253" spans="1:1">
      <c r="A253" s="0" t="inlineStr">
        <is>
          <t xml:space="preserve">    WACO</t>
        </is>
      </c>
    </row>
    <row r="254" spans="1:1">
      <c r="A254" s="0" t="inlineStr">
        <is>
          <t xml:space="preserve">    WASHINGTON,DC</t>
        </is>
      </c>
    </row>
    <row r="255" spans="1:1">
      <c r="A255" s="0" t="inlineStr">
        <is>
          <t xml:space="preserve">    WATERTOWN</t>
        </is>
      </c>
    </row>
    <row r="256" spans="1:1">
      <c r="A256" s="0" t="inlineStr">
        <is>
          <t xml:space="preserve">    WAUSAU</t>
        </is>
      </c>
    </row>
    <row r="257" spans="1:1">
      <c r="A257" s="0" t="inlineStr">
        <is>
          <t xml:space="preserve">    WEST PALM BCH</t>
        </is>
      </c>
    </row>
    <row r="258" spans="1:1">
      <c r="A258" s="0" t="inlineStr">
        <is>
          <t xml:space="preserve">    WHEELING</t>
        </is>
      </c>
    </row>
    <row r="259" spans="1:1">
      <c r="A259" s="0" t="inlineStr">
        <is>
          <t xml:space="preserve">    WICHITA</t>
        </is>
      </c>
    </row>
    <row r="260" spans="1:1">
      <c r="A260" s="0" t="inlineStr">
        <is>
          <t xml:space="preserve">    WICHITA FALLS</t>
        </is>
      </c>
    </row>
    <row r="261" spans="1:1">
      <c r="A261" s="0" t="inlineStr">
        <is>
          <t xml:space="preserve">    WILKES BARRE</t>
        </is>
      </c>
    </row>
    <row r="262" spans="1:1">
      <c r="A262" s="0" t="inlineStr">
        <is>
          <t xml:space="preserve">    WILMINGTON</t>
        </is>
      </c>
    </row>
    <row r="263" spans="1:1">
      <c r="A263" s="0" t="inlineStr">
        <is>
          <t xml:space="preserve">    YAKIMA</t>
        </is>
      </c>
    </row>
    <row r="264" spans="1:1">
      <c r="A264" s="0" t="inlineStr">
        <is>
          <t xml:space="preserve">    YOUNGSTOWN</t>
        </is>
      </c>
    </row>
    <row r="265" spans="1:1">
      <c r="A265" s="0" t="inlineStr">
        <is>
          <t xml:space="preserve">    YUMA</t>
        </is>
      </c>
    </row>
    <row r="266" spans="1:1">
      <c r="A266" s="0" t="inlineStr">
        <is>
          <t xml:space="preserve">    ZANESVILLE</t>
        </is>
      </c>
    </row>
    <row r="267" spans="1:1">
      <c r="A267" s="0" t="inlineStr">
        <is>
          <t xml:space="preserve">    Digital Market Type: Property</t>
        </is>
      </c>
    </row>
    <row r="268" spans="1:1">
      <c r="A268" s="10" t="inlineStr">
        <is>
          <t xml:space="preserve">  Dayparts</t>
        </is>
      </c>
    </row>
    <row r="269" spans="1:1">
      <c r="A269" s="0" t="inlineStr">
        <is>
          <t xml:space="preserve">    Daypart Set: Default Dayparts</t>
        </is>
      </c>
    </row>
    <row r="270" spans="1:1">
      <c r="A270" s="0" t="inlineStr">
        <is>
          <t xml:space="preserve">    All</t>
        </is>
      </c>
    </row>
    <row r="271" spans="1:1">
      <c r="A271" s="10" t="inlineStr">
        <is>
          <t xml:space="preserve">  Languages</t>
        </is>
      </c>
    </row>
    <row r="272" spans="1:1">
      <c r="A272" s="0" t="inlineStr">
        <is>
          <t xml:space="preserve">    All</t>
        </is>
      </c>
    </row>
    <row r="273" spans="1:1">
      <c r="A273" s="10" t="inlineStr">
        <is>
          <t xml:space="preserve">Brands/Categories</t>
        </is>
      </c>
    </row>
    <row r="274" spans="1:1">
      <c r="A274" s="10" t="inlineStr">
        <is>
          <t xml:space="preserve">  Brands</t>
        </is>
      </c>
    </row>
    <row r="275" spans="1:1">
      <c r="A275" s="0" t="inlineStr">
        <is>
          <t xml:space="preserve">    Booking.com</t>
        </is>
      </c>
      <c r="B275" s="0" t="inlineStr">
        <is>
          <t xml:space="preserve">Advertiser</t>
        </is>
      </c>
    </row>
    <row r="276" spans="1:1">
      <c r="A276" s="10" t="inlineStr">
        <is>
          <t xml:space="preserve">  Categories</t>
        </is>
      </c>
    </row>
    <row r="277" spans="1:1">
      <c r="A277" s="0" t="inlineStr">
        <is>
          <t xml:space="preserve">    All</t>
        </is>
      </c>
      <c r="B277" s="0" t="inlineStr">
        <is>
          <t xml:space="preserve">Categories</t>
        </is>
      </c>
    </row>
    <row r="278" spans="1:1">
      <c r="A278" s="0" t="inlineStr">
        <is>
          <t xml:space="preserve">  Sponsorship Products: Excluded</t>
        </is>
      </c>
    </row>
    <row r="279" spans="1:1">
      <c r="A279" s="10" t="inlineStr">
        <is>
          <t xml:space="preserve">Time Periods</t>
        </is>
      </c>
    </row>
    <row r="280" spans="1:1">
      <c r="A280" s="10" t="inlineStr">
        <is>
          <t xml:space="preserve">    Type: Calendar</t>
        </is>
      </c>
    </row>
    <row r="281" spans="1:1">
      <c r="A281" s="0" t="inlineStr">
        <is>
          <t xml:space="preserve">    Year 2024</t>
        </is>
      </c>
    </row>
    <row r="282" spans="1:1">
      <c r="A282" s="0" t="inlineStr">
        <is>
          <t xml:space="preserve">    Includes Preliminary Data</t>
        </is>
      </c>
    </row>
    <row r="284" spans="1:1">
      <c r="A284" s="0" t="inlineStr">
        <is>
          <t xml:space="preserve">(c) 2025 Competitive Media Reporting, LLC d/b/a Vivvix</t>
        </is>
      </c>
    </row>
    <row r="285" spans="1:1">
      <c r="A285" s="0" t="inlineStr">
        <is>
          <t xml:space="preserve">Digital estimation models include SimilarWeb metrics.</t>
        </is>
      </c>
    </row>
    <row r="286" spans="1:1">
      <c r="A286" s="0" t="inlineStr">
        <is>
          <t xml:space="preserve">Mobile Web dollars and impressions start April 1, 2015</t>
        </is>
      </c>
    </row>
    <row r="287" spans="1:1">
      <c r="A287" s="0" t="inlineStr">
        <is>
          <t xml:space="preserve">Mobile Web Video spend and impressions start October 1, 2019</t>
        </is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cols>
    <col min="1" max="1" width="75" customWidth="1"/>
    <col min="2" max="2" width="45" customWidth="1"/>
    <col min="3" max="3" width="45" customWidth="1"/>
    <col min="4" max="4" width="18" customWidth="1"/>
    <col min="5" max="5" width="45" customWidth="1"/>
    <col min="6" max="6" width="45" customWidth="1"/>
    <col min="7" max="7" width="35" customWidth="1"/>
    <col min="8" max="8" width="20" customWidth="1"/>
    <col min="9" max="9" width="14" customWidth="1"/>
    <col min="10" max="10" width="12" customWidth="1"/>
  </cols>
  <sheetData>
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"/>
  <sheetViews>
    <sheetView workbookViewId="0"/>
  </sheetViews>
  <sheetFormatPr defaultRowHeight="15"/>
  <cols>
    <col min="1" max="1" width="45" customWidth="1"/>
    <col min="2" max="2" width="45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3" customWidth="1"/>
    <col min="18" max="18" width="13" customWidth="1"/>
    <col min="19" max="19" width="14" customWidth="1"/>
    <col min="20" max="20" width="14" customWidth="1"/>
    <col min="21" max="21" width="14" customWidth="1"/>
    <col min="22" max="22" width="13" customWidth="1"/>
  </cols>
  <sheetData>
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W14"/>
  <sheetViews>
    <sheetView workbookViewId="0"/>
  </sheetViews>
  <sheetFormatPr defaultRowHeight="15"/>
  <cols>
    <col min="1" max="1" width="45" customWidth="1"/>
    <col min="2" max="2" width="45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3" customWidth="1"/>
    <col min="18" max="18" width="13" customWidth="1"/>
    <col min="19" max="19" width="14" customWidth="1"/>
    <col min="20" max="20" width="14" customWidth="1"/>
    <col min="21" max="21" width="14" customWidth="1"/>
    <col min="22" max="22" width="13" customWidth="1"/>
  </cols>
  <sheetData>
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4"/>
  <sheetViews>
    <sheetView workbookViewId="0"/>
  </sheetViews>
  <sheetFormatPr defaultRowHeight="15"/>
  <cols>
    <col min="1" max="1" width="45" customWidth="1"/>
    <col min="2" max="2" width="45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3" customWidth="1"/>
    <col min="18" max="18" width="13" customWidth="1"/>
    <col min="19" max="19" width="14" customWidth="1"/>
    <col min="20" max="20" width="14" customWidth="1"/>
    <col min="21" max="21" width="14" customWidth="1"/>
    <col min="22" max="22" width="13" customWidth="1"/>
  </cols>
  <sheetData>
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2007-08-15T06:50:14Z</dcterms:created>
  <dcterms:modified xsi:type="dcterms:W3CDTF">2010-05-03T18:06:44Z</dcterms:modified>
</cp:coreProperties>
</file>