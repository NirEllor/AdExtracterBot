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480" yWindow="105" windowWidth="20055" windowHeight="12240"/>
  </bookViews>
  <sheets>
    <sheet name="Report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<sst xmlns="http://schemas.openxmlformats.org/spreadsheetml/2006/main" count="3642" uniqueCount="3642">
  <si>
    <t>Cadillac_2024_Yearly</t>
  </si>
  <si>
    <t>Report Completed:</t>
  </si>
  <si>
    <t>11/8/2025 07:12:55 EDT</t>
  </si>
  <si>
    <t>Reported Time Period:</t>
  </si>
  <si>
    <t>1/1/2024-12/31/2024 </t>
  </si>
  <si>
    <t>CREATIVE</t>
  </si>
  <si>
    <t>MASTER CREATIVE ID</t>
  </si>
  <si>
    <t>DETAIL CREATIVE ID</t>
  </si>
  <si>
    <t>PARENT CREATIVE ID</t>
  </si>
  <si>
    <t>ADVERTISER</t>
  </si>
  <si>
    <t>PRODUCT</t>
  </si>
  <si>
    <t>203648403</t>
  </si>
  <si>
    <t>57777235</t>
  </si>
  <si>
    <t>Cadillac</t>
  </si>
  <si>
    <t>Cadillac Lyriq</t>
  </si>
  <si>
    <t>Cadillac Lyriq : Domestic EV/Electric SUV</t>
  </si>
  <si>
    <t>15273603280</t>
  </si>
  <si>
    <t>Cadillac XT4</t>
  </si>
  <si>
    <t>Cadillac XT4 Leasing : Domestic Crossover Utility Vehicle</t>
  </si>
  <si>
    <t>586520679</t>
  </si>
  <si>
    <t>55226808</t>
  </si>
  <si>
    <t>55161417</t>
  </si>
  <si>
    <t>Cadillac Lyriq Leasing : Domestic EV/Electric SUV</t>
  </si>
  <si>
    <t>586529509</t>
  </si>
  <si>
    <t>55271554</t>
  </si>
  <si>
    <t>Cadillac Lyriq &amp; Xt4 Leasing : Combo</t>
  </si>
  <si>
    <t>586665915</t>
  </si>
  <si>
    <t>55995282</t>
  </si>
  <si>
    <t>Cadillac XT5</t>
  </si>
  <si>
    <t>Cadillac XT5 Leasing : Domestic Crossover Utility Vehicle</t>
  </si>
  <si>
    <t>586889134</t>
  </si>
  <si>
    <t>57206072</t>
  </si>
  <si>
    <t>203590471</t>
  </si>
  <si>
    <t>57503222</t>
  </si>
  <si>
    <t>15283826539</t>
  </si>
  <si>
    <t>Cadillac : General Promotion - Domestic Autos &amp; Trucks</t>
  </si>
  <si>
    <t>15263276875</t>
  </si>
  <si>
    <t>54541272</t>
  </si>
  <si>
    <t>15263371763</t>
  </si>
  <si>
    <t>15267397648</t>
  </si>
  <si>
    <t>54988498</t>
  </si>
  <si>
    <t>15281204977</t>
  </si>
  <si>
    <t>15261762352</t>
  </si>
  <si>
    <t>54335470</t>
  </si>
  <si>
    <t>15263471670</t>
  </si>
  <si>
    <t>54572983</t>
  </si>
  <si>
    <t>15263544942</t>
  </si>
  <si>
    <t>15284495707</t>
  </si>
  <si>
    <t>58436803</t>
  </si>
  <si>
    <t>15284499679</t>
  </si>
  <si>
    <t>58479046</t>
  </si>
  <si>
    <t>15274541071</t>
  </si>
  <si>
    <t>56196602</t>
  </si>
  <si>
    <t>15280769502</t>
  </si>
  <si>
    <t>Cadillac.com : Online</t>
  </si>
  <si>
    <t>15279942839</t>
  </si>
  <si>
    <t>15280276735</t>
  </si>
  <si>
    <t>57521784</t>
  </si>
  <si>
    <t>15264165919</t>
  </si>
  <si>
    <t>15267039553</t>
  </si>
  <si>
    <t>587145279</t>
  </si>
  <si>
    <t>58148185</t>
  </si>
  <si>
    <t>Cadillac Lyriq Leasing : Domestic EV/Electric SUV : Sales Event</t>
  </si>
  <si>
    <t>28425161</t>
  </si>
  <si>
    <t>54158612</t>
  </si>
  <si>
    <t>15263392620</t>
  </si>
  <si>
    <t>54635826</t>
  </si>
  <si>
    <t>15284496163</t>
  </si>
  <si>
    <t>15285779093</t>
  </si>
  <si>
    <t>58870239</t>
  </si>
  <si>
    <t>15279942654</t>
  </si>
  <si>
    <t>15269311205</t>
  </si>
  <si>
    <t>55223925</t>
  </si>
  <si>
    <t>15280168735</t>
  </si>
  <si>
    <t>15285708088</t>
  </si>
  <si>
    <t>58867669</t>
  </si>
  <si>
    <t>15284867423</t>
  </si>
  <si>
    <t>58523888</t>
  </si>
  <si>
    <t>Cadillac Certified Service : Parts &amp; Service</t>
  </si>
  <si>
    <t>586360270</t>
  </si>
  <si>
    <t>54844630</t>
  </si>
  <si>
    <t>15284497510</t>
  </si>
  <si>
    <t>58434929</t>
  </si>
  <si>
    <t>15270184946</t>
  </si>
  <si>
    <t>55260767</t>
  </si>
  <si>
    <t>Cadillac Pre-Owned : General Promotion - Domestic Trucks</t>
  </si>
  <si>
    <t>586502486</t>
  </si>
  <si>
    <t>55163032</t>
  </si>
  <si>
    <t>586528646</t>
  </si>
  <si>
    <t>586549277</t>
  </si>
  <si>
    <t>55309392</t>
  </si>
  <si>
    <t>Cadillac Lyriq &amp; Xt4 : Combo</t>
  </si>
  <si>
    <t>586561491</t>
  </si>
  <si>
    <t>55382002</t>
  </si>
  <si>
    <t>586441397</t>
  </si>
  <si>
    <t>55032717</t>
  </si>
  <si>
    <t>15269589440</t>
  </si>
  <si>
    <t>55216072</t>
  </si>
  <si>
    <t>28671180</t>
  </si>
  <si>
    <t>54606718</t>
  </si>
  <si>
    <t>15262120234</t>
  </si>
  <si>
    <t>587206367</t>
  </si>
  <si>
    <t>58393435</t>
  </si>
  <si>
    <t>Cadillac Lyriq : Domestic EV/Electric SUV : Sales Event</t>
  </si>
  <si>
    <t>587212292</t>
  </si>
  <si>
    <t>58420306</t>
  </si>
  <si>
    <t>Cadillac Escalade</t>
  </si>
  <si>
    <t>Cadillac Escalade : Domestic SUV</t>
  </si>
  <si>
    <t>587206858</t>
  </si>
  <si>
    <t>58393733</t>
  </si>
  <si>
    <t>Cadillac XT5 &amp; XT6 : Combo</t>
  </si>
  <si>
    <t>587009667</t>
  </si>
  <si>
    <t>15278883126</t>
  </si>
  <si>
    <t>61706585</t>
  </si>
  <si>
    <t>587291720</t>
  </si>
  <si>
    <t>58857679</t>
  </si>
  <si>
    <t>Metroplex Cadillac Dealer Assn Lyriq : Vignette</t>
  </si>
  <si>
    <t>587167816</t>
  </si>
  <si>
    <t>Cadillac Autos Corporate</t>
  </si>
  <si>
    <t>Cadillac Autos : Corporate Promotion</t>
  </si>
  <si>
    <t>CREATIVE UNKNOWN</t>
  </si>
  <si>
    <t>Cadillac : General Promotion - Domestic Autos</t>
  </si>
  <si>
    <t>Cadillac : General Promotion - Domestic Autos &amp; Trucks : Sales Event</t>
  </si>
  <si>
    <t>15282937837</t>
  </si>
  <si>
    <t>58060640</t>
  </si>
  <si>
    <t>28706487</t>
  </si>
  <si>
    <t>54665437</t>
  </si>
  <si>
    <t>53912046</t>
  </si>
  <si>
    <t>Cadillac XT6</t>
  </si>
  <si>
    <t>Cadillac XT6 Leasing : Domestic Crossover Utility Vehicle</t>
  </si>
  <si>
    <t>15280208093</t>
  </si>
  <si>
    <t>57511912</t>
  </si>
  <si>
    <t>15280646706</t>
  </si>
  <si>
    <t>57605420</t>
  </si>
  <si>
    <t>15283826504</t>
  </si>
  <si>
    <t>587220618</t>
  </si>
  <si>
    <t>58454238</t>
  </si>
  <si>
    <t>Cadillac XT5 &amp; XT6 : Combo : Sales Event</t>
  </si>
  <si>
    <t>586612673</t>
  </si>
  <si>
    <t>55654398</t>
  </si>
  <si>
    <t>15279490324</t>
  </si>
  <si>
    <t>15280001499</t>
  </si>
  <si>
    <t>57457876</t>
  </si>
  <si>
    <t>202959508</t>
  </si>
  <si>
    <t>54413333</t>
  </si>
  <si>
    <t>203195451</t>
  </si>
  <si>
    <t>55127556</t>
  </si>
  <si>
    <t>586444604</t>
  </si>
  <si>
    <t>55039002</t>
  </si>
  <si>
    <t>15272308274</t>
  </si>
  <si>
    <t>28386623</t>
  </si>
  <si>
    <t>54082542</t>
  </si>
  <si>
    <t>15267791469</t>
  </si>
  <si>
    <t>55052095</t>
  </si>
  <si>
    <t>586802051</t>
  </si>
  <si>
    <t>56746710</t>
  </si>
  <si>
    <t>587069451</t>
  </si>
  <si>
    <t>57858024</t>
  </si>
  <si>
    <t>586326165</t>
  </si>
  <si>
    <t>53967257</t>
  </si>
  <si>
    <t>28699014</t>
  </si>
  <si>
    <t>54663830</t>
  </si>
  <si>
    <t>587296024</t>
  </si>
  <si>
    <t>58882862</t>
  </si>
  <si>
    <t>587132158</t>
  </si>
  <si>
    <t>58084285</t>
  </si>
  <si>
    <t>587140497</t>
  </si>
  <si>
    <t>58124086</t>
  </si>
  <si>
    <t>587141998</t>
  </si>
  <si>
    <t>58141043</t>
  </si>
  <si>
    <t>587167045</t>
  </si>
  <si>
    <t>58253951</t>
  </si>
  <si>
    <t>587266134</t>
  </si>
  <si>
    <t>58692072</t>
  </si>
  <si>
    <t>587010786</t>
  </si>
  <si>
    <t>57686511</t>
  </si>
  <si>
    <t>587306220</t>
  </si>
  <si>
    <t>58944275</t>
  </si>
  <si>
    <t>15278209912</t>
  </si>
  <si>
    <t>57062324</t>
  </si>
  <si>
    <t>15263275574</t>
  </si>
  <si>
    <t>15263751793</t>
  </si>
  <si>
    <t>15263497641</t>
  </si>
  <si>
    <t>15263972725</t>
  </si>
  <si>
    <t>54572968</t>
  </si>
  <si>
    <t>15263275617</t>
  </si>
  <si>
    <t>586820582</t>
  </si>
  <si>
    <t>56846457</t>
  </si>
  <si>
    <t>586982065</t>
  </si>
  <si>
    <t>57577568</t>
  </si>
  <si>
    <t>15279820243</t>
  </si>
  <si>
    <t>57413947</t>
  </si>
  <si>
    <t>586985402</t>
  </si>
  <si>
    <t>57586854</t>
  </si>
  <si>
    <t>57447655</t>
  </si>
  <si>
    <t>587073806</t>
  </si>
  <si>
    <t>57866576</t>
  </si>
  <si>
    <t>587073928</t>
  </si>
  <si>
    <t>57866063</t>
  </si>
  <si>
    <t>15284668641</t>
  </si>
  <si>
    <t>58627357</t>
  </si>
  <si>
    <t>587228123</t>
  </si>
  <si>
    <t>58466789</t>
  </si>
  <si>
    <t>28664099</t>
  </si>
  <si>
    <t>54587424</t>
  </si>
  <si>
    <t>586342560</t>
  </si>
  <si>
    <t>586384589</t>
  </si>
  <si>
    <t>586451256</t>
  </si>
  <si>
    <t>55039893</t>
  </si>
  <si>
    <t>28668934</t>
  </si>
  <si>
    <t>54605640</t>
  </si>
  <si>
    <t>53599089</t>
  </si>
  <si>
    <t>28672119</t>
  </si>
  <si>
    <t>54669883</t>
  </si>
  <si>
    <t>586272542</t>
  </si>
  <si>
    <t>54662743</t>
  </si>
  <si>
    <t>28528416</t>
  </si>
  <si>
    <t>54355604</t>
  </si>
  <si>
    <t>586274660</t>
  </si>
  <si>
    <t>586289923</t>
  </si>
  <si>
    <t>586298170</t>
  </si>
  <si>
    <t>586924974</t>
  </si>
  <si>
    <t>15264649892</t>
  </si>
  <si>
    <t>54727686</t>
  </si>
  <si>
    <t>586685047</t>
  </si>
  <si>
    <t>56120546</t>
  </si>
  <si>
    <t>586716493</t>
  </si>
  <si>
    <t>56304001</t>
  </si>
  <si>
    <t>15267632011</t>
  </si>
  <si>
    <t>55019857</t>
  </si>
  <si>
    <t>586670904</t>
  </si>
  <si>
    <t>56012557</t>
  </si>
  <si>
    <t>Cadillac Trucks</t>
  </si>
  <si>
    <t>Cadillac Trucks : Various Domestic Trucks</t>
  </si>
  <si>
    <t>586736256</t>
  </si>
  <si>
    <t>56386563</t>
  </si>
  <si>
    <t>586990619</t>
  </si>
  <si>
    <t>586818299</t>
  </si>
  <si>
    <t>56830558</t>
  </si>
  <si>
    <t>587206480</t>
  </si>
  <si>
    <t>58370916</t>
  </si>
  <si>
    <t>587227617</t>
  </si>
  <si>
    <t>58496454</t>
  </si>
  <si>
    <t>15278326774</t>
  </si>
  <si>
    <t>57092100</t>
  </si>
  <si>
    <t>28680616</t>
  </si>
  <si>
    <t>54636287</t>
  </si>
  <si>
    <t>586349776</t>
  </si>
  <si>
    <t>54813835</t>
  </si>
  <si>
    <t>53644873</t>
  </si>
  <si>
    <t>586355428</t>
  </si>
  <si>
    <t>28700747</t>
  </si>
  <si>
    <t>54647059</t>
  </si>
  <si>
    <t>586347410</t>
  </si>
  <si>
    <t>586820075</t>
  </si>
  <si>
    <t>56843451</t>
  </si>
  <si>
    <t>28543467</t>
  </si>
  <si>
    <t>54377490</t>
  </si>
  <si>
    <t>15280011843</t>
  </si>
  <si>
    <t>57468556</t>
  </si>
  <si>
    <t>15280230481</t>
  </si>
  <si>
    <t>57558573</t>
  </si>
  <si>
    <t>586317559</t>
  </si>
  <si>
    <t>54748583</t>
  </si>
  <si>
    <t>15282020466</t>
  </si>
  <si>
    <t>57875826</t>
  </si>
  <si>
    <t>587219095</t>
  </si>
  <si>
    <t>58436887</t>
  </si>
  <si>
    <t>Cadillac Escalade Leasing : Domestic SUV</t>
  </si>
  <si>
    <t>586956503</t>
  </si>
  <si>
    <t>57505370</t>
  </si>
  <si>
    <t>15284537877</t>
  </si>
  <si>
    <t>58434807</t>
  </si>
  <si>
    <t>15284550099</t>
  </si>
  <si>
    <t>58439019</t>
  </si>
  <si>
    <t>15285080469</t>
  </si>
  <si>
    <t>58600409</t>
  </si>
  <si>
    <t>586820540</t>
  </si>
  <si>
    <t>56846428</t>
  </si>
  <si>
    <t>586956641</t>
  </si>
  <si>
    <t>57494630</t>
  </si>
  <si>
    <t>587266603</t>
  </si>
  <si>
    <t>58706289</t>
  </si>
  <si>
    <t>586391836</t>
  </si>
  <si>
    <t>54898262</t>
  </si>
  <si>
    <t>586439280</t>
  </si>
  <si>
    <t>15280048793</t>
  </si>
  <si>
    <t>57481081</t>
  </si>
  <si>
    <t>28607416</t>
  </si>
  <si>
    <t>54497867</t>
  </si>
  <si>
    <t>27633502</t>
  </si>
  <si>
    <t>52642305</t>
  </si>
  <si>
    <t>586727805</t>
  </si>
  <si>
    <t>56320115</t>
  </si>
  <si>
    <t>56319816</t>
  </si>
  <si>
    <t>586893703</t>
  </si>
  <si>
    <t>57220990</t>
  </si>
  <si>
    <t>586921042</t>
  </si>
  <si>
    <t>57328858</t>
  </si>
  <si>
    <t>586271775</t>
  </si>
  <si>
    <t>54664676</t>
  </si>
  <si>
    <t>587000237</t>
  </si>
  <si>
    <t>57655047</t>
  </si>
  <si>
    <t>587000415</t>
  </si>
  <si>
    <t>57655566</t>
  </si>
  <si>
    <t>586547605</t>
  </si>
  <si>
    <t>55308343</t>
  </si>
  <si>
    <t>587001840</t>
  </si>
  <si>
    <t>57661635</t>
  </si>
  <si>
    <t>587004551</t>
  </si>
  <si>
    <t>57647601</t>
  </si>
  <si>
    <t>15285222039</t>
  </si>
  <si>
    <t>58664247</t>
  </si>
  <si>
    <t>587189955</t>
  </si>
  <si>
    <t>58318712</t>
  </si>
  <si>
    <t>587282537</t>
  </si>
  <si>
    <t>58778449</t>
  </si>
  <si>
    <t>Cadillac XT6 : Domestic Crossover Utility Vehicle : Sales Event</t>
  </si>
  <si>
    <t>586537994</t>
  </si>
  <si>
    <t>586581381</t>
  </si>
  <si>
    <t>55485890</t>
  </si>
  <si>
    <t>28692292</t>
  </si>
  <si>
    <t>54670810</t>
  </si>
  <si>
    <t>586488362</t>
  </si>
  <si>
    <t>55132868</t>
  </si>
  <si>
    <t>586502042</t>
  </si>
  <si>
    <t>587182886</t>
  </si>
  <si>
    <t>58284609</t>
  </si>
  <si>
    <t>587208507</t>
  </si>
  <si>
    <t>58393756</t>
  </si>
  <si>
    <t>Cadillac XTS</t>
  </si>
  <si>
    <t>Cadillac XT5 Leasing : Domestic Crossover Utility Vehicle : Sales Event</t>
  </si>
  <si>
    <t>587258300</t>
  </si>
  <si>
    <t>58621470</t>
  </si>
  <si>
    <t>15285468352</t>
  </si>
  <si>
    <t>58742423</t>
  </si>
  <si>
    <t>15283569424</t>
  </si>
  <si>
    <t>58196745</t>
  </si>
  <si>
    <t>586716427</t>
  </si>
  <si>
    <t>56303990</t>
  </si>
  <si>
    <t>28516792</t>
  </si>
  <si>
    <t>54336719</t>
  </si>
  <si>
    <t>54139739</t>
  </si>
  <si>
    <t>15251296808</t>
  </si>
  <si>
    <t>53171468</t>
  </si>
  <si>
    <t>586543160</t>
  </si>
  <si>
    <t>55275590</t>
  </si>
  <si>
    <t>586735916</t>
  </si>
  <si>
    <t>56373527</t>
  </si>
  <si>
    <t>55256112</t>
  </si>
  <si>
    <t>587046335</t>
  </si>
  <si>
    <t>57794751</t>
  </si>
  <si>
    <t>15277642205</t>
  </si>
  <si>
    <t>56915136</t>
  </si>
  <si>
    <t>586652685</t>
  </si>
  <si>
    <t>55931276</t>
  </si>
  <si>
    <t>55894291</t>
  </si>
  <si>
    <t>28543329</t>
  </si>
  <si>
    <t>54382905</t>
  </si>
  <si>
    <t>15278144237</t>
  </si>
  <si>
    <t>57050665</t>
  </si>
  <si>
    <t>586650992</t>
  </si>
  <si>
    <t>15272888899</t>
  </si>
  <si>
    <t>586727921</t>
  </si>
  <si>
    <t>56322773</t>
  </si>
  <si>
    <t>56319463</t>
  </si>
  <si>
    <t>586726413</t>
  </si>
  <si>
    <t>15269623671</t>
  </si>
  <si>
    <t>55216598</t>
  </si>
  <si>
    <t>586363136</t>
  </si>
  <si>
    <t>54850146</t>
  </si>
  <si>
    <t>15279055933</t>
  </si>
  <si>
    <t>15267680538</t>
  </si>
  <si>
    <t>58662317</t>
  </si>
  <si>
    <t>203301081</t>
  </si>
  <si>
    <t>55731721</t>
  </si>
  <si>
    <t>586608885</t>
  </si>
  <si>
    <t>55614713</t>
  </si>
  <si>
    <t>15275975317</t>
  </si>
  <si>
    <t>56519403</t>
  </si>
  <si>
    <t>587004775</t>
  </si>
  <si>
    <t>57648297</t>
  </si>
  <si>
    <t>586830981</t>
  </si>
  <si>
    <t>56908246</t>
  </si>
  <si>
    <t>586620820</t>
  </si>
  <si>
    <t>55699391</t>
  </si>
  <si>
    <t>586726894</t>
  </si>
  <si>
    <t>586807717</t>
  </si>
  <si>
    <t>56781263</t>
  </si>
  <si>
    <t>Cadillac Trucks : Various Domestic Trucks : Sales Event</t>
  </si>
  <si>
    <t>586871617</t>
  </si>
  <si>
    <t>57122528</t>
  </si>
  <si>
    <t>587001449</t>
  </si>
  <si>
    <t>57662371</t>
  </si>
  <si>
    <t>587002630</t>
  </si>
  <si>
    <t>57664556</t>
  </si>
  <si>
    <t>586976447</t>
  </si>
  <si>
    <t>57557263</t>
  </si>
  <si>
    <t>587029401</t>
  </si>
  <si>
    <t>57744822</t>
  </si>
  <si>
    <t>586625336</t>
  </si>
  <si>
    <t>586648390</t>
  </si>
  <si>
    <t>57823410</t>
  </si>
  <si>
    <t>586660480</t>
  </si>
  <si>
    <t>56024195</t>
  </si>
  <si>
    <t>586728514</t>
  </si>
  <si>
    <t>56324126</t>
  </si>
  <si>
    <t>15278879181</t>
  </si>
  <si>
    <t>57233105</t>
  </si>
  <si>
    <t>586871964</t>
  </si>
  <si>
    <t>587030372</t>
  </si>
  <si>
    <t>57743029</t>
  </si>
  <si>
    <t>15278537431</t>
  </si>
  <si>
    <t>57121917</t>
  </si>
  <si>
    <t>586995126</t>
  </si>
  <si>
    <t>57615988</t>
  </si>
  <si>
    <t>587060148</t>
  </si>
  <si>
    <t>57826486</t>
  </si>
  <si>
    <t>586448250</t>
  </si>
  <si>
    <t>55029224</t>
  </si>
  <si>
    <t>586526664</t>
  </si>
  <si>
    <t>55262421</t>
  </si>
  <si>
    <t>586553342</t>
  </si>
  <si>
    <t>55350099</t>
  </si>
  <si>
    <t>586604270</t>
  </si>
  <si>
    <t>55590819</t>
  </si>
  <si>
    <t>586393267</t>
  </si>
  <si>
    <t>54901887</t>
  </si>
  <si>
    <t>Cadillac XT4 : Domestic Crossover Utility Vehicle : Sales Event</t>
  </si>
  <si>
    <t>586420403</t>
  </si>
  <si>
    <t>54962552</t>
  </si>
  <si>
    <t>586445433</t>
  </si>
  <si>
    <t>55022984</t>
  </si>
  <si>
    <t>586439141</t>
  </si>
  <si>
    <t>55005706</t>
  </si>
  <si>
    <t>15215760019</t>
  </si>
  <si>
    <t>49784944</t>
  </si>
  <si>
    <t>15218855333</t>
  </si>
  <si>
    <t>15236989266</t>
  </si>
  <si>
    <t>51843906</t>
  </si>
  <si>
    <t>15242532002</t>
  </si>
  <si>
    <t>52190550</t>
  </si>
  <si>
    <t>15245827437</t>
  </si>
  <si>
    <t>52640664</t>
  </si>
  <si>
    <t>15251204413</t>
  </si>
  <si>
    <t>53154430</t>
  </si>
  <si>
    <t>Cadillac XT4 : Domestic Crossover Utility Vehicle</t>
  </si>
  <si>
    <t>15251262070</t>
  </si>
  <si>
    <t>53164084</t>
  </si>
  <si>
    <t>15251358505</t>
  </si>
  <si>
    <t>53171772</t>
  </si>
  <si>
    <t>15251370353</t>
  </si>
  <si>
    <t>53191644</t>
  </si>
  <si>
    <t>Cadillac XT5 : Domestic Crossover Utility Vehicle</t>
  </si>
  <si>
    <t>15252823432</t>
  </si>
  <si>
    <t>53327010</t>
  </si>
  <si>
    <t>Cadillac XT6 : Domestic Crossover Utility Vehicle</t>
  </si>
  <si>
    <t>15252837619</t>
  </si>
  <si>
    <t>15252837940</t>
  </si>
  <si>
    <t>15253002706</t>
  </si>
  <si>
    <t>53343003</t>
  </si>
  <si>
    <t>15253168963</t>
  </si>
  <si>
    <t>53353138</t>
  </si>
  <si>
    <t>15253233207</t>
  </si>
  <si>
    <t>53369210</t>
  </si>
  <si>
    <t>15253233395</t>
  </si>
  <si>
    <t>53361199</t>
  </si>
  <si>
    <t>15253385822</t>
  </si>
  <si>
    <t>53380696</t>
  </si>
  <si>
    <t>15253394952</t>
  </si>
  <si>
    <t>53380507</t>
  </si>
  <si>
    <t>15253403569</t>
  </si>
  <si>
    <t>15253520925</t>
  </si>
  <si>
    <t>53397943</t>
  </si>
  <si>
    <t>15253533871</t>
  </si>
  <si>
    <t>54328093</t>
  </si>
  <si>
    <t>15253682175</t>
  </si>
  <si>
    <t>15253902002</t>
  </si>
  <si>
    <t>15253960850</t>
  </si>
  <si>
    <t>15254014166</t>
  </si>
  <si>
    <t>53455447</t>
  </si>
  <si>
    <t>15254017862</t>
  </si>
  <si>
    <t>53452594</t>
  </si>
  <si>
    <t>15254022130</t>
  </si>
  <si>
    <t>53453957</t>
  </si>
  <si>
    <t>15254024299</t>
  </si>
  <si>
    <t>53453730</t>
  </si>
  <si>
    <t>15254026332</t>
  </si>
  <si>
    <t>53453913</t>
  </si>
  <si>
    <t>15254453233</t>
  </si>
  <si>
    <t>53495122</t>
  </si>
  <si>
    <t>15254568491</t>
  </si>
  <si>
    <t>53512615</t>
  </si>
  <si>
    <t>15254573394</t>
  </si>
  <si>
    <t>15255106951</t>
  </si>
  <si>
    <t>53566694</t>
  </si>
  <si>
    <t>15255425158</t>
  </si>
  <si>
    <t>53586237</t>
  </si>
  <si>
    <t>15255810361</t>
  </si>
  <si>
    <t>53610591</t>
  </si>
  <si>
    <t>15255918263</t>
  </si>
  <si>
    <t>53632763</t>
  </si>
  <si>
    <t>15255971143</t>
  </si>
  <si>
    <t>53651447</t>
  </si>
  <si>
    <t>15256036071</t>
  </si>
  <si>
    <t>53638642</t>
  </si>
  <si>
    <t>15256038463</t>
  </si>
  <si>
    <t>53639244</t>
  </si>
  <si>
    <t>15256392508</t>
  </si>
  <si>
    <t>53688886</t>
  </si>
  <si>
    <t>15256471387</t>
  </si>
  <si>
    <t>15256486717</t>
  </si>
  <si>
    <t>53696409</t>
  </si>
  <si>
    <t>15256821974</t>
  </si>
  <si>
    <t>53735479</t>
  </si>
  <si>
    <t>15256897386</t>
  </si>
  <si>
    <t>53743059</t>
  </si>
  <si>
    <t>15257036718</t>
  </si>
  <si>
    <t>53760265</t>
  </si>
  <si>
    <t>15257085121</t>
  </si>
  <si>
    <t>53767970</t>
  </si>
  <si>
    <t>15257409350</t>
  </si>
  <si>
    <t>53809123</t>
  </si>
  <si>
    <t>15257452486</t>
  </si>
  <si>
    <t>53833838</t>
  </si>
  <si>
    <t>15258113577</t>
  </si>
  <si>
    <t>54295357</t>
  </si>
  <si>
    <t>15258174504</t>
  </si>
  <si>
    <t>15258441046</t>
  </si>
  <si>
    <t>53907782</t>
  </si>
  <si>
    <t>Cadillac CT4</t>
  </si>
  <si>
    <t>Cadillac CT4 : Domestic Passenger Auto</t>
  </si>
  <si>
    <t>15258487398</t>
  </si>
  <si>
    <t>53913614</t>
  </si>
  <si>
    <t>15258507404</t>
  </si>
  <si>
    <t>15258510725</t>
  </si>
  <si>
    <t>15258528904</t>
  </si>
  <si>
    <t>53926563</t>
  </si>
  <si>
    <t>15258563199</t>
  </si>
  <si>
    <t>53927202</t>
  </si>
  <si>
    <t>Cadillac CT5</t>
  </si>
  <si>
    <t>Cadillac CT5 : Domestic Passenger Auto</t>
  </si>
  <si>
    <t>15258706503</t>
  </si>
  <si>
    <t>54011669</t>
  </si>
  <si>
    <t>15258709463</t>
  </si>
  <si>
    <t>53947017</t>
  </si>
  <si>
    <t>15258763812</t>
  </si>
  <si>
    <t>15258810668</t>
  </si>
  <si>
    <t>53955420</t>
  </si>
  <si>
    <t>15258879912</t>
  </si>
  <si>
    <t>53969670</t>
  </si>
  <si>
    <t>15258882206</t>
  </si>
  <si>
    <t>53981861</t>
  </si>
  <si>
    <t>15258919939</t>
  </si>
  <si>
    <t>15258938139</t>
  </si>
  <si>
    <t>53976424</t>
  </si>
  <si>
    <t>15258938207</t>
  </si>
  <si>
    <t>53976499</t>
  </si>
  <si>
    <t>15258995167</t>
  </si>
  <si>
    <t>53982032</t>
  </si>
  <si>
    <t>15258995491</t>
  </si>
  <si>
    <t>53978841</t>
  </si>
  <si>
    <t>15259022026</t>
  </si>
  <si>
    <t>53983414</t>
  </si>
  <si>
    <t>15259022910</t>
  </si>
  <si>
    <t>53986217</t>
  </si>
  <si>
    <t>15259070319</t>
  </si>
  <si>
    <t>54066495</t>
  </si>
  <si>
    <t>15259116146</t>
  </si>
  <si>
    <t>53994477</t>
  </si>
  <si>
    <t>15259120789</t>
  </si>
  <si>
    <t>53994083</t>
  </si>
  <si>
    <t>15259120790</t>
  </si>
  <si>
    <t>53993982</t>
  </si>
  <si>
    <t>15259132055</t>
  </si>
  <si>
    <t>54316729</t>
  </si>
  <si>
    <t>Cadillac : General Promotion - Domestic Trucks</t>
  </si>
  <si>
    <t>15259137477</t>
  </si>
  <si>
    <t>15259166268</t>
  </si>
  <si>
    <t>15259166699</t>
  </si>
  <si>
    <t>54024509</t>
  </si>
  <si>
    <t>15259281540</t>
  </si>
  <si>
    <t>54018120</t>
  </si>
  <si>
    <t>15259426053</t>
  </si>
  <si>
    <t>15259526652</t>
  </si>
  <si>
    <t>54043147</t>
  </si>
  <si>
    <t>15259573333</t>
  </si>
  <si>
    <t>54046491</t>
  </si>
  <si>
    <t>15259692993</t>
  </si>
  <si>
    <t>54062191</t>
  </si>
  <si>
    <t>Cadillac CT6</t>
  </si>
  <si>
    <t>Cadillac CT6 : Domestic Passenger Auto</t>
  </si>
  <si>
    <t>15259797996</t>
  </si>
  <si>
    <t>54086842</t>
  </si>
  <si>
    <t>15259970629</t>
  </si>
  <si>
    <t>54105705</t>
  </si>
  <si>
    <t>15260008191</t>
  </si>
  <si>
    <t>15260009951</t>
  </si>
  <si>
    <t>15260017205</t>
  </si>
  <si>
    <t>54113752</t>
  </si>
  <si>
    <t>15260017208</t>
  </si>
  <si>
    <t>15260214520</t>
  </si>
  <si>
    <t>54151875</t>
  </si>
  <si>
    <t>15260214538</t>
  </si>
  <si>
    <t>54150674</t>
  </si>
  <si>
    <t>15260350052</t>
  </si>
  <si>
    <t>54162807</t>
  </si>
  <si>
    <t>15260366757</t>
  </si>
  <si>
    <t>54169173</t>
  </si>
  <si>
    <t>15260530496</t>
  </si>
  <si>
    <t>54190761</t>
  </si>
  <si>
    <t>15260593440</t>
  </si>
  <si>
    <t>15260915716</t>
  </si>
  <si>
    <t>54233321</t>
  </si>
  <si>
    <t>15261498978</t>
  </si>
  <si>
    <t>15261509223</t>
  </si>
  <si>
    <t>15261510487</t>
  </si>
  <si>
    <t>54309535</t>
  </si>
  <si>
    <t>15261533877</t>
  </si>
  <si>
    <t>54310980</t>
  </si>
  <si>
    <t>15262122635</t>
  </si>
  <si>
    <t>54404034</t>
  </si>
  <si>
    <t>Cadillac : Parts &amp; Accessories</t>
  </si>
  <si>
    <t>15262482726</t>
  </si>
  <si>
    <t>54433081</t>
  </si>
  <si>
    <t>15262564907</t>
  </si>
  <si>
    <t>54447631</t>
  </si>
  <si>
    <t>15262568059</t>
  </si>
  <si>
    <t>54449272</t>
  </si>
  <si>
    <t>15262569204</t>
  </si>
  <si>
    <t>54450216</t>
  </si>
  <si>
    <t>15262569266</t>
  </si>
  <si>
    <t>54451345</t>
  </si>
  <si>
    <t>15262574984</t>
  </si>
  <si>
    <t>54448986</t>
  </si>
  <si>
    <t>15262583684</t>
  </si>
  <si>
    <t>54450844</t>
  </si>
  <si>
    <t>15262583761</t>
  </si>
  <si>
    <t>54450571</t>
  </si>
  <si>
    <t>15262583764</t>
  </si>
  <si>
    <t>54450775</t>
  </si>
  <si>
    <t>15262588647</t>
  </si>
  <si>
    <t>54451061</t>
  </si>
  <si>
    <t>15262620852</t>
  </si>
  <si>
    <t>54455668</t>
  </si>
  <si>
    <t>15262630337</t>
  </si>
  <si>
    <t>53981542</t>
  </si>
  <si>
    <t>53909198</t>
  </si>
  <si>
    <t>15262630414</t>
  </si>
  <si>
    <t>54456016</t>
  </si>
  <si>
    <t>15262638003</t>
  </si>
  <si>
    <t>15262647596</t>
  </si>
  <si>
    <t>54460786</t>
  </si>
  <si>
    <t>15262732925</t>
  </si>
  <si>
    <t>54466589</t>
  </si>
  <si>
    <t>15262748899</t>
  </si>
  <si>
    <t>15262752380</t>
  </si>
  <si>
    <t>54466572</t>
  </si>
  <si>
    <t>15262849017</t>
  </si>
  <si>
    <t>54483609</t>
  </si>
  <si>
    <t>15262850308</t>
  </si>
  <si>
    <t>54482190</t>
  </si>
  <si>
    <t>15262851738</t>
  </si>
  <si>
    <t>54481022</t>
  </si>
  <si>
    <t>15262851853</t>
  </si>
  <si>
    <t>54481058</t>
  </si>
  <si>
    <t>15262866889</t>
  </si>
  <si>
    <t>54496390</t>
  </si>
  <si>
    <t>15262866914</t>
  </si>
  <si>
    <t>54480044</t>
  </si>
  <si>
    <t>15262869028</t>
  </si>
  <si>
    <t>54484680</t>
  </si>
  <si>
    <t>15262869502</t>
  </si>
  <si>
    <t>54484313</t>
  </si>
  <si>
    <t>15262874892</t>
  </si>
  <si>
    <t>54485018</t>
  </si>
  <si>
    <t>15262875538</t>
  </si>
  <si>
    <t>54484809</t>
  </si>
  <si>
    <t>15262879021</t>
  </si>
  <si>
    <t>15262881422</t>
  </si>
  <si>
    <t>15262905667</t>
  </si>
  <si>
    <t>54491144</t>
  </si>
  <si>
    <t>15262919557</t>
  </si>
  <si>
    <t>54492070</t>
  </si>
  <si>
    <t>15262925672</t>
  </si>
  <si>
    <t>54493198</t>
  </si>
  <si>
    <t>15262927745</t>
  </si>
  <si>
    <t>15262943077</t>
  </si>
  <si>
    <t>54499277</t>
  </si>
  <si>
    <t>15262977446</t>
  </si>
  <si>
    <t>15262979152</t>
  </si>
  <si>
    <t>15262979724</t>
  </si>
  <si>
    <t>15262987676</t>
  </si>
  <si>
    <t>15262993236</t>
  </si>
  <si>
    <t>54506559</t>
  </si>
  <si>
    <t>15262997823</t>
  </si>
  <si>
    <t>54504923</t>
  </si>
  <si>
    <t>15263002235</t>
  </si>
  <si>
    <t>54509019</t>
  </si>
  <si>
    <t>52314765</t>
  </si>
  <si>
    <t>15263007084</t>
  </si>
  <si>
    <t>54505914</t>
  </si>
  <si>
    <t>15263035377</t>
  </si>
  <si>
    <t>54508604</t>
  </si>
  <si>
    <t>15263043179</t>
  </si>
  <si>
    <t>15263046987</t>
  </si>
  <si>
    <t>15263054431</t>
  </si>
  <si>
    <t>58661614</t>
  </si>
  <si>
    <t>15263054453</t>
  </si>
  <si>
    <t>15263060617</t>
  </si>
  <si>
    <t>54512780</t>
  </si>
  <si>
    <t>15263062074</t>
  </si>
  <si>
    <t>54513314</t>
  </si>
  <si>
    <t>15263065244</t>
  </si>
  <si>
    <t>54513094</t>
  </si>
  <si>
    <t>15263065275</t>
  </si>
  <si>
    <t>54513125</t>
  </si>
  <si>
    <t>15263065375</t>
  </si>
  <si>
    <t>15263072942</t>
  </si>
  <si>
    <t>15263089418</t>
  </si>
  <si>
    <t>15263099002</t>
  </si>
  <si>
    <t>15263099546</t>
  </si>
  <si>
    <t>15263112453</t>
  </si>
  <si>
    <t>15263121587</t>
  </si>
  <si>
    <t>15263123360</t>
  </si>
  <si>
    <t>54514802</t>
  </si>
  <si>
    <t>15263135445</t>
  </si>
  <si>
    <t>54519937</t>
  </si>
  <si>
    <t>15263158662</t>
  </si>
  <si>
    <t>15263169247</t>
  </si>
  <si>
    <t>54521210</t>
  </si>
  <si>
    <t>15263172700</t>
  </si>
  <si>
    <t>54521887</t>
  </si>
  <si>
    <t>15263179052</t>
  </si>
  <si>
    <t>54523025</t>
  </si>
  <si>
    <t>15263186700</t>
  </si>
  <si>
    <t>54528723</t>
  </si>
  <si>
    <t>15263210291</t>
  </si>
  <si>
    <t>54526423</t>
  </si>
  <si>
    <t>15263216441</t>
  </si>
  <si>
    <t>54526793</t>
  </si>
  <si>
    <t>15263222726</t>
  </si>
  <si>
    <t>54528786</t>
  </si>
  <si>
    <t>15263223312</t>
  </si>
  <si>
    <t>54526165</t>
  </si>
  <si>
    <t>15263223870</t>
  </si>
  <si>
    <t>54526173</t>
  </si>
  <si>
    <t>15263224093</t>
  </si>
  <si>
    <t>15263227263</t>
  </si>
  <si>
    <t>54543376</t>
  </si>
  <si>
    <t>15263227532</t>
  </si>
  <si>
    <t>54531146</t>
  </si>
  <si>
    <t>15263227567</t>
  </si>
  <si>
    <t>54531663</t>
  </si>
  <si>
    <t>15263227596</t>
  </si>
  <si>
    <t>54531569</t>
  </si>
  <si>
    <t>15263233039</t>
  </si>
  <si>
    <t>54541243</t>
  </si>
  <si>
    <t>15263260523</t>
  </si>
  <si>
    <t>54539859</t>
  </si>
  <si>
    <t>15263262285</t>
  </si>
  <si>
    <t>54540822</t>
  </si>
  <si>
    <t>15263270132</t>
  </si>
  <si>
    <t>54538787</t>
  </si>
  <si>
    <t>15263277838</t>
  </si>
  <si>
    <t>54554100</t>
  </si>
  <si>
    <t>15263278699</t>
  </si>
  <si>
    <t>15263278985</t>
  </si>
  <si>
    <t>15263280820</t>
  </si>
  <si>
    <t>54543438</t>
  </si>
  <si>
    <t>15263292587</t>
  </si>
  <si>
    <t>54552512</t>
  </si>
  <si>
    <t>15263292992</t>
  </si>
  <si>
    <t>15263314177</t>
  </si>
  <si>
    <t>54555140</t>
  </si>
  <si>
    <t>15263325081</t>
  </si>
  <si>
    <t>54561560</t>
  </si>
  <si>
    <t>15263327116</t>
  </si>
  <si>
    <t>54556385</t>
  </si>
  <si>
    <t>15263333950</t>
  </si>
  <si>
    <t>54558221</t>
  </si>
  <si>
    <t>15263336494</t>
  </si>
  <si>
    <t>15263336538</t>
  </si>
  <si>
    <t>15263337881</t>
  </si>
  <si>
    <t>15263339807</t>
  </si>
  <si>
    <t>15263339859</t>
  </si>
  <si>
    <t>15263343099</t>
  </si>
  <si>
    <t>15263375798</t>
  </si>
  <si>
    <t>15263381014</t>
  </si>
  <si>
    <t>15263400676</t>
  </si>
  <si>
    <t>54578030</t>
  </si>
  <si>
    <t>15263402372</t>
  </si>
  <si>
    <t>54574344</t>
  </si>
  <si>
    <t>15263402373</t>
  </si>
  <si>
    <t>54578988</t>
  </si>
  <si>
    <t>15263445606</t>
  </si>
  <si>
    <t>15263456687</t>
  </si>
  <si>
    <t>54584530</t>
  </si>
  <si>
    <t>15263477010</t>
  </si>
  <si>
    <t>54600173</t>
  </si>
  <si>
    <t>15263490760</t>
  </si>
  <si>
    <t>54585522</t>
  </si>
  <si>
    <t>15263490877</t>
  </si>
  <si>
    <t>54585486</t>
  </si>
  <si>
    <t>15263491532</t>
  </si>
  <si>
    <t>54597710</t>
  </si>
  <si>
    <t>15263500171</t>
  </si>
  <si>
    <t>54592405</t>
  </si>
  <si>
    <t>15263503441</t>
  </si>
  <si>
    <t>54586450</t>
  </si>
  <si>
    <t>15263507548</t>
  </si>
  <si>
    <t>15263507791</t>
  </si>
  <si>
    <t>15263525564</t>
  </si>
  <si>
    <t>15263547167</t>
  </si>
  <si>
    <t>15263564204</t>
  </si>
  <si>
    <t>54602791</t>
  </si>
  <si>
    <t>15263564218</t>
  </si>
  <si>
    <t>54603048</t>
  </si>
  <si>
    <t>15263567928</t>
  </si>
  <si>
    <t>54599030</t>
  </si>
  <si>
    <t>15263568157</t>
  </si>
  <si>
    <t>15263580250</t>
  </si>
  <si>
    <t>15263593898</t>
  </si>
  <si>
    <t>15263604379</t>
  </si>
  <si>
    <t>54598716</t>
  </si>
  <si>
    <t>15263606415</t>
  </si>
  <si>
    <t>54602764</t>
  </si>
  <si>
    <t>15263614981</t>
  </si>
  <si>
    <t>15263646141</t>
  </si>
  <si>
    <t>54610681</t>
  </si>
  <si>
    <t>15263649991</t>
  </si>
  <si>
    <t>15263666979</t>
  </si>
  <si>
    <t>54625912</t>
  </si>
  <si>
    <t>15263690299</t>
  </si>
  <si>
    <t>54625227</t>
  </si>
  <si>
    <t>15263704949</t>
  </si>
  <si>
    <t>15263708571</t>
  </si>
  <si>
    <t>54635143</t>
  </si>
  <si>
    <t>15263709130</t>
  </si>
  <si>
    <t>15263763671</t>
  </si>
  <si>
    <t>15263765089</t>
  </si>
  <si>
    <t>54640665</t>
  </si>
  <si>
    <t>15263772768</t>
  </si>
  <si>
    <t>54642671</t>
  </si>
  <si>
    <t>15263775799</t>
  </si>
  <si>
    <t>54656602</t>
  </si>
  <si>
    <t>15263793428</t>
  </si>
  <si>
    <t>54644641</t>
  </si>
  <si>
    <t>15263793450</t>
  </si>
  <si>
    <t>54644895</t>
  </si>
  <si>
    <t>15263793469</t>
  </si>
  <si>
    <t>54644906</t>
  </si>
  <si>
    <t>15263793524</t>
  </si>
  <si>
    <t>54644938</t>
  </si>
  <si>
    <t>15263800877</t>
  </si>
  <si>
    <t>15263806141</t>
  </si>
  <si>
    <t>15263809791</t>
  </si>
  <si>
    <t>58662308</t>
  </si>
  <si>
    <t>15263810406</t>
  </si>
  <si>
    <t>15263816379</t>
  </si>
  <si>
    <t>15263818492</t>
  </si>
  <si>
    <t>54651316</t>
  </si>
  <si>
    <t>15263820492</t>
  </si>
  <si>
    <t>54650810</t>
  </si>
  <si>
    <t>15263820944</t>
  </si>
  <si>
    <t>54650216</t>
  </si>
  <si>
    <t>15263824239</t>
  </si>
  <si>
    <t>54651228</t>
  </si>
  <si>
    <t>15263825454</t>
  </si>
  <si>
    <t>54650838</t>
  </si>
  <si>
    <t>15263857240</t>
  </si>
  <si>
    <t>54648918</t>
  </si>
  <si>
    <t>15263862186</t>
  </si>
  <si>
    <t>15263862610</t>
  </si>
  <si>
    <t>15263866364</t>
  </si>
  <si>
    <t>54656606</t>
  </si>
  <si>
    <t>15263875128</t>
  </si>
  <si>
    <t>15263882117</t>
  </si>
  <si>
    <t>54655375</t>
  </si>
  <si>
    <t>15263886413</t>
  </si>
  <si>
    <t>54655062</t>
  </si>
  <si>
    <t>15263912664</t>
  </si>
  <si>
    <t>54656242</t>
  </si>
  <si>
    <t>15263919162</t>
  </si>
  <si>
    <t>54656800</t>
  </si>
  <si>
    <t>15263920372</t>
  </si>
  <si>
    <t>15263920677</t>
  </si>
  <si>
    <t>54656923</t>
  </si>
  <si>
    <t>15263920970</t>
  </si>
  <si>
    <t>54656756</t>
  </si>
  <si>
    <t>15263922843</t>
  </si>
  <si>
    <t>54656707</t>
  </si>
  <si>
    <t>15263924753</t>
  </si>
  <si>
    <t>15263928833</t>
  </si>
  <si>
    <t>15263933913</t>
  </si>
  <si>
    <t>54660817</t>
  </si>
  <si>
    <t>15263974924</t>
  </si>
  <si>
    <t>15263987388</t>
  </si>
  <si>
    <t>54674472</t>
  </si>
  <si>
    <t>15263988258</t>
  </si>
  <si>
    <t>54669357</t>
  </si>
  <si>
    <t>15263993284</t>
  </si>
  <si>
    <t>54668769</t>
  </si>
  <si>
    <t>15264019959</t>
  </si>
  <si>
    <t>15264020030</t>
  </si>
  <si>
    <t>15264030569</t>
  </si>
  <si>
    <t>54674976</t>
  </si>
  <si>
    <t>15264040524</t>
  </si>
  <si>
    <t>54681394</t>
  </si>
  <si>
    <t>15264041670</t>
  </si>
  <si>
    <t>54675675</t>
  </si>
  <si>
    <t>15264042849</t>
  </si>
  <si>
    <t>54678456</t>
  </si>
  <si>
    <t>15264042929</t>
  </si>
  <si>
    <t>54676882</t>
  </si>
  <si>
    <t>15264089013</t>
  </si>
  <si>
    <t>54678004</t>
  </si>
  <si>
    <t>15264090957</t>
  </si>
  <si>
    <t>54677488</t>
  </si>
  <si>
    <t>15264099085</t>
  </si>
  <si>
    <t>54681433</t>
  </si>
  <si>
    <t>15264148848</t>
  </si>
  <si>
    <t>54681872</t>
  </si>
  <si>
    <t>15264220997</t>
  </si>
  <si>
    <t>15264236101</t>
  </si>
  <si>
    <t>58661644</t>
  </si>
  <si>
    <t>15264237629</t>
  </si>
  <si>
    <t>15264238763</t>
  </si>
  <si>
    <t>54699780</t>
  </si>
  <si>
    <t>15264302618</t>
  </si>
  <si>
    <t>15264308953</t>
  </si>
  <si>
    <t>54693528</t>
  </si>
  <si>
    <t>15264312611</t>
  </si>
  <si>
    <t>15264314906</t>
  </si>
  <si>
    <t>54693865</t>
  </si>
  <si>
    <t>15264353658</t>
  </si>
  <si>
    <t>54700014</t>
  </si>
  <si>
    <t>15264360406</t>
  </si>
  <si>
    <t>54696466</t>
  </si>
  <si>
    <t>15264367834</t>
  </si>
  <si>
    <t>54697036</t>
  </si>
  <si>
    <t>15264373160</t>
  </si>
  <si>
    <t>54698509</t>
  </si>
  <si>
    <t>15264421302</t>
  </si>
  <si>
    <t>54704687</t>
  </si>
  <si>
    <t>Cadillac : Parts &amp; Service</t>
  </si>
  <si>
    <t>15264437739</t>
  </si>
  <si>
    <t>54708160</t>
  </si>
  <si>
    <t>15264499056</t>
  </si>
  <si>
    <t>15264559266</t>
  </si>
  <si>
    <t>58662219</t>
  </si>
  <si>
    <t>15264560484</t>
  </si>
  <si>
    <t>15264560496</t>
  </si>
  <si>
    <t>15264560515</t>
  </si>
  <si>
    <t>15264564964</t>
  </si>
  <si>
    <t>54721549</t>
  </si>
  <si>
    <t>15264577985</t>
  </si>
  <si>
    <t>54721409</t>
  </si>
  <si>
    <t>15264600506</t>
  </si>
  <si>
    <t>54724118</t>
  </si>
  <si>
    <t>15264613954</t>
  </si>
  <si>
    <t>15264625685</t>
  </si>
  <si>
    <t>15264628930</t>
  </si>
  <si>
    <t>15264629097</t>
  </si>
  <si>
    <t>54727772</t>
  </si>
  <si>
    <t>15264646719</t>
  </si>
  <si>
    <t>54727340</t>
  </si>
  <si>
    <t>15264648501</t>
  </si>
  <si>
    <t>54726998</t>
  </si>
  <si>
    <t>15264650704</t>
  </si>
  <si>
    <t>54727004</t>
  </si>
  <si>
    <t>15264654353</t>
  </si>
  <si>
    <t>54728226</t>
  </si>
  <si>
    <t>15264666450</t>
  </si>
  <si>
    <t>54729104</t>
  </si>
  <si>
    <t>15264669611</t>
  </si>
  <si>
    <t>54729330</t>
  </si>
  <si>
    <t>15264687983</t>
  </si>
  <si>
    <t>55048217</t>
  </si>
  <si>
    <t>15264688812</t>
  </si>
  <si>
    <t>15264699766</t>
  </si>
  <si>
    <t>15264703500</t>
  </si>
  <si>
    <t>15264704648</t>
  </si>
  <si>
    <t>54735122</t>
  </si>
  <si>
    <t>15264707188</t>
  </si>
  <si>
    <t>54734889</t>
  </si>
  <si>
    <t>15264707245</t>
  </si>
  <si>
    <t>54734878</t>
  </si>
  <si>
    <t>15264708325</t>
  </si>
  <si>
    <t>15264711590</t>
  </si>
  <si>
    <t>54733047</t>
  </si>
  <si>
    <t>15264712734</t>
  </si>
  <si>
    <t>54740475</t>
  </si>
  <si>
    <t>15264716081</t>
  </si>
  <si>
    <t>54734380</t>
  </si>
  <si>
    <t>15264725478</t>
  </si>
  <si>
    <t>54734681</t>
  </si>
  <si>
    <t>15264732503</t>
  </si>
  <si>
    <t>54733578</t>
  </si>
  <si>
    <t>15264749737</t>
  </si>
  <si>
    <t>15264752048</t>
  </si>
  <si>
    <t>15264752258</t>
  </si>
  <si>
    <t>15264754733</t>
  </si>
  <si>
    <t>15264766172</t>
  </si>
  <si>
    <t>15264773413</t>
  </si>
  <si>
    <t>54737766</t>
  </si>
  <si>
    <t>15264773522</t>
  </si>
  <si>
    <t>54737676</t>
  </si>
  <si>
    <t>15264773631</t>
  </si>
  <si>
    <t>54737301</t>
  </si>
  <si>
    <t>15264777701</t>
  </si>
  <si>
    <t>54737212</t>
  </si>
  <si>
    <t>15264805384</t>
  </si>
  <si>
    <t>55047401</t>
  </si>
  <si>
    <t>15264835407</t>
  </si>
  <si>
    <t>54746356</t>
  </si>
  <si>
    <t>15264836186</t>
  </si>
  <si>
    <t>54746625</t>
  </si>
  <si>
    <t>15264861410</t>
  </si>
  <si>
    <t>54742598</t>
  </si>
  <si>
    <t>15264866088</t>
  </si>
  <si>
    <t>54742544</t>
  </si>
  <si>
    <t>15264874280</t>
  </si>
  <si>
    <t>54745159</t>
  </si>
  <si>
    <t>15264879632</t>
  </si>
  <si>
    <t>15264883307</t>
  </si>
  <si>
    <t>54751978</t>
  </si>
  <si>
    <t>15264916463</t>
  </si>
  <si>
    <t>15264930749</t>
  </si>
  <si>
    <t>54756472</t>
  </si>
  <si>
    <t>15264938291</t>
  </si>
  <si>
    <t>15264944399</t>
  </si>
  <si>
    <t>54762293</t>
  </si>
  <si>
    <t>15264987652</t>
  </si>
  <si>
    <t>54760777</t>
  </si>
  <si>
    <t>15264996882</t>
  </si>
  <si>
    <t>54765248</t>
  </si>
  <si>
    <t>15264998949</t>
  </si>
  <si>
    <t>15264999000</t>
  </si>
  <si>
    <t>15265007405</t>
  </si>
  <si>
    <t>54767501</t>
  </si>
  <si>
    <t>15265012557</t>
  </si>
  <si>
    <t>54767451</t>
  </si>
  <si>
    <t>15265013046</t>
  </si>
  <si>
    <t>54768663</t>
  </si>
  <si>
    <t>15265013067</t>
  </si>
  <si>
    <t>54768616</t>
  </si>
  <si>
    <t>15265013078</t>
  </si>
  <si>
    <t>54768603</t>
  </si>
  <si>
    <t>15265015081</t>
  </si>
  <si>
    <t>54768800</t>
  </si>
  <si>
    <t>15265016303</t>
  </si>
  <si>
    <t>54768691</t>
  </si>
  <si>
    <t>15265020341</t>
  </si>
  <si>
    <t>54768802</t>
  </si>
  <si>
    <t>15265042124</t>
  </si>
  <si>
    <t>54769391</t>
  </si>
  <si>
    <t>15265057252</t>
  </si>
  <si>
    <t>15265068115</t>
  </si>
  <si>
    <t>15265070069</t>
  </si>
  <si>
    <t>55048268</t>
  </si>
  <si>
    <t>15265076357</t>
  </si>
  <si>
    <t>15265121180</t>
  </si>
  <si>
    <t>54775582</t>
  </si>
  <si>
    <t>15265136379</t>
  </si>
  <si>
    <t>54781476</t>
  </si>
  <si>
    <t>15265148253</t>
  </si>
  <si>
    <t>54780461</t>
  </si>
  <si>
    <t>15265202635</t>
  </si>
  <si>
    <t>54785205</t>
  </si>
  <si>
    <t>15265208722</t>
  </si>
  <si>
    <t>54786250</t>
  </si>
  <si>
    <t>15265259347</t>
  </si>
  <si>
    <t>54792675</t>
  </si>
  <si>
    <t>15265263084</t>
  </si>
  <si>
    <t>54792446</t>
  </si>
  <si>
    <t>15265312219</t>
  </si>
  <si>
    <t>54807675</t>
  </si>
  <si>
    <t>15265375754</t>
  </si>
  <si>
    <t>54803606</t>
  </si>
  <si>
    <t>15265384900</t>
  </si>
  <si>
    <t>54811849</t>
  </si>
  <si>
    <t>15265433624</t>
  </si>
  <si>
    <t>54808767</t>
  </si>
  <si>
    <t>15265447150</t>
  </si>
  <si>
    <t>58661520</t>
  </si>
  <si>
    <t>15265526277</t>
  </si>
  <si>
    <t>15265558896</t>
  </si>
  <si>
    <t>54822799</t>
  </si>
  <si>
    <t>15265558897</t>
  </si>
  <si>
    <t>54822370</t>
  </si>
  <si>
    <t>15265569287</t>
  </si>
  <si>
    <t>54825580</t>
  </si>
  <si>
    <t>15265574313</t>
  </si>
  <si>
    <t>54820359</t>
  </si>
  <si>
    <t>15265578367</t>
  </si>
  <si>
    <t>54820920</t>
  </si>
  <si>
    <t>15265578446</t>
  </si>
  <si>
    <t>54819709</t>
  </si>
  <si>
    <t>15265596390</t>
  </si>
  <si>
    <t>54827394</t>
  </si>
  <si>
    <t>15265646839</t>
  </si>
  <si>
    <t>15265646863</t>
  </si>
  <si>
    <t>15265657752</t>
  </si>
  <si>
    <t>54832210</t>
  </si>
  <si>
    <t>15265657861</t>
  </si>
  <si>
    <t>15265666557</t>
  </si>
  <si>
    <t>54831081</t>
  </si>
  <si>
    <t>15265671240</t>
  </si>
  <si>
    <t>54829869</t>
  </si>
  <si>
    <t>15265772209</t>
  </si>
  <si>
    <t>54834857</t>
  </si>
  <si>
    <t>15265773752</t>
  </si>
  <si>
    <t>54837799</t>
  </si>
  <si>
    <t>15265774896</t>
  </si>
  <si>
    <t>54841035</t>
  </si>
  <si>
    <t>15265822881</t>
  </si>
  <si>
    <t>15265832638</t>
  </si>
  <si>
    <t>54842419</t>
  </si>
  <si>
    <t>15265845940</t>
  </si>
  <si>
    <t>15265902848</t>
  </si>
  <si>
    <t>15265902894</t>
  </si>
  <si>
    <t>15265902911</t>
  </si>
  <si>
    <t>54857004</t>
  </si>
  <si>
    <t>15265902937</t>
  </si>
  <si>
    <t>54856579</t>
  </si>
  <si>
    <t>15265902963</t>
  </si>
  <si>
    <t>54856633</t>
  </si>
  <si>
    <t>15265902980</t>
  </si>
  <si>
    <t>54856427</t>
  </si>
  <si>
    <t>15265904317</t>
  </si>
  <si>
    <t>54855343</t>
  </si>
  <si>
    <t>15265929397</t>
  </si>
  <si>
    <t>54857695</t>
  </si>
  <si>
    <t>15265929916</t>
  </si>
  <si>
    <t>54856257</t>
  </si>
  <si>
    <t>15265951490</t>
  </si>
  <si>
    <t>15265962864</t>
  </si>
  <si>
    <t>54979495</t>
  </si>
  <si>
    <t>15265965875</t>
  </si>
  <si>
    <t>54856220</t>
  </si>
  <si>
    <t>15265965920</t>
  </si>
  <si>
    <t>54856230</t>
  </si>
  <si>
    <t>15265965981</t>
  </si>
  <si>
    <t>54856277</t>
  </si>
  <si>
    <t>15265972955</t>
  </si>
  <si>
    <t>54856950</t>
  </si>
  <si>
    <t>15265972956</t>
  </si>
  <si>
    <t>54857005</t>
  </si>
  <si>
    <t>15265972973</t>
  </si>
  <si>
    <t>54857016</t>
  </si>
  <si>
    <t>15265973382</t>
  </si>
  <si>
    <t>15265974999</t>
  </si>
  <si>
    <t>54870937</t>
  </si>
  <si>
    <t>15265978879</t>
  </si>
  <si>
    <t>54857535</t>
  </si>
  <si>
    <t>15265980628</t>
  </si>
  <si>
    <t>54872679</t>
  </si>
  <si>
    <t>15265981345</t>
  </si>
  <si>
    <t>54861212</t>
  </si>
  <si>
    <t>15265981842</t>
  </si>
  <si>
    <t>54865450</t>
  </si>
  <si>
    <t>15265982481</t>
  </si>
  <si>
    <t>54866695</t>
  </si>
  <si>
    <t>15265983618</t>
  </si>
  <si>
    <t>54866433</t>
  </si>
  <si>
    <t>15265984794</t>
  </si>
  <si>
    <t>54860061</t>
  </si>
  <si>
    <t>15265984796</t>
  </si>
  <si>
    <t>54860112</t>
  </si>
  <si>
    <t>15265987961</t>
  </si>
  <si>
    <t>54868584</t>
  </si>
  <si>
    <t>15265992042</t>
  </si>
  <si>
    <t>54866535</t>
  </si>
  <si>
    <t>15266016417</t>
  </si>
  <si>
    <t>54866870</t>
  </si>
  <si>
    <t>15266032911</t>
  </si>
  <si>
    <t>54861891</t>
  </si>
  <si>
    <t>15266033728</t>
  </si>
  <si>
    <t>54862530</t>
  </si>
  <si>
    <t>15266033747</t>
  </si>
  <si>
    <t>15266036970</t>
  </si>
  <si>
    <t>15266038977</t>
  </si>
  <si>
    <t>15266039014</t>
  </si>
  <si>
    <t>15266039437</t>
  </si>
  <si>
    <t>15266039957</t>
  </si>
  <si>
    <t>15266040015</t>
  </si>
  <si>
    <t>15266048249</t>
  </si>
  <si>
    <t>15266052571</t>
  </si>
  <si>
    <t>15266053442</t>
  </si>
  <si>
    <t>54864935</t>
  </si>
  <si>
    <t>15266053632</t>
  </si>
  <si>
    <t>54866325</t>
  </si>
  <si>
    <t>15266061672</t>
  </si>
  <si>
    <t>54868600</t>
  </si>
  <si>
    <t>15266061681</t>
  </si>
  <si>
    <t>15266061752</t>
  </si>
  <si>
    <t>54867040</t>
  </si>
  <si>
    <t>15266061825</t>
  </si>
  <si>
    <t>15266061861</t>
  </si>
  <si>
    <t>15266062089</t>
  </si>
  <si>
    <t>15266062577</t>
  </si>
  <si>
    <t>15266062618</t>
  </si>
  <si>
    <t>15266062716</t>
  </si>
  <si>
    <t>54868631</t>
  </si>
  <si>
    <t>15266064556</t>
  </si>
  <si>
    <t>54868620</t>
  </si>
  <si>
    <t>15266064573</t>
  </si>
  <si>
    <t>54868607</t>
  </si>
  <si>
    <t>15266064574</t>
  </si>
  <si>
    <t>15266087261</t>
  </si>
  <si>
    <t>54886216</t>
  </si>
  <si>
    <t>15266089616</t>
  </si>
  <si>
    <t>54978871</t>
  </si>
  <si>
    <t>15266101361</t>
  </si>
  <si>
    <t>54892651</t>
  </si>
  <si>
    <t>15266105531</t>
  </si>
  <si>
    <t>54888471</t>
  </si>
  <si>
    <t>15266112877</t>
  </si>
  <si>
    <t>15266112906</t>
  </si>
  <si>
    <t>15266113299</t>
  </si>
  <si>
    <t>15266116008</t>
  </si>
  <si>
    <t>54868967</t>
  </si>
  <si>
    <t>15266117279</t>
  </si>
  <si>
    <t>15266117780</t>
  </si>
  <si>
    <t>15266119749</t>
  </si>
  <si>
    <t>15266120398</t>
  </si>
  <si>
    <t>54872604</t>
  </si>
  <si>
    <t>15266122525</t>
  </si>
  <si>
    <t>15266123708</t>
  </si>
  <si>
    <t>54869764</t>
  </si>
  <si>
    <t>15266124219</t>
  </si>
  <si>
    <t>54868846</t>
  </si>
  <si>
    <t>15266154622</t>
  </si>
  <si>
    <t>54868940</t>
  </si>
  <si>
    <t>15266159515</t>
  </si>
  <si>
    <t>54869658</t>
  </si>
  <si>
    <t>15266163375</t>
  </si>
  <si>
    <t>15266164055</t>
  </si>
  <si>
    <t>54979550</t>
  </si>
  <si>
    <t>15266165049</t>
  </si>
  <si>
    <t>54873063</t>
  </si>
  <si>
    <t>15266176597</t>
  </si>
  <si>
    <t>54978587</t>
  </si>
  <si>
    <t>15266176688</t>
  </si>
  <si>
    <t>54875488</t>
  </si>
  <si>
    <t>15266183459</t>
  </si>
  <si>
    <t>54873067</t>
  </si>
  <si>
    <t>15266183460</t>
  </si>
  <si>
    <t>15266183474</t>
  </si>
  <si>
    <t>54872983</t>
  </si>
  <si>
    <t>15266183495</t>
  </si>
  <si>
    <t>15266183496</t>
  </si>
  <si>
    <t>15266183509</t>
  </si>
  <si>
    <t>15266183567</t>
  </si>
  <si>
    <t>54875530</t>
  </si>
  <si>
    <t>15266184943</t>
  </si>
  <si>
    <t>54919075</t>
  </si>
  <si>
    <t>15266214053</t>
  </si>
  <si>
    <t>54873773</t>
  </si>
  <si>
    <t>15266214610</t>
  </si>
  <si>
    <t>54872908</t>
  </si>
  <si>
    <t>15266214638</t>
  </si>
  <si>
    <t>54872875</t>
  </si>
  <si>
    <t>15266220487</t>
  </si>
  <si>
    <t>54873703</t>
  </si>
  <si>
    <t>15266222292</t>
  </si>
  <si>
    <t>54875234</t>
  </si>
  <si>
    <t>15266222771</t>
  </si>
  <si>
    <t>15266230651</t>
  </si>
  <si>
    <t>54872503</t>
  </si>
  <si>
    <t>15266230676</t>
  </si>
  <si>
    <t>54873051</t>
  </si>
  <si>
    <t>15266234393</t>
  </si>
  <si>
    <t>54875123</t>
  </si>
  <si>
    <t>15266239656</t>
  </si>
  <si>
    <t>15266240822</t>
  </si>
  <si>
    <t>54874078</t>
  </si>
  <si>
    <t>15266241793</t>
  </si>
  <si>
    <t>54873654</t>
  </si>
  <si>
    <t>15266241949</t>
  </si>
  <si>
    <t>54873223</t>
  </si>
  <si>
    <t>15266242676</t>
  </si>
  <si>
    <t>54935153</t>
  </si>
  <si>
    <t>15266242941</t>
  </si>
  <si>
    <t>54874265</t>
  </si>
  <si>
    <t>15266243071</t>
  </si>
  <si>
    <t>15266243166</t>
  </si>
  <si>
    <t>15266243588</t>
  </si>
  <si>
    <t>54874351</t>
  </si>
  <si>
    <t>15266244752</t>
  </si>
  <si>
    <t>54874707</t>
  </si>
  <si>
    <t>15266271207</t>
  </si>
  <si>
    <t>54880112</t>
  </si>
  <si>
    <t>15266271409</t>
  </si>
  <si>
    <t>15266272778</t>
  </si>
  <si>
    <t>54978868</t>
  </si>
  <si>
    <t>15266273797</t>
  </si>
  <si>
    <t>15266277726</t>
  </si>
  <si>
    <t>54979499</t>
  </si>
  <si>
    <t>15266285986</t>
  </si>
  <si>
    <t>54881411</t>
  </si>
  <si>
    <t>15266286030</t>
  </si>
  <si>
    <t>54880861</t>
  </si>
  <si>
    <t>15266286048</t>
  </si>
  <si>
    <t>54880452</t>
  </si>
  <si>
    <t>15266293731</t>
  </si>
  <si>
    <t>54880655</t>
  </si>
  <si>
    <t>15266294411</t>
  </si>
  <si>
    <t>54885937</t>
  </si>
  <si>
    <t>15266294423</t>
  </si>
  <si>
    <t>54886948</t>
  </si>
  <si>
    <t>15266294708</t>
  </si>
  <si>
    <t>15266295219</t>
  </si>
  <si>
    <t>15266296316</t>
  </si>
  <si>
    <t>54882925</t>
  </si>
  <si>
    <t>15266302843</t>
  </si>
  <si>
    <t>54888514</t>
  </si>
  <si>
    <t>15266309090</t>
  </si>
  <si>
    <t>54887397</t>
  </si>
  <si>
    <t>15266331573</t>
  </si>
  <si>
    <t>54887875</t>
  </si>
  <si>
    <t>15266331771</t>
  </si>
  <si>
    <t>54979559</t>
  </si>
  <si>
    <t>15266343755</t>
  </si>
  <si>
    <t>54887394</t>
  </si>
  <si>
    <t>15266343775</t>
  </si>
  <si>
    <t>54887520</t>
  </si>
  <si>
    <t>15266343824</t>
  </si>
  <si>
    <t>54887469</t>
  </si>
  <si>
    <t>15266344787</t>
  </si>
  <si>
    <t>54887453</t>
  </si>
  <si>
    <t>15266345099</t>
  </si>
  <si>
    <t>54887205</t>
  </si>
  <si>
    <t>15266348405</t>
  </si>
  <si>
    <t>54886525</t>
  </si>
  <si>
    <t>15266348406</t>
  </si>
  <si>
    <t>15266348430</t>
  </si>
  <si>
    <t>15266358808</t>
  </si>
  <si>
    <t>54893046</t>
  </si>
  <si>
    <t>15266360332</t>
  </si>
  <si>
    <t>15266363484</t>
  </si>
  <si>
    <t>54919649</t>
  </si>
  <si>
    <t>15266365003</t>
  </si>
  <si>
    <t>54892269</t>
  </si>
  <si>
    <t>15266365625</t>
  </si>
  <si>
    <t>15266373333</t>
  </si>
  <si>
    <t>54892879</t>
  </si>
  <si>
    <t>15266375308</t>
  </si>
  <si>
    <t>54891664</t>
  </si>
  <si>
    <t>15266395784</t>
  </si>
  <si>
    <t>54894493</t>
  </si>
  <si>
    <t>15266417942</t>
  </si>
  <si>
    <t>54978893</t>
  </si>
  <si>
    <t>15266429599</t>
  </si>
  <si>
    <t>15266429867</t>
  </si>
  <si>
    <t>54919702</t>
  </si>
  <si>
    <t>15266432620</t>
  </si>
  <si>
    <t>15266437613</t>
  </si>
  <si>
    <t>54898160</t>
  </si>
  <si>
    <t>15266440623</t>
  </si>
  <si>
    <t>54899474</t>
  </si>
  <si>
    <t>15266440642</t>
  </si>
  <si>
    <t>54899362</t>
  </si>
  <si>
    <t>15266440840</t>
  </si>
  <si>
    <t>54903135</t>
  </si>
  <si>
    <t>15266454517</t>
  </si>
  <si>
    <t>54903530</t>
  </si>
  <si>
    <t>15266479614</t>
  </si>
  <si>
    <t>54900585</t>
  </si>
  <si>
    <t>15266482509</t>
  </si>
  <si>
    <t>15266482553</t>
  </si>
  <si>
    <t>15266487065</t>
  </si>
  <si>
    <t>15266487956</t>
  </si>
  <si>
    <t>15266488370</t>
  </si>
  <si>
    <t>15266488425</t>
  </si>
  <si>
    <t>58661870</t>
  </si>
  <si>
    <t>15266488438</t>
  </si>
  <si>
    <t>58662357</t>
  </si>
  <si>
    <t>15266489417</t>
  </si>
  <si>
    <t>15266494511</t>
  </si>
  <si>
    <t>54905382</t>
  </si>
  <si>
    <t>15266495511</t>
  </si>
  <si>
    <t>15266501744</t>
  </si>
  <si>
    <t>54905120</t>
  </si>
  <si>
    <t>15266502645</t>
  </si>
  <si>
    <t>54904624</t>
  </si>
  <si>
    <t>15266508202</t>
  </si>
  <si>
    <t>54903759</t>
  </si>
  <si>
    <t>15266518825</t>
  </si>
  <si>
    <t>15266520749</t>
  </si>
  <si>
    <t>54905180</t>
  </si>
  <si>
    <t>15266521565</t>
  </si>
  <si>
    <t>54915773</t>
  </si>
  <si>
    <t>15266521582</t>
  </si>
  <si>
    <t>54915707</t>
  </si>
  <si>
    <t>15266521597</t>
  </si>
  <si>
    <t>54915480</t>
  </si>
  <si>
    <t>15266522416</t>
  </si>
  <si>
    <t>54915209</t>
  </si>
  <si>
    <t>15266522417</t>
  </si>
  <si>
    <t>54905077</t>
  </si>
  <si>
    <t>15266532274</t>
  </si>
  <si>
    <t>55046694</t>
  </si>
  <si>
    <t>15266532776</t>
  </si>
  <si>
    <t>58661724</t>
  </si>
  <si>
    <t>15266532777</t>
  </si>
  <si>
    <t>58661533</t>
  </si>
  <si>
    <t>15266542508</t>
  </si>
  <si>
    <t>15266553569</t>
  </si>
  <si>
    <t>58661895</t>
  </si>
  <si>
    <t>15266553570</t>
  </si>
  <si>
    <t>15266561368</t>
  </si>
  <si>
    <t>15266566947</t>
  </si>
  <si>
    <t>15266569017</t>
  </si>
  <si>
    <t>54909485</t>
  </si>
  <si>
    <t>15266570200</t>
  </si>
  <si>
    <t>54909391</t>
  </si>
  <si>
    <t>15266582321</t>
  </si>
  <si>
    <t>54908996</t>
  </si>
  <si>
    <t>15266582351</t>
  </si>
  <si>
    <t>54909124</t>
  </si>
  <si>
    <t>15266582387</t>
  </si>
  <si>
    <t>54909136</t>
  </si>
  <si>
    <t>15266625347</t>
  </si>
  <si>
    <t>58662145</t>
  </si>
  <si>
    <t>15266631129</t>
  </si>
  <si>
    <t>15266633269</t>
  </si>
  <si>
    <t>15266633407</t>
  </si>
  <si>
    <t>15266639243</t>
  </si>
  <si>
    <t>54913906</t>
  </si>
  <si>
    <t>15266655072</t>
  </si>
  <si>
    <t>54914462</t>
  </si>
  <si>
    <t>15266698811</t>
  </si>
  <si>
    <t>15266706738</t>
  </si>
  <si>
    <t>54911906</t>
  </si>
  <si>
    <t>15266744176</t>
  </si>
  <si>
    <t>54920644</t>
  </si>
  <si>
    <t>15266750036</t>
  </si>
  <si>
    <t>54921460</t>
  </si>
  <si>
    <t>15266750353</t>
  </si>
  <si>
    <t>54920131</t>
  </si>
  <si>
    <t>15266750501</t>
  </si>
  <si>
    <t>15266750672</t>
  </si>
  <si>
    <t>54920243</t>
  </si>
  <si>
    <t>15266774880</t>
  </si>
  <si>
    <t>54937180</t>
  </si>
  <si>
    <t>15266812682</t>
  </si>
  <si>
    <t>54934740</t>
  </si>
  <si>
    <t>15266812688</t>
  </si>
  <si>
    <t>15266835928</t>
  </si>
  <si>
    <t>15266879538</t>
  </si>
  <si>
    <t>54935721</t>
  </si>
  <si>
    <t>15266883769</t>
  </si>
  <si>
    <t>54936594</t>
  </si>
  <si>
    <t>15266906859</t>
  </si>
  <si>
    <t>54942195</t>
  </si>
  <si>
    <t>15266910757</t>
  </si>
  <si>
    <t>54941124</t>
  </si>
  <si>
    <t>15266911115</t>
  </si>
  <si>
    <t>54986115</t>
  </si>
  <si>
    <t>15266959175</t>
  </si>
  <si>
    <t>54944576</t>
  </si>
  <si>
    <t>15266966637</t>
  </si>
  <si>
    <t>54944467</t>
  </si>
  <si>
    <t>15266966943</t>
  </si>
  <si>
    <t>54950816</t>
  </si>
  <si>
    <t>15266973797</t>
  </si>
  <si>
    <t>54949279</t>
  </si>
  <si>
    <t>15266974261</t>
  </si>
  <si>
    <t>54949777</t>
  </si>
  <si>
    <t>15266981413</t>
  </si>
  <si>
    <t>15266981797</t>
  </si>
  <si>
    <t>15267016018</t>
  </si>
  <si>
    <t>15267017455</t>
  </si>
  <si>
    <t>15267017501</t>
  </si>
  <si>
    <t>15267027557</t>
  </si>
  <si>
    <t>15267040407</t>
  </si>
  <si>
    <t>54955690</t>
  </si>
  <si>
    <t>15267042196</t>
  </si>
  <si>
    <t>54972228</t>
  </si>
  <si>
    <t>15267089441</t>
  </si>
  <si>
    <t>15267089467</t>
  </si>
  <si>
    <t>15267089552</t>
  </si>
  <si>
    <t>58661968</t>
  </si>
  <si>
    <t>15267089799</t>
  </si>
  <si>
    <t>15267090553</t>
  </si>
  <si>
    <t>15267108418</t>
  </si>
  <si>
    <t>54961140</t>
  </si>
  <si>
    <t>15267143328</t>
  </si>
  <si>
    <t>54958622</t>
  </si>
  <si>
    <t>15267150026</t>
  </si>
  <si>
    <t>54960630</t>
  </si>
  <si>
    <t>15267150691</t>
  </si>
  <si>
    <t>54963316</t>
  </si>
  <si>
    <t>15267156419</t>
  </si>
  <si>
    <t>15267157223</t>
  </si>
  <si>
    <t>54959489</t>
  </si>
  <si>
    <t>15267157266</t>
  </si>
  <si>
    <t>54959513</t>
  </si>
  <si>
    <t>15267221994</t>
  </si>
  <si>
    <t>54969000</t>
  </si>
  <si>
    <t>15267222005</t>
  </si>
  <si>
    <t>54968918</t>
  </si>
  <si>
    <t>15267227908</t>
  </si>
  <si>
    <t>15267234331</t>
  </si>
  <si>
    <t>54997802</t>
  </si>
  <si>
    <t>15267240961</t>
  </si>
  <si>
    <t>15267240962</t>
  </si>
  <si>
    <t>54973516</t>
  </si>
  <si>
    <t>15267274798</t>
  </si>
  <si>
    <t>54976741</t>
  </si>
  <si>
    <t>15267274987</t>
  </si>
  <si>
    <t>54976395</t>
  </si>
  <si>
    <t>15267275008</t>
  </si>
  <si>
    <t>54976392</t>
  </si>
  <si>
    <t>15267278181</t>
  </si>
  <si>
    <t>15267282918</t>
  </si>
  <si>
    <t>15267283353</t>
  </si>
  <si>
    <t>54997650</t>
  </si>
  <si>
    <t>15267288016</t>
  </si>
  <si>
    <t>54997739</t>
  </si>
  <si>
    <t>15267299061</t>
  </si>
  <si>
    <t>54984202</t>
  </si>
  <si>
    <t>15267340911</t>
  </si>
  <si>
    <t>54984662</t>
  </si>
  <si>
    <t>15267395415</t>
  </si>
  <si>
    <t>15267406307</t>
  </si>
  <si>
    <t>54996471</t>
  </si>
  <si>
    <t>15267456356</t>
  </si>
  <si>
    <t>55046908</t>
  </si>
  <si>
    <t>15267459839</t>
  </si>
  <si>
    <t>15267460026</t>
  </si>
  <si>
    <t>15267460030</t>
  </si>
  <si>
    <t>15267460090</t>
  </si>
  <si>
    <t>15267460095</t>
  </si>
  <si>
    <t>15267460119</t>
  </si>
  <si>
    <t>15267461485</t>
  </si>
  <si>
    <t>15267461779</t>
  </si>
  <si>
    <t>15267461812</t>
  </si>
  <si>
    <t>15267462452</t>
  </si>
  <si>
    <t>15267462463</t>
  </si>
  <si>
    <t>58661600</t>
  </si>
  <si>
    <t>15267466745</t>
  </si>
  <si>
    <t>15267466798</t>
  </si>
  <si>
    <t>15267467158</t>
  </si>
  <si>
    <t>15267474926</t>
  </si>
  <si>
    <t>15267477821</t>
  </si>
  <si>
    <t>54999672</t>
  </si>
  <si>
    <t>15267485202</t>
  </si>
  <si>
    <t>54999547</t>
  </si>
  <si>
    <t>15267485208</t>
  </si>
  <si>
    <t>54999347</t>
  </si>
  <si>
    <t>15267485403</t>
  </si>
  <si>
    <t>55018063</t>
  </si>
  <si>
    <t>15267486734</t>
  </si>
  <si>
    <t>15267510396</t>
  </si>
  <si>
    <t>15267526952</t>
  </si>
  <si>
    <t>55002149</t>
  </si>
  <si>
    <t>15267531983</t>
  </si>
  <si>
    <t>15267532435</t>
  </si>
  <si>
    <t>55009672</t>
  </si>
  <si>
    <t>15267541388</t>
  </si>
  <si>
    <t>55019711</t>
  </si>
  <si>
    <t>15267585305</t>
  </si>
  <si>
    <t>15267586057</t>
  </si>
  <si>
    <t>55008804</t>
  </si>
  <si>
    <t>15267626315</t>
  </si>
  <si>
    <t>55021982</t>
  </si>
  <si>
    <t>15267626742</t>
  </si>
  <si>
    <t>55014145</t>
  </si>
  <si>
    <t>15267637693</t>
  </si>
  <si>
    <t>55014736</t>
  </si>
  <si>
    <t>15267676414</t>
  </si>
  <si>
    <t>55023796</t>
  </si>
  <si>
    <t>15267679067</t>
  </si>
  <si>
    <t>55031345</t>
  </si>
  <si>
    <t>15267690348</t>
  </si>
  <si>
    <t>55028837</t>
  </si>
  <si>
    <t>15267690907</t>
  </si>
  <si>
    <t>15267718172</t>
  </si>
  <si>
    <t>55036341</t>
  </si>
  <si>
    <t>15267721782</t>
  </si>
  <si>
    <t>55031141</t>
  </si>
  <si>
    <t>15267721900</t>
  </si>
  <si>
    <t>55035633</t>
  </si>
  <si>
    <t>15267724254</t>
  </si>
  <si>
    <t>55032149</t>
  </si>
  <si>
    <t>15267750358</t>
  </si>
  <si>
    <t>55036213</t>
  </si>
  <si>
    <t>15267797221</t>
  </si>
  <si>
    <t>15267797395</t>
  </si>
  <si>
    <t>15267798612</t>
  </si>
  <si>
    <t>15267807669</t>
  </si>
  <si>
    <t>15267808667</t>
  </si>
  <si>
    <t>15267808680</t>
  </si>
  <si>
    <t>15267841846</t>
  </si>
  <si>
    <t>15267846517</t>
  </si>
  <si>
    <t>15267857079</t>
  </si>
  <si>
    <t>15267857108</t>
  </si>
  <si>
    <t>15267866343</t>
  </si>
  <si>
    <t>15267882790</t>
  </si>
  <si>
    <t>15267883534</t>
  </si>
  <si>
    <t>15267883769</t>
  </si>
  <si>
    <t>15267884517</t>
  </si>
  <si>
    <t>15267921565</t>
  </si>
  <si>
    <t>15267983345</t>
  </si>
  <si>
    <t>15268011896</t>
  </si>
  <si>
    <t>15268013216</t>
  </si>
  <si>
    <t>15268020366</t>
  </si>
  <si>
    <t>15268020370</t>
  </si>
  <si>
    <t>15268029298</t>
  </si>
  <si>
    <t>15268039211</t>
  </si>
  <si>
    <t>15268084528</t>
  </si>
  <si>
    <t>15268089560</t>
  </si>
  <si>
    <t>55074027</t>
  </si>
  <si>
    <t>15268117584</t>
  </si>
  <si>
    <t>15268121396</t>
  </si>
  <si>
    <t>15268123658</t>
  </si>
  <si>
    <t>15268125374</t>
  </si>
  <si>
    <t>15268126309</t>
  </si>
  <si>
    <t>15268126458</t>
  </si>
  <si>
    <t>15268136737</t>
  </si>
  <si>
    <t>15268136757</t>
  </si>
  <si>
    <t>15268138081</t>
  </si>
  <si>
    <t>15268143536</t>
  </si>
  <si>
    <t>15268199497</t>
  </si>
  <si>
    <t>55080591</t>
  </si>
  <si>
    <t>15268258349</t>
  </si>
  <si>
    <t>55085177</t>
  </si>
  <si>
    <t>15268274055</t>
  </si>
  <si>
    <t>55087848</t>
  </si>
  <si>
    <t>15268286527</t>
  </si>
  <si>
    <t>15268339126</t>
  </si>
  <si>
    <t>15268343702</t>
  </si>
  <si>
    <t>15268368967</t>
  </si>
  <si>
    <t>15268368987</t>
  </si>
  <si>
    <t>15268377405</t>
  </si>
  <si>
    <t>15268383527</t>
  </si>
  <si>
    <t>15268432654</t>
  </si>
  <si>
    <t>15268433783</t>
  </si>
  <si>
    <t>15268444056</t>
  </si>
  <si>
    <t>55101415</t>
  </si>
  <si>
    <t>15268461757</t>
  </si>
  <si>
    <t>15268463590</t>
  </si>
  <si>
    <t>15268521847</t>
  </si>
  <si>
    <t>15268522249</t>
  </si>
  <si>
    <t>58790988</t>
  </si>
  <si>
    <t>15268540228</t>
  </si>
  <si>
    <t>15268557454</t>
  </si>
  <si>
    <t>15268618789</t>
  </si>
  <si>
    <t>15268633139</t>
  </si>
  <si>
    <t>58798954</t>
  </si>
  <si>
    <t>15268633451</t>
  </si>
  <si>
    <t>15268634077</t>
  </si>
  <si>
    <t>15268644527</t>
  </si>
  <si>
    <t>15268728674</t>
  </si>
  <si>
    <t>15268810421</t>
  </si>
  <si>
    <t>55130364</t>
  </si>
  <si>
    <t>15268812233</t>
  </si>
  <si>
    <t>55134562</t>
  </si>
  <si>
    <t>15268819690</t>
  </si>
  <si>
    <t>15268849463</t>
  </si>
  <si>
    <t>15268849480</t>
  </si>
  <si>
    <t>15268857171</t>
  </si>
  <si>
    <t>15268924587</t>
  </si>
  <si>
    <t>55139234</t>
  </si>
  <si>
    <t>15268928672</t>
  </si>
  <si>
    <t>15268936904</t>
  </si>
  <si>
    <t>15268937563</t>
  </si>
  <si>
    <t>15268956182</t>
  </si>
  <si>
    <t>15269031505</t>
  </si>
  <si>
    <t>15269031563</t>
  </si>
  <si>
    <t>15269040412</t>
  </si>
  <si>
    <t>15269156325</t>
  </si>
  <si>
    <t>55198903</t>
  </si>
  <si>
    <t>15269163709</t>
  </si>
  <si>
    <t>15269183620</t>
  </si>
  <si>
    <t>15269191640</t>
  </si>
  <si>
    <t>15269192803</t>
  </si>
  <si>
    <t>15269234015</t>
  </si>
  <si>
    <t>15269262745</t>
  </si>
  <si>
    <t>15269308803</t>
  </si>
  <si>
    <t>15269309031</t>
  </si>
  <si>
    <t>15269342300</t>
  </si>
  <si>
    <t>15269342307</t>
  </si>
  <si>
    <t>15269406631</t>
  </si>
  <si>
    <t>15269422949</t>
  </si>
  <si>
    <t>15269422951</t>
  </si>
  <si>
    <t>15269423733</t>
  </si>
  <si>
    <t>15269427358</t>
  </si>
  <si>
    <t>15269474123</t>
  </si>
  <si>
    <t>15269478308</t>
  </si>
  <si>
    <t>55205705</t>
  </si>
  <si>
    <t>15269486255</t>
  </si>
  <si>
    <t>15269559621</t>
  </si>
  <si>
    <t>15269559668</t>
  </si>
  <si>
    <t>15269563500</t>
  </si>
  <si>
    <t>15269609758</t>
  </si>
  <si>
    <t>55221418</t>
  </si>
  <si>
    <t>15269623843</t>
  </si>
  <si>
    <t>15269630679</t>
  </si>
  <si>
    <t>15269672641</t>
  </si>
  <si>
    <t>15269672642</t>
  </si>
  <si>
    <t>15269680626</t>
  </si>
  <si>
    <t>15269704217</t>
  </si>
  <si>
    <t>15269767772</t>
  </si>
  <si>
    <t>15269790429</t>
  </si>
  <si>
    <t>15269852025</t>
  </si>
  <si>
    <t>15269861855</t>
  </si>
  <si>
    <t>15269864266</t>
  </si>
  <si>
    <t>15269864405</t>
  </si>
  <si>
    <t>15270001319</t>
  </si>
  <si>
    <t>15270056726</t>
  </si>
  <si>
    <t>15270135009</t>
  </si>
  <si>
    <t>15270135159</t>
  </si>
  <si>
    <t>15270135160</t>
  </si>
  <si>
    <t>15270173557</t>
  </si>
  <si>
    <t>55265129</t>
  </si>
  <si>
    <t>15270191216</t>
  </si>
  <si>
    <t>55267679</t>
  </si>
  <si>
    <t>15270244781</t>
  </si>
  <si>
    <t>15270247526</t>
  </si>
  <si>
    <t>15270247991</t>
  </si>
  <si>
    <t>15270261373</t>
  </si>
  <si>
    <t>55294963</t>
  </si>
  <si>
    <t>15270262761</t>
  </si>
  <si>
    <t>55299954</t>
  </si>
  <si>
    <t>15270265897</t>
  </si>
  <si>
    <t>15270267755</t>
  </si>
  <si>
    <t>55297656</t>
  </si>
  <si>
    <t>15270280715</t>
  </si>
  <si>
    <t>15270280730</t>
  </si>
  <si>
    <t>15270295843</t>
  </si>
  <si>
    <t>15270334059</t>
  </si>
  <si>
    <t>15270357257</t>
  </si>
  <si>
    <t>15270368407</t>
  </si>
  <si>
    <t>15270373936</t>
  </si>
  <si>
    <t>15270378819</t>
  </si>
  <si>
    <t>15270379774</t>
  </si>
  <si>
    <t>15270401022</t>
  </si>
  <si>
    <t>55325528</t>
  </si>
  <si>
    <t>15270450884</t>
  </si>
  <si>
    <t>15270484795</t>
  </si>
  <si>
    <t>15270497966</t>
  </si>
  <si>
    <t>55343171</t>
  </si>
  <si>
    <t>15270525100</t>
  </si>
  <si>
    <t>15270525212</t>
  </si>
  <si>
    <t>15270525991</t>
  </si>
  <si>
    <t>55342019</t>
  </si>
  <si>
    <t>15270541079</t>
  </si>
  <si>
    <t>15270544451</t>
  </si>
  <si>
    <t>15270544823</t>
  </si>
  <si>
    <t>15270551496</t>
  </si>
  <si>
    <t>15270611637</t>
  </si>
  <si>
    <t>15270626330</t>
  </si>
  <si>
    <t>15270626331</t>
  </si>
  <si>
    <t>15270626366</t>
  </si>
  <si>
    <t>15270626390</t>
  </si>
  <si>
    <t>15270642332</t>
  </si>
  <si>
    <t>15270672916</t>
  </si>
  <si>
    <t>55375682</t>
  </si>
  <si>
    <t>15270680607</t>
  </si>
  <si>
    <t>15270716787</t>
  </si>
  <si>
    <t>15270758195</t>
  </si>
  <si>
    <t>55390055</t>
  </si>
  <si>
    <t>15270796138</t>
  </si>
  <si>
    <t>15270851557</t>
  </si>
  <si>
    <t>55406260</t>
  </si>
  <si>
    <t>15270881780</t>
  </si>
  <si>
    <t>15270943867</t>
  </si>
  <si>
    <t>55425040</t>
  </si>
  <si>
    <t>15270959443</t>
  </si>
  <si>
    <t>15270959454</t>
  </si>
  <si>
    <t>15271041988</t>
  </si>
  <si>
    <t>15271065307</t>
  </si>
  <si>
    <t>15271084216</t>
  </si>
  <si>
    <t>15271084330</t>
  </si>
  <si>
    <t>15271103164</t>
  </si>
  <si>
    <t>55449847</t>
  </si>
  <si>
    <t>15271137236</t>
  </si>
  <si>
    <t>15271167846</t>
  </si>
  <si>
    <t>15271175411</t>
  </si>
  <si>
    <t>15271175412</t>
  </si>
  <si>
    <t>15271183533</t>
  </si>
  <si>
    <t>55465058</t>
  </si>
  <si>
    <t>15271186046</t>
  </si>
  <si>
    <t>60710026</t>
  </si>
  <si>
    <t>15271212271</t>
  </si>
  <si>
    <t>15271287766</t>
  </si>
  <si>
    <t>55477232</t>
  </si>
  <si>
    <t>15271302317</t>
  </si>
  <si>
    <t>15271303208</t>
  </si>
  <si>
    <t>15271312201</t>
  </si>
  <si>
    <t>15271312654</t>
  </si>
  <si>
    <t>15271377094</t>
  </si>
  <si>
    <t>15271422139</t>
  </si>
  <si>
    <t>55509167</t>
  </si>
  <si>
    <t>15271423674</t>
  </si>
  <si>
    <t>55526534</t>
  </si>
  <si>
    <t>15271423718</t>
  </si>
  <si>
    <t>55526448</t>
  </si>
  <si>
    <t>15271519997</t>
  </si>
  <si>
    <t>15271595630</t>
  </si>
  <si>
    <t>15271622803</t>
  </si>
  <si>
    <t>15271629293</t>
  </si>
  <si>
    <t>15271732941</t>
  </si>
  <si>
    <t>15271781256</t>
  </si>
  <si>
    <t>55581136</t>
  </si>
  <si>
    <t>15271787484</t>
  </si>
  <si>
    <t>55584842</t>
  </si>
  <si>
    <t>15271793060</t>
  </si>
  <si>
    <t>55581644</t>
  </si>
  <si>
    <t>15271793078</t>
  </si>
  <si>
    <t>55583259</t>
  </si>
  <si>
    <t>15271802339</t>
  </si>
  <si>
    <t>15271922669</t>
  </si>
  <si>
    <t>15271938488</t>
  </si>
  <si>
    <t>55630862</t>
  </si>
  <si>
    <t>15272035266</t>
  </si>
  <si>
    <t>15272086760</t>
  </si>
  <si>
    <t>15272098004</t>
  </si>
  <si>
    <t>55662421</t>
  </si>
  <si>
    <t>15272117340</t>
  </si>
  <si>
    <t>15272130495</t>
  </si>
  <si>
    <t>15272133702</t>
  </si>
  <si>
    <t>15272138065</t>
  </si>
  <si>
    <t>15272138066</t>
  </si>
  <si>
    <t>15272143856</t>
  </si>
  <si>
    <t>15272144404</t>
  </si>
  <si>
    <t>15272161248</t>
  </si>
  <si>
    <t>15272166004</t>
  </si>
  <si>
    <t>15272263089</t>
  </si>
  <si>
    <t>55713020</t>
  </si>
  <si>
    <t>15272288914</t>
  </si>
  <si>
    <t>55718814</t>
  </si>
  <si>
    <t>15272304393</t>
  </si>
  <si>
    <t>15272304414</t>
  </si>
  <si>
    <t>15272309552</t>
  </si>
  <si>
    <t>15272311856</t>
  </si>
  <si>
    <t>15272319216</t>
  </si>
  <si>
    <t>15272327012</t>
  </si>
  <si>
    <t>15272336583</t>
  </si>
  <si>
    <t>15272385872</t>
  </si>
  <si>
    <t>56094150</t>
  </si>
  <si>
    <t>15272385873</t>
  </si>
  <si>
    <t>56644811</t>
  </si>
  <si>
    <t>15272418207</t>
  </si>
  <si>
    <t>15272428342</t>
  </si>
  <si>
    <t>55739323</t>
  </si>
  <si>
    <t>15272433004</t>
  </si>
  <si>
    <t>15272464401</t>
  </si>
  <si>
    <t>15272509965</t>
  </si>
  <si>
    <t>15272531356</t>
  </si>
  <si>
    <t>61678377</t>
  </si>
  <si>
    <t>15272541797</t>
  </si>
  <si>
    <t>55764552</t>
  </si>
  <si>
    <t>15272548823</t>
  </si>
  <si>
    <t>15272580694</t>
  </si>
  <si>
    <t>15272605351</t>
  </si>
  <si>
    <t>15272739229</t>
  </si>
  <si>
    <t>15272745483</t>
  </si>
  <si>
    <t>15272831651</t>
  </si>
  <si>
    <t>15272834851</t>
  </si>
  <si>
    <t>15272855646</t>
  </si>
  <si>
    <t>15272855647</t>
  </si>
  <si>
    <t>15272871908</t>
  </si>
  <si>
    <t>15272895048</t>
  </si>
  <si>
    <t>15272992779</t>
  </si>
  <si>
    <t>15273070523</t>
  </si>
  <si>
    <t>15273092603</t>
  </si>
  <si>
    <t>15273092645</t>
  </si>
  <si>
    <t>57715721</t>
  </si>
  <si>
    <t>15273171421</t>
  </si>
  <si>
    <t>15273185413</t>
  </si>
  <si>
    <t>15273342658</t>
  </si>
  <si>
    <t>55938578</t>
  </si>
  <si>
    <t>15273369523</t>
  </si>
  <si>
    <t>15273403982</t>
  </si>
  <si>
    <t>15273429884</t>
  </si>
  <si>
    <t>55961942</t>
  </si>
  <si>
    <t>15273438376</t>
  </si>
  <si>
    <t>15273441451</t>
  </si>
  <si>
    <t>15273502842</t>
  </si>
  <si>
    <t>15273510761</t>
  </si>
  <si>
    <t>15273514066</t>
  </si>
  <si>
    <t>61679624</t>
  </si>
  <si>
    <t>15273539231</t>
  </si>
  <si>
    <t>55995392</t>
  </si>
  <si>
    <t>15273572782</t>
  </si>
  <si>
    <t>15273592437</t>
  </si>
  <si>
    <t>15273592819</t>
  </si>
  <si>
    <t>15273621238</t>
  </si>
  <si>
    <t>15273667440</t>
  </si>
  <si>
    <t>56013812</t>
  </si>
  <si>
    <t>15273699939</t>
  </si>
  <si>
    <t>56026588</t>
  </si>
  <si>
    <t>15273713762</t>
  </si>
  <si>
    <t>56031249</t>
  </si>
  <si>
    <t>15273722051</t>
  </si>
  <si>
    <t>15273733574</t>
  </si>
  <si>
    <t>15273788212</t>
  </si>
  <si>
    <t>15273788823</t>
  </si>
  <si>
    <t>15273789221</t>
  </si>
  <si>
    <t>15273799035</t>
  </si>
  <si>
    <t>15273807244</t>
  </si>
  <si>
    <t>15273810392</t>
  </si>
  <si>
    <t>56045443</t>
  </si>
  <si>
    <t>15273811267</t>
  </si>
  <si>
    <t>56045438</t>
  </si>
  <si>
    <t>15273819007</t>
  </si>
  <si>
    <t>15273871039</t>
  </si>
  <si>
    <t>56066846</t>
  </si>
  <si>
    <t>15273880498</t>
  </si>
  <si>
    <t>56062704</t>
  </si>
  <si>
    <t>15273881104</t>
  </si>
  <si>
    <t>56084809</t>
  </si>
  <si>
    <t>15273904926</t>
  </si>
  <si>
    <t>15273907372</t>
  </si>
  <si>
    <t>15273941089</t>
  </si>
  <si>
    <t>56136915</t>
  </si>
  <si>
    <t>15273943499</t>
  </si>
  <si>
    <t>56138049</t>
  </si>
  <si>
    <t>15273944378</t>
  </si>
  <si>
    <t>15273944385</t>
  </si>
  <si>
    <t>15273952254</t>
  </si>
  <si>
    <t>15273965827</t>
  </si>
  <si>
    <t>15273985602</t>
  </si>
  <si>
    <t>15273985613</t>
  </si>
  <si>
    <t>15273985665</t>
  </si>
  <si>
    <t>15273986245</t>
  </si>
  <si>
    <t>15273994993</t>
  </si>
  <si>
    <t>15274046614</t>
  </si>
  <si>
    <t>56101529</t>
  </si>
  <si>
    <t>15274074636</t>
  </si>
  <si>
    <t>15274120458</t>
  </si>
  <si>
    <t>15274152384</t>
  </si>
  <si>
    <t>56107242</t>
  </si>
  <si>
    <t>15274152407</t>
  </si>
  <si>
    <t>56108851</t>
  </si>
  <si>
    <t>15274152426</t>
  </si>
  <si>
    <t>56108848</t>
  </si>
  <si>
    <t>15274161007</t>
  </si>
  <si>
    <t>15274174712</t>
  </si>
  <si>
    <t>15274174800</t>
  </si>
  <si>
    <t>15274206210</t>
  </si>
  <si>
    <t>15274223538</t>
  </si>
  <si>
    <t>56139481</t>
  </si>
  <si>
    <t>15274228768</t>
  </si>
  <si>
    <t>15274236671</t>
  </si>
  <si>
    <t>56157373</t>
  </si>
  <si>
    <t>15274243571</t>
  </si>
  <si>
    <t>15274243608</t>
  </si>
  <si>
    <t>15274244129</t>
  </si>
  <si>
    <t>15274249521</t>
  </si>
  <si>
    <t>15274249566</t>
  </si>
  <si>
    <t>15274249592</t>
  </si>
  <si>
    <t>15274277588</t>
  </si>
  <si>
    <t>15274277593</t>
  </si>
  <si>
    <t>15274317033</t>
  </si>
  <si>
    <t>56191636</t>
  </si>
  <si>
    <t>15274385568</t>
  </si>
  <si>
    <t>15274469567</t>
  </si>
  <si>
    <t>56255501</t>
  </si>
  <si>
    <t>15274474115</t>
  </si>
  <si>
    <t>15274485322</t>
  </si>
  <si>
    <t>15274493920</t>
  </si>
  <si>
    <t>15274563564</t>
  </si>
  <si>
    <t>15274594645</t>
  </si>
  <si>
    <t>15274636093</t>
  </si>
  <si>
    <t>15274640679</t>
  </si>
  <si>
    <t>15274646636</t>
  </si>
  <si>
    <t>56218406</t>
  </si>
  <si>
    <t>15274660797</t>
  </si>
  <si>
    <t>56220003</t>
  </si>
  <si>
    <t>15274661905</t>
  </si>
  <si>
    <t>15274671714</t>
  </si>
  <si>
    <t>15274721358</t>
  </si>
  <si>
    <t>56305911</t>
  </si>
  <si>
    <t>15274721367</t>
  </si>
  <si>
    <t>15274728015</t>
  </si>
  <si>
    <t>15274757249</t>
  </si>
  <si>
    <t>15274758689</t>
  </si>
  <si>
    <t>15274793815</t>
  </si>
  <si>
    <t>56340811</t>
  </si>
  <si>
    <t>15274822060</t>
  </si>
  <si>
    <t>15274878884</t>
  </si>
  <si>
    <t>15274915459</t>
  </si>
  <si>
    <t>15274955563</t>
  </si>
  <si>
    <t>15274955631</t>
  </si>
  <si>
    <t>15274969621</t>
  </si>
  <si>
    <t>15275001870</t>
  </si>
  <si>
    <t>15275049165</t>
  </si>
  <si>
    <t>56319918</t>
  </si>
  <si>
    <t>15275049229</t>
  </si>
  <si>
    <t>56319917</t>
  </si>
  <si>
    <t>15275057132</t>
  </si>
  <si>
    <t>15275057300</t>
  </si>
  <si>
    <t>15275057675</t>
  </si>
  <si>
    <t>15275057717</t>
  </si>
  <si>
    <t>15275061409</t>
  </si>
  <si>
    <t>15275064024</t>
  </si>
  <si>
    <t>15275065291</t>
  </si>
  <si>
    <t>15275129088</t>
  </si>
  <si>
    <t>15275180962</t>
  </si>
  <si>
    <t>15275193664</t>
  </si>
  <si>
    <t>15275193720</t>
  </si>
  <si>
    <t>15275203128</t>
  </si>
  <si>
    <t>15275206895</t>
  </si>
  <si>
    <t>15275270975</t>
  </si>
  <si>
    <t>15275273304</t>
  </si>
  <si>
    <t>61682392</t>
  </si>
  <si>
    <t>15275279385</t>
  </si>
  <si>
    <t>15275313700</t>
  </si>
  <si>
    <t>56441441</t>
  </si>
  <si>
    <t>15275314349</t>
  </si>
  <si>
    <t>56440510</t>
  </si>
  <si>
    <t>15275318982</t>
  </si>
  <si>
    <t>56440733</t>
  </si>
  <si>
    <t>15275318997</t>
  </si>
  <si>
    <t>56440618</t>
  </si>
  <si>
    <t>15275320041</t>
  </si>
  <si>
    <t>56440811</t>
  </si>
  <si>
    <t>15275320262</t>
  </si>
  <si>
    <t>15275335178</t>
  </si>
  <si>
    <t>15275336864</t>
  </si>
  <si>
    <t>15275340682</t>
  </si>
  <si>
    <t>15275342007</t>
  </si>
  <si>
    <t>15275346411</t>
  </si>
  <si>
    <t>15275349358</t>
  </si>
  <si>
    <t>15275415842</t>
  </si>
  <si>
    <t>15275415844</t>
  </si>
  <si>
    <t>15275441976</t>
  </si>
  <si>
    <t>15275460581</t>
  </si>
  <si>
    <t>15275461525</t>
  </si>
  <si>
    <t>15275461808</t>
  </si>
  <si>
    <t>15275461823</t>
  </si>
  <si>
    <t>15275466143</t>
  </si>
  <si>
    <t>15275472204</t>
  </si>
  <si>
    <t>15275475207</t>
  </si>
  <si>
    <t>15275475208</t>
  </si>
  <si>
    <t>15275475271</t>
  </si>
  <si>
    <t>15275488014</t>
  </si>
  <si>
    <t>15275491198</t>
  </si>
  <si>
    <t>56419450</t>
  </si>
  <si>
    <t>15275500187</t>
  </si>
  <si>
    <t>56420399</t>
  </si>
  <si>
    <t>15275500867</t>
  </si>
  <si>
    <t>56420487</t>
  </si>
  <si>
    <t>15275514961</t>
  </si>
  <si>
    <t>15275520302</t>
  </si>
  <si>
    <t>15275527849</t>
  </si>
  <si>
    <t>56437650</t>
  </si>
  <si>
    <t>15275537210</t>
  </si>
  <si>
    <t>15275604662</t>
  </si>
  <si>
    <t>56440413</t>
  </si>
  <si>
    <t>15275606998</t>
  </si>
  <si>
    <t>56441059</t>
  </si>
  <si>
    <t>15275607019</t>
  </si>
  <si>
    <t>15275649162</t>
  </si>
  <si>
    <t>15275658438</t>
  </si>
  <si>
    <t>15275658450</t>
  </si>
  <si>
    <t>15275707478</t>
  </si>
  <si>
    <t>15275717140</t>
  </si>
  <si>
    <t>15275718225</t>
  </si>
  <si>
    <t>15275724971</t>
  </si>
  <si>
    <t>15275725260</t>
  </si>
  <si>
    <t>15275812742</t>
  </si>
  <si>
    <t>15275818377</t>
  </si>
  <si>
    <t>15275856668</t>
  </si>
  <si>
    <t>15275867635</t>
  </si>
  <si>
    <t>15275867881</t>
  </si>
  <si>
    <t>15275867905</t>
  </si>
  <si>
    <t>15275897554</t>
  </si>
  <si>
    <t>15276017691</t>
  </si>
  <si>
    <t>15276021418</t>
  </si>
  <si>
    <t>15276021422</t>
  </si>
  <si>
    <t>15276022964</t>
  </si>
  <si>
    <t>15276026431</t>
  </si>
  <si>
    <t>15276026759</t>
  </si>
  <si>
    <t>15276046168</t>
  </si>
  <si>
    <t>15276049102</t>
  </si>
  <si>
    <t>15276059854</t>
  </si>
  <si>
    <t>15276088822</t>
  </si>
  <si>
    <t>56552387</t>
  </si>
  <si>
    <t>15276101465</t>
  </si>
  <si>
    <t>15276157545</t>
  </si>
  <si>
    <t>56574768</t>
  </si>
  <si>
    <t>15276176915</t>
  </si>
  <si>
    <t>61729897</t>
  </si>
  <si>
    <t>15276189630</t>
  </si>
  <si>
    <t>15276189702</t>
  </si>
  <si>
    <t>15276196103</t>
  </si>
  <si>
    <t>15276220848</t>
  </si>
  <si>
    <t>56635367</t>
  </si>
  <si>
    <t>15276228852</t>
  </si>
  <si>
    <t>56574940</t>
  </si>
  <si>
    <t>15276250477</t>
  </si>
  <si>
    <t>15276255585</t>
  </si>
  <si>
    <t>15276255874</t>
  </si>
  <si>
    <t>15276266905</t>
  </si>
  <si>
    <t>15276318861</t>
  </si>
  <si>
    <t>56741272</t>
  </si>
  <si>
    <t>15276328294</t>
  </si>
  <si>
    <t>15276356464</t>
  </si>
  <si>
    <t>15276398952</t>
  </si>
  <si>
    <t>56741275</t>
  </si>
  <si>
    <t>15276408342</t>
  </si>
  <si>
    <t>56651602</t>
  </si>
  <si>
    <t>15276483451</t>
  </si>
  <si>
    <t>15276497259</t>
  </si>
  <si>
    <t>15276554971</t>
  </si>
  <si>
    <t>15276572933</t>
  </si>
  <si>
    <t>15276645096</t>
  </si>
  <si>
    <t>15276646698</t>
  </si>
  <si>
    <t>15276662570</t>
  </si>
  <si>
    <t>15276664011</t>
  </si>
  <si>
    <t>15276698260</t>
  </si>
  <si>
    <t>15276706317</t>
  </si>
  <si>
    <t>15276707535</t>
  </si>
  <si>
    <t>15276711500</t>
  </si>
  <si>
    <t>15276714642</t>
  </si>
  <si>
    <t>15276740382</t>
  </si>
  <si>
    <t>15276747329</t>
  </si>
  <si>
    <t>15276776529</t>
  </si>
  <si>
    <t>15276786341</t>
  </si>
  <si>
    <t>15276786342</t>
  </si>
  <si>
    <t>15276829774</t>
  </si>
  <si>
    <t>56741271</t>
  </si>
  <si>
    <t>15276848582</t>
  </si>
  <si>
    <t>56710835</t>
  </si>
  <si>
    <t>15276853469</t>
  </si>
  <si>
    <t>56743718</t>
  </si>
  <si>
    <t>15276853470</t>
  </si>
  <si>
    <t>56743694</t>
  </si>
  <si>
    <t>15276881059</t>
  </si>
  <si>
    <t>56762681</t>
  </si>
  <si>
    <t>15276964335</t>
  </si>
  <si>
    <t>56762337</t>
  </si>
  <si>
    <t>15276991113</t>
  </si>
  <si>
    <t>15277044806</t>
  </si>
  <si>
    <t>15277063593</t>
  </si>
  <si>
    <t>15277073861</t>
  </si>
  <si>
    <t>15277074208</t>
  </si>
  <si>
    <t>15277075248</t>
  </si>
  <si>
    <t>15277076409</t>
  </si>
  <si>
    <t>15277113200</t>
  </si>
  <si>
    <t>56779957</t>
  </si>
  <si>
    <t>15277145552</t>
  </si>
  <si>
    <t>15277145997</t>
  </si>
  <si>
    <t>15277146133</t>
  </si>
  <si>
    <t>15277158088</t>
  </si>
  <si>
    <t>15277195886</t>
  </si>
  <si>
    <t>15277199315</t>
  </si>
  <si>
    <t>15277217952</t>
  </si>
  <si>
    <t>15277219328</t>
  </si>
  <si>
    <t>15277237634</t>
  </si>
  <si>
    <t>15277253617</t>
  </si>
  <si>
    <t>56814649</t>
  </si>
  <si>
    <t>15277269065</t>
  </si>
  <si>
    <t>15277270087</t>
  </si>
  <si>
    <t>15277270914</t>
  </si>
  <si>
    <t>15277271853</t>
  </si>
  <si>
    <t>15277274988</t>
  </si>
  <si>
    <t>15277325730</t>
  </si>
  <si>
    <t>56848078</t>
  </si>
  <si>
    <t>15277347362</t>
  </si>
  <si>
    <t>61692998</t>
  </si>
  <si>
    <t>15277349912</t>
  </si>
  <si>
    <t>15277382158</t>
  </si>
  <si>
    <t>56846403</t>
  </si>
  <si>
    <t>15277383378</t>
  </si>
  <si>
    <t>56850032</t>
  </si>
  <si>
    <t>15277416212</t>
  </si>
  <si>
    <t>15277442557</t>
  </si>
  <si>
    <t>56862110</t>
  </si>
  <si>
    <t>15277471535</t>
  </si>
  <si>
    <t>15277520881</t>
  </si>
  <si>
    <t>56879063</t>
  </si>
  <si>
    <t>15277524680</t>
  </si>
  <si>
    <t>15277537628</t>
  </si>
  <si>
    <t>15277555307</t>
  </si>
  <si>
    <t>56897014</t>
  </si>
  <si>
    <t>15277574792</t>
  </si>
  <si>
    <t>56895425</t>
  </si>
  <si>
    <t>15277617663</t>
  </si>
  <si>
    <t>15277620187</t>
  </si>
  <si>
    <t>15277650699</t>
  </si>
  <si>
    <t>15277654499</t>
  </si>
  <si>
    <t>15277663935</t>
  </si>
  <si>
    <t>56964907</t>
  </si>
  <si>
    <t>15277679717</t>
  </si>
  <si>
    <t>15277697072</t>
  </si>
  <si>
    <t>56927915</t>
  </si>
  <si>
    <t>15277709473</t>
  </si>
  <si>
    <t>56930017</t>
  </si>
  <si>
    <t>15277710840</t>
  </si>
  <si>
    <t>15277722365</t>
  </si>
  <si>
    <t>56929849</t>
  </si>
  <si>
    <t>15277775504</t>
  </si>
  <si>
    <t>15277776939</t>
  </si>
  <si>
    <t>56938880</t>
  </si>
  <si>
    <t>15277779745</t>
  </si>
  <si>
    <t>15277779838</t>
  </si>
  <si>
    <t>15277794050</t>
  </si>
  <si>
    <t>15277820126</t>
  </si>
  <si>
    <t>15277834655</t>
  </si>
  <si>
    <t>56953415</t>
  </si>
  <si>
    <t>15277849694</t>
  </si>
  <si>
    <t>56962463</t>
  </si>
  <si>
    <t>15277849709</t>
  </si>
  <si>
    <t>56962464</t>
  </si>
  <si>
    <t>15277850453</t>
  </si>
  <si>
    <t>56956063</t>
  </si>
  <si>
    <t>15277853232</t>
  </si>
  <si>
    <t>56962563</t>
  </si>
  <si>
    <t>15277912158</t>
  </si>
  <si>
    <t>15277912437</t>
  </si>
  <si>
    <t>15277913157</t>
  </si>
  <si>
    <t>15277957255</t>
  </si>
  <si>
    <t>57013673</t>
  </si>
  <si>
    <t>15277961910</t>
  </si>
  <si>
    <t>15277967958</t>
  </si>
  <si>
    <t>15277994835</t>
  </si>
  <si>
    <t>57002441</t>
  </si>
  <si>
    <t>15278000602</t>
  </si>
  <si>
    <t>57002437</t>
  </si>
  <si>
    <t>15278058155</t>
  </si>
  <si>
    <t>15278090822</t>
  </si>
  <si>
    <t>57122286</t>
  </si>
  <si>
    <t>15278090864</t>
  </si>
  <si>
    <t>57132946</t>
  </si>
  <si>
    <t>15278092992</t>
  </si>
  <si>
    <t>15278125880</t>
  </si>
  <si>
    <t>57040995</t>
  </si>
  <si>
    <t>15278138320</t>
  </si>
  <si>
    <t>57037194</t>
  </si>
  <si>
    <t>15278151520</t>
  </si>
  <si>
    <t>15278151619</t>
  </si>
  <si>
    <t>15278151782</t>
  </si>
  <si>
    <t>15278152943</t>
  </si>
  <si>
    <t>57048629</t>
  </si>
  <si>
    <t>15278168877</t>
  </si>
  <si>
    <t>15278206103</t>
  </si>
  <si>
    <t>15278219916</t>
  </si>
  <si>
    <t>57062320</t>
  </si>
  <si>
    <t>15278224352</t>
  </si>
  <si>
    <t>15278224353</t>
  </si>
  <si>
    <t>15278228783</t>
  </si>
  <si>
    <t>15278245219</t>
  </si>
  <si>
    <t>15278252749</t>
  </si>
  <si>
    <t>15278268309</t>
  </si>
  <si>
    <t>57135296</t>
  </si>
  <si>
    <t>15278288322</t>
  </si>
  <si>
    <t>15278291160</t>
  </si>
  <si>
    <t>57171399</t>
  </si>
  <si>
    <t>15278343976</t>
  </si>
  <si>
    <t>57091098</t>
  </si>
  <si>
    <t>15278344296</t>
  </si>
  <si>
    <t>57173162</t>
  </si>
  <si>
    <t>15278345538</t>
  </si>
  <si>
    <t>15278347964</t>
  </si>
  <si>
    <t>15278358113</t>
  </si>
  <si>
    <t>15278358194</t>
  </si>
  <si>
    <t>15278358231</t>
  </si>
  <si>
    <t>15278365064</t>
  </si>
  <si>
    <t>15278375204</t>
  </si>
  <si>
    <t>15278385969</t>
  </si>
  <si>
    <t>15278386375</t>
  </si>
  <si>
    <t>15278394365</t>
  </si>
  <si>
    <t>15278403765</t>
  </si>
  <si>
    <t>57103444</t>
  </si>
  <si>
    <t>15278408220</t>
  </si>
  <si>
    <t>57191278</t>
  </si>
  <si>
    <t>15278444629</t>
  </si>
  <si>
    <t>15278448634</t>
  </si>
  <si>
    <t>57107393</t>
  </si>
  <si>
    <t>15278474917</t>
  </si>
  <si>
    <t>57111210</t>
  </si>
  <si>
    <t>15278477814</t>
  </si>
  <si>
    <t>15278492673</t>
  </si>
  <si>
    <t>15278493390</t>
  </si>
  <si>
    <t>15278498797</t>
  </si>
  <si>
    <t>15278523865</t>
  </si>
  <si>
    <t>57120063</t>
  </si>
  <si>
    <t>15278527896</t>
  </si>
  <si>
    <t>15278532301</t>
  </si>
  <si>
    <t>15278535858</t>
  </si>
  <si>
    <t>57122282</t>
  </si>
  <si>
    <t>15278536073</t>
  </si>
  <si>
    <t>57122520</t>
  </si>
  <si>
    <t>15278537406</t>
  </si>
  <si>
    <t>57123718</t>
  </si>
  <si>
    <t>15278562054</t>
  </si>
  <si>
    <t>15278568670</t>
  </si>
  <si>
    <t>15278573669</t>
  </si>
  <si>
    <t>15278575181</t>
  </si>
  <si>
    <t>15278583939</t>
  </si>
  <si>
    <t>15278589161</t>
  </si>
  <si>
    <t>57134965</t>
  </si>
  <si>
    <t>15278599110</t>
  </si>
  <si>
    <t>15278600682</t>
  </si>
  <si>
    <t>15278601847</t>
  </si>
  <si>
    <t>15278602970</t>
  </si>
  <si>
    <t>15278607997</t>
  </si>
  <si>
    <t>15278609297</t>
  </si>
  <si>
    <t>15278609512</t>
  </si>
  <si>
    <t>15278643657</t>
  </si>
  <si>
    <t>57148657</t>
  </si>
  <si>
    <t>15278647579</t>
  </si>
  <si>
    <t>15278664910</t>
  </si>
  <si>
    <t>15278697078</t>
  </si>
  <si>
    <t>57163073</t>
  </si>
  <si>
    <t>15278708040</t>
  </si>
  <si>
    <t>57160653</t>
  </si>
  <si>
    <t>15278711757</t>
  </si>
  <si>
    <t>15278758762</t>
  </si>
  <si>
    <t>15278766329</t>
  </si>
  <si>
    <t>15278778722</t>
  </si>
  <si>
    <t>15278820025</t>
  </si>
  <si>
    <t>57192343</t>
  </si>
  <si>
    <t>15278830369</t>
  </si>
  <si>
    <t>15278866718</t>
  </si>
  <si>
    <t>57217138</t>
  </si>
  <si>
    <t>15278867424</t>
  </si>
  <si>
    <t>15278876947</t>
  </si>
  <si>
    <t>57233142</t>
  </si>
  <si>
    <t>15278878015</t>
  </si>
  <si>
    <t>57232908</t>
  </si>
  <si>
    <t>15278889198</t>
  </si>
  <si>
    <t>57245845</t>
  </si>
  <si>
    <t>15278889765</t>
  </si>
  <si>
    <t>57245842</t>
  </si>
  <si>
    <t>15278918823</t>
  </si>
  <si>
    <t>15278941896</t>
  </si>
  <si>
    <t>57221628</t>
  </si>
  <si>
    <t>15278948603</t>
  </si>
  <si>
    <t>57222064</t>
  </si>
  <si>
    <t>15278951053</t>
  </si>
  <si>
    <t>15279000746</t>
  </si>
  <si>
    <t>15279001370</t>
  </si>
  <si>
    <t>57231521</t>
  </si>
  <si>
    <t>15279001601</t>
  </si>
  <si>
    <t>57233110</t>
  </si>
  <si>
    <t>15279001624</t>
  </si>
  <si>
    <t>57233167</t>
  </si>
  <si>
    <t>15279003169</t>
  </si>
  <si>
    <t>57232914</t>
  </si>
  <si>
    <t>15279006240</t>
  </si>
  <si>
    <t>15279007585</t>
  </si>
  <si>
    <t>57233354</t>
  </si>
  <si>
    <t>15279018732</t>
  </si>
  <si>
    <t>57233173</t>
  </si>
  <si>
    <t>15279026262</t>
  </si>
  <si>
    <t>15279027389</t>
  </si>
  <si>
    <t>15279027437</t>
  </si>
  <si>
    <t>15279059225</t>
  </si>
  <si>
    <t>57249523</t>
  </si>
  <si>
    <t>15279083471</t>
  </si>
  <si>
    <t>15279094106</t>
  </si>
  <si>
    <t>15279110261</t>
  </si>
  <si>
    <t>57261043</t>
  </si>
  <si>
    <t>15279136600</t>
  </si>
  <si>
    <t>15279139200</t>
  </si>
  <si>
    <t>57268048</t>
  </si>
  <si>
    <t>15279176536</t>
  </si>
  <si>
    <t>57273160</t>
  </si>
  <si>
    <t>15279183674</t>
  </si>
  <si>
    <t>15279183818</t>
  </si>
  <si>
    <t>57296821</t>
  </si>
  <si>
    <t>15279187498</t>
  </si>
  <si>
    <t>57297554</t>
  </si>
  <si>
    <t>15279187500</t>
  </si>
  <si>
    <t>57297241</t>
  </si>
  <si>
    <t>15279188398</t>
  </si>
  <si>
    <t>15279224091</t>
  </si>
  <si>
    <t>57286853</t>
  </si>
  <si>
    <t>15279231302</t>
  </si>
  <si>
    <t>15279239232</t>
  </si>
  <si>
    <t>15279253820</t>
  </si>
  <si>
    <t>15279258263</t>
  </si>
  <si>
    <t>15279261848</t>
  </si>
  <si>
    <t>15279302909</t>
  </si>
  <si>
    <t>15279348478</t>
  </si>
  <si>
    <t>15279350955</t>
  </si>
  <si>
    <t>15279356803</t>
  </si>
  <si>
    <t>15279366479</t>
  </si>
  <si>
    <t>15279369849</t>
  </si>
  <si>
    <t>15279409402</t>
  </si>
  <si>
    <t>15279414019</t>
  </si>
  <si>
    <t>15279421027</t>
  </si>
  <si>
    <t>15279422794</t>
  </si>
  <si>
    <t>15279426748</t>
  </si>
  <si>
    <t>15279426999</t>
  </si>
  <si>
    <t>57324292</t>
  </si>
  <si>
    <t>15279427000</t>
  </si>
  <si>
    <t>57322703</t>
  </si>
  <si>
    <t>15279435161</t>
  </si>
  <si>
    <t>15279436565</t>
  </si>
  <si>
    <t>15279437746</t>
  </si>
  <si>
    <t>15279438565</t>
  </si>
  <si>
    <t>15279442763</t>
  </si>
  <si>
    <t>15279464048</t>
  </si>
  <si>
    <t>57345842</t>
  </si>
  <si>
    <t>15279464081</t>
  </si>
  <si>
    <t>57344678</t>
  </si>
  <si>
    <t>15279464146</t>
  </si>
  <si>
    <t>57333781</t>
  </si>
  <si>
    <t>15279464172</t>
  </si>
  <si>
    <t>57326838</t>
  </si>
  <si>
    <t>15279464183</t>
  </si>
  <si>
    <t>15279478703</t>
  </si>
  <si>
    <t>15279503698</t>
  </si>
  <si>
    <t>15279534173</t>
  </si>
  <si>
    <t>57337415</t>
  </si>
  <si>
    <t>15279555108</t>
  </si>
  <si>
    <t>15279571878</t>
  </si>
  <si>
    <t>15279608763</t>
  </si>
  <si>
    <t>15279633872</t>
  </si>
  <si>
    <t>57367878</t>
  </si>
  <si>
    <t>15279641522</t>
  </si>
  <si>
    <t>15279653195</t>
  </si>
  <si>
    <t>15279654005</t>
  </si>
  <si>
    <t>15279676262</t>
  </si>
  <si>
    <t>15279700378</t>
  </si>
  <si>
    <t>57377661</t>
  </si>
  <si>
    <t>15279708869</t>
  </si>
  <si>
    <t>15279713626</t>
  </si>
  <si>
    <t>15279740117</t>
  </si>
  <si>
    <t>57392163</t>
  </si>
  <si>
    <t>15279740139</t>
  </si>
  <si>
    <t>57394391</t>
  </si>
  <si>
    <t>15279761268</t>
  </si>
  <si>
    <t>15279772193</t>
  </si>
  <si>
    <t>15279785644</t>
  </si>
  <si>
    <t>15279795086</t>
  </si>
  <si>
    <t>57401316</t>
  </si>
  <si>
    <t>15279801529</t>
  </si>
  <si>
    <t>15279807547</t>
  </si>
  <si>
    <t>15279811878</t>
  </si>
  <si>
    <t>15279847955</t>
  </si>
  <si>
    <t>57413599</t>
  </si>
  <si>
    <t>15279850016</t>
  </si>
  <si>
    <t>57413951</t>
  </si>
  <si>
    <t>15279856060</t>
  </si>
  <si>
    <t>57416340</t>
  </si>
  <si>
    <t>15279858162</t>
  </si>
  <si>
    <t>15279859151</t>
  </si>
  <si>
    <t>15279864316</t>
  </si>
  <si>
    <t>15279864349</t>
  </si>
  <si>
    <t>15279894675</t>
  </si>
  <si>
    <t>57422858</t>
  </si>
  <si>
    <t>15279896062</t>
  </si>
  <si>
    <t>15279901863</t>
  </si>
  <si>
    <t>15279903160</t>
  </si>
  <si>
    <t>57423078</t>
  </si>
  <si>
    <t>15279908472</t>
  </si>
  <si>
    <t>57425136</t>
  </si>
  <si>
    <t>15279952227</t>
  </si>
  <si>
    <t>57439029</t>
  </si>
  <si>
    <t>15279952727</t>
  </si>
  <si>
    <t>57450182</t>
  </si>
  <si>
    <t>15279952728</t>
  </si>
  <si>
    <t>57450175</t>
  </si>
  <si>
    <t>15279954700</t>
  </si>
  <si>
    <t>15279959478</t>
  </si>
  <si>
    <t>15279959685</t>
  </si>
  <si>
    <t>15279961841</t>
  </si>
  <si>
    <t>15279961842</t>
  </si>
  <si>
    <t>15279964461</t>
  </si>
  <si>
    <t>15279968620</t>
  </si>
  <si>
    <t>15279987892</t>
  </si>
  <si>
    <t>57467947</t>
  </si>
  <si>
    <t>15279995229</t>
  </si>
  <si>
    <t>57452475</t>
  </si>
  <si>
    <t>15279995734</t>
  </si>
  <si>
    <t>57455467</t>
  </si>
  <si>
    <t>15280001658</t>
  </si>
  <si>
    <t>15280010390</t>
  </si>
  <si>
    <t>15280060145</t>
  </si>
  <si>
    <t>15280061314</t>
  </si>
  <si>
    <t>57521435</t>
  </si>
  <si>
    <t>15280069938</t>
  </si>
  <si>
    <t>15280071505</t>
  </si>
  <si>
    <t>15280072798</t>
  </si>
  <si>
    <t>15280077837</t>
  </si>
  <si>
    <t>15280080247</t>
  </si>
  <si>
    <t>15280086529</t>
  </si>
  <si>
    <t>15280129936</t>
  </si>
  <si>
    <t>15280192759</t>
  </si>
  <si>
    <t>57508171</t>
  </si>
  <si>
    <t>15280223093</t>
  </si>
  <si>
    <t>15280223719</t>
  </si>
  <si>
    <t>15280225426</t>
  </si>
  <si>
    <t>57545325</t>
  </si>
  <si>
    <t>15280235336</t>
  </si>
  <si>
    <t>15280239610</t>
  </si>
  <si>
    <t>15280243412</t>
  </si>
  <si>
    <t>15280274602</t>
  </si>
  <si>
    <t>57513447</t>
  </si>
  <si>
    <t>15280277890</t>
  </si>
  <si>
    <t>57522198</t>
  </si>
  <si>
    <t>15280309285</t>
  </si>
  <si>
    <t>15280336813</t>
  </si>
  <si>
    <t>15280349322</t>
  </si>
  <si>
    <t>15280447624</t>
  </si>
  <si>
    <t>15280459519</t>
  </si>
  <si>
    <t>57567398</t>
  </si>
  <si>
    <t>15280511418</t>
  </si>
  <si>
    <t>15280516264</t>
  </si>
  <si>
    <t>15280541036</t>
  </si>
  <si>
    <t>57594391</t>
  </si>
  <si>
    <t>15280544048</t>
  </si>
  <si>
    <t>15280553238</t>
  </si>
  <si>
    <t>15280589111</t>
  </si>
  <si>
    <t>57605400</t>
  </si>
  <si>
    <t>15280630250</t>
  </si>
  <si>
    <t>57596042</t>
  </si>
  <si>
    <t>15280630251</t>
  </si>
  <si>
    <t>57596078</t>
  </si>
  <si>
    <t>15280632492</t>
  </si>
  <si>
    <t>57610863</t>
  </si>
  <si>
    <t>15280640725</t>
  </si>
  <si>
    <t>15280644865</t>
  </si>
  <si>
    <t>15280670813</t>
  </si>
  <si>
    <t>57604010</t>
  </si>
  <si>
    <t>15280677976</t>
  </si>
  <si>
    <t>57613703</t>
  </si>
  <si>
    <t>15280678633</t>
  </si>
  <si>
    <t>57616380</t>
  </si>
  <si>
    <t>15280683214</t>
  </si>
  <si>
    <t>15280686098</t>
  </si>
  <si>
    <t>57618915</t>
  </si>
  <si>
    <t>15280686157</t>
  </si>
  <si>
    <t>57618425</t>
  </si>
  <si>
    <t>15280690179</t>
  </si>
  <si>
    <t>15280697026</t>
  </si>
  <si>
    <t>15280718019</t>
  </si>
  <si>
    <t>57620173</t>
  </si>
  <si>
    <t>15280720133</t>
  </si>
  <si>
    <t>57629942</t>
  </si>
  <si>
    <t>15280720463</t>
  </si>
  <si>
    <t>57625695</t>
  </si>
  <si>
    <t>15280721319</t>
  </si>
  <si>
    <t>57614763</t>
  </si>
  <si>
    <t>15280721320</t>
  </si>
  <si>
    <t>57616894</t>
  </si>
  <si>
    <t>61691899</t>
  </si>
  <si>
    <t>15280732131</t>
  </si>
  <si>
    <t>57638315</t>
  </si>
  <si>
    <t>15280732809</t>
  </si>
  <si>
    <t>15280735156</t>
  </si>
  <si>
    <t>57649231</t>
  </si>
  <si>
    <t>15280739466</t>
  </si>
  <si>
    <t>57637106</t>
  </si>
  <si>
    <t>15280760014</t>
  </si>
  <si>
    <t>15280771118</t>
  </si>
  <si>
    <t>15280787241</t>
  </si>
  <si>
    <t>57664046</t>
  </si>
  <si>
    <t>15280822112</t>
  </si>
  <si>
    <t>15280823422</t>
  </si>
  <si>
    <t>15280823430</t>
  </si>
  <si>
    <t>15280823476</t>
  </si>
  <si>
    <t>15280823739</t>
  </si>
  <si>
    <t>15280823870</t>
  </si>
  <si>
    <t>15280825336</t>
  </si>
  <si>
    <t>15280825841</t>
  </si>
  <si>
    <t>15280825867</t>
  </si>
  <si>
    <t>15280831385</t>
  </si>
  <si>
    <t>57649960</t>
  </si>
  <si>
    <t>15280831867</t>
  </si>
  <si>
    <t>15280831977</t>
  </si>
  <si>
    <t>15280838044</t>
  </si>
  <si>
    <t>15280877018</t>
  </si>
  <si>
    <t>15280885514</t>
  </si>
  <si>
    <t>57676688</t>
  </si>
  <si>
    <t>15280886807</t>
  </si>
  <si>
    <t>57676889</t>
  </si>
  <si>
    <t>15280890856</t>
  </si>
  <si>
    <t>15280891506</t>
  </si>
  <si>
    <t>15280913184</t>
  </si>
  <si>
    <t>15280913314</t>
  </si>
  <si>
    <t>15280914727</t>
  </si>
  <si>
    <t>15280915374</t>
  </si>
  <si>
    <t>57686186</t>
  </si>
  <si>
    <t>15280915681</t>
  </si>
  <si>
    <t>15280916719</t>
  </si>
  <si>
    <t>57685700</t>
  </si>
  <si>
    <t>15280918150</t>
  </si>
  <si>
    <t>57686205</t>
  </si>
  <si>
    <t>15280922197</t>
  </si>
  <si>
    <t>15280922902</t>
  </si>
  <si>
    <t>57687429</t>
  </si>
  <si>
    <t>15280958926</t>
  </si>
  <si>
    <t>57689532</t>
  </si>
  <si>
    <t>15280959691</t>
  </si>
  <si>
    <t>57689539</t>
  </si>
  <si>
    <t>15280961737</t>
  </si>
  <si>
    <t>57689900</t>
  </si>
  <si>
    <t>15280985216</t>
  </si>
  <si>
    <t>15281005000</t>
  </si>
  <si>
    <t>57699275</t>
  </si>
  <si>
    <t>15281005042</t>
  </si>
  <si>
    <t>57698166</t>
  </si>
  <si>
    <t>15281022892</t>
  </si>
  <si>
    <t>15281029862</t>
  </si>
  <si>
    <t>15281030591</t>
  </si>
  <si>
    <t>15281052679</t>
  </si>
  <si>
    <t>15281072302</t>
  </si>
  <si>
    <t>15281077793</t>
  </si>
  <si>
    <t>15281148281</t>
  </si>
  <si>
    <t>57701209</t>
  </si>
  <si>
    <t>15281180844</t>
  </si>
  <si>
    <t>57702118</t>
  </si>
  <si>
    <t>15281182110</t>
  </si>
  <si>
    <t>57702762</t>
  </si>
  <si>
    <t>15281186276</t>
  </si>
  <si>
    <t>15281186643</t>
  </si>
  <si>
    <t>57711750</t>
  </si>
  <si>
    <t>15281198809</t>
  </si>
  <si>
    <t>15281215359</t>
  </si>
  <si>
    <t>57723677</t>
  </si>
  <si>
    <t>15281215375</t>
  </si>
  <si>
    <t>57722716</t>
  </si>
  <si>
    <t>15281215480</t>
  </si>
  <si>
    <t>57715719</t>
  </si>
  <si>
    <t>15281219187</t>
  </si>
  <si>
    <t>57721867</t>
  </si>
  <si>
    <t>15281222516</t>
  </si>
  <si>
    <t>57714758</t>
  </si>
  <si>
    <t>15281223683</t>
  </si>
  <si>
    <t>15281223696</t>
  </si>
  <si>
    <t>57715090</t>
  </si>
  <si>
    <t>15281223798</t>
  </si>
  <si>
    <t>57713050</t>
  </si>
  <si>
    <t>15281226181</t>
  </si>
  <si>
    <t>57712176</t>
  </si>
  <si>
    <t>15281239506</t>
  </si>
  <si>
    <t>15281245031</t>
  </si>
  <si>
    <t>15281245236</t>
  </si>
  <si>
    <t>15281247310</t>
  </si>
  <si>
    <t>15281273717</t>
  </si>
  <si>
    <t>57727738</t>
  </si>
  <si>
    <t>15281275559</t>
  </si>
  <si>
    <t>57724956</t>
  </si>
  <si>
    <t>15281282884</t>
  </si>
  <si>
    <t>15281315941</t>
  </si>
  <si>
    <t>15281319362</t>
  </si>
  <si>
    <t>15281321828</t>
  </si>
  <si>
    <t>15281361859</t>
  </si>
  <si>
    <t>57766990</t>
  </si>
  <si>
    <t>15281371802</t>
  </si>
  <si>
    <t>15281394773</t>
  </si>
  <si>
    <t>15281396395</t>
  </si>
  <si>
    <t>15281403640</t>
  </si>
  <si>
    <t>15281403770</t>
  </si>
  <si>
    <t>57757784</t>
  </si>
  <si>
    <t>15281412389</t>
  </si>
  <si>
    <t>57771114</t>
  </si>
  <si>
    <t>15281417055</t>
  </si>
  <si>
    <t>15281419780</t>
  </si>
  <si>
    <t>15281419940</t>
  </si>
  <si>
    <t>57793066</t>
  </si>
  <si>
    <t>15281420087</t>
  </si>
  <si>
    <t>15281424309</t>
  </si>
  <si>
    <t>15281454698</t>
  </si>
  <si>
    <t>57779733</t>
  </si>
  <si>
    <t>15281462072</t>
  </si>
  <si>
    <t>57769008</t>
  </si>
  <si>
    <t>15281466802</t>
  </si>
  <si>
    <t>57785665</t>
  </si>
  <si>
    <t>15281474637</t>
  </si>
  <si>
    <t>15281489171</t>
  </si>
  <si>
    <t>15281508410</t>
  </si>
  <si>
    <t>57785456</t>
  </si>
  <si>
    <t>15281521314</t>
  </si>
  <si>
    <t>15281555503</t>
  </si>
  <si>
    <t>57791397</t>
  </si>
  <si>
    <t>15281561516</t>
  </si>
  <si>
    <t>15281566330</t>
  </si>
  <si>
    <t>15281569115</t>
  </si>
  <si>
    <t>15281578401</t>
  </si>
  <si>
    <t>15281580506</t>
  </si>
  <si>
    <t>15281582061</t>
  </si>
  <si>
    <t>15281582789</t>
  </si>
  <si>
    <t>15281603434</t>
  </si>
  <si>
    <t>15281609852</t>
  </si>
  <si>
    <t>15281609853</t>
  </si>
  <si>
    <t>15281661360</t>
  </si>
  <si>
    <t>15281676445</t>
  </si>
  <si>
    <t>15281679533</t>
  </si>
  <si>
    <t>15281679551</t>
  </si>
  <si>
    <t>15281681398</t>
  </si>
  <si>
    <t>15281710443</t>
  </si>
  <si>
    <t>15281713744</t>
  </si>
  <si>
    <t>15281717444</t>
  </si>
  <si>
    <t>15281728121</t>
  </si>
  <si>
    <t>15281760288</t>
  </si>
  <si>
    <t>15281768694</t>
  </si>
  <si>
    <t>15281771346</t>
  </si>
  <si>
    <t>57828513</t>
  </si>
  <si>
    <t>15281817710</t>
  </si>
  <si>
    <t>15281817718</t>
  </si>
  <si>
    <t>15281818570</t>
  </si>
  <si>
    <t>15281818583</t>
  </si>
  <si>
    <t>15281867143</t>
  </si>
  <si>
    <t>57885829</t>
  </si>
  <si>
    <t>15281867819</t>
  </si>
  <si>
    <t>15281874721</t>
  </si>
  <si>
    <t>15281880856</t>
  </si>
  <si>
    <t>15281903416</t>
  </si>
  <si>
    <t>57847610</t>
  </si>
  <si>
    <t>15281918233</t>
  </si>
  <si>
    <t>57857229</t>
  </si>
  <si>
    <t>15281927227</t>
  </si>
  <si>
    <t>15281927593</t>
  </si>
  <si>
    <t>15281968425</t>
  </si>
  <si>
    <t>15281977282</t>
  </si>
  <si>
    <t>15282005518</t>
  </si>
  <si>
    <t>15282028710</t>
  </si>
  <si>
    <t>57874516</t>
  </si>
  <si>
    <t>15282041313</t>
  </si>
  <si>
    <t>57884982</t>
  </si>
  <si>
    <t>15282043225</t>
  </si>
  <si>
    <t>15282044292</t>
  </si>
  <si>
    <t>57874551</t>
  </si>
  <si>
    <t>15282044556</t>
  </si>
  <si>
    <t>15282053653</t>
  </si>
  <si>
    <t>15282073228</t>
  </si>
  <si>
    <t>57892078</t>
  </si>
  <si>
    <t>15282080721</t>
  </si>
  <si>
    <t>57907464</t>
  </si>
  <si>
    <t>15282095157</t>
  </si>
  <si>
    <t>15282139631</t>
  </si>
  <si>
    <t>57911554</t>
  </si>
  <si>
    <t>15282144659</t>
  </si>
  <si>
    <t>57893028</t>
  </si>
  <si>
    <t>15282145340</t>
  </si>
  <si>
    <t>57907488</t>
  </si>
  <si>
    <t>15282159435</t>
  </si>
  <si>
    <t>15282172542</t>
  </si>
  <si>
    <t>57912518</t>
  </si>
  <si>
    <t>15282177210</t>
  </si>
  <si>
    <t>15282186359</t>
  </si>
  <si>
    <t>57913795</t>
  </si>
  <si>
    <t>15282195574</t>
  </si>
  <si>
    <t>15282222584</t>
  </si>
  <si>
    <t>15282232817</t>
  </si>
  <si>
    <t>57930013</t>
  </si>
  <si>
    <t>15282241126</t>
  </si>
  <si>
    <t>15282241249</t>
  </si>
  <si>
    <t>15282246329</t>
  </si>
  <si>
    <t>15282246527</t>
  </si>
  <si>
    <t>15282264556</t>
  </si>
  <si>
    <t>15282278922</t>
  </si>
  <si>
    <t>15282283151</t>
  </si>
  <si>
    <t>57934287</t>
  </si>
  <si>
    <t>15282283323</t>
  </si>
  <si>
    <t>15282283575</t>
  </si>
  <si>
    <t>57935135</t>
  </si>
  <si>
    <t>15282293802</t>
  </si>
  <si>
    <t>15282325609</t>
  </si>
  <si>
    <t>15282332908</t>
  </si>
  <si>
    <t>57943670</t>
  </si>
  <si>
    <t>15282335214</t>
  </si>
  <si>
    <t>15282340091</t>
  </si>
  <si>
    <t>15282341147</t>
  </si>
  <si>
    <t>15282347072</t>
  </si>
  <si>
    <t>15282347076</t>
  </si>
  <si>
    <t>15282354963</t>
  </si>
  <si>
    <t>57950662</t>
  </si>
  <si>
    <t>15282356786</t>
  </si>
  <si>
    <t>15282387978</t>
  </si>
  <si>
    <t>15282393407</t>
  </si>
  <si>
    <t>15282450122</t>
  </si>
  <si>
    <t>15282485556</t>
  </si>
  <si>
    <t>15282499007</t>
  </si>
  <si>
    <t>57975235</t>
  </si>
  <si>
    <t>15282503810</t>
  </si>
  <si>
    <t>15282544734</t>
  </si>
  <si>
    <t>57982731</t>
  </si>
  <si>
    <t>15282554437</t>
  </si>
  <si>
    <t>15282605859</t>
  </si>
  <si>
    <t>57996659</t>
  </si>
  <si>
    <t>15282606095</t>
  </si>
  <si>
    <t>15282609690</t>
  </si>
  <si>
    <t>15282612598</t>
  </si>
  <si>
    <t>15282632090</t>
  </si>
  <si>
    <t>15282679484</t>
  </si>
  <si>
    <t>58008896</t>
  </si>
  <si>
    <t>15282687240</t>
  </si>
  <si>
    <t>15282689031</t>
  </si>
  <si>
    <t>15282698383</t>
  </si>
  <si>
    <t>15282701334</t>
  </si>
  <si>
    <t>15282726827</t>
  </si>
  <si>
    <t>58017843</t>
  </si>
  <si>
    <t>15282756952</t>
  </si>
  <si>
    <t>15282786858</t>
  </si>
  <si>
    <t>58029898</t>
  </si>
  <si>
    <t>15282789457</t>
  </si>
  <si>
    <t>15282790355</t>
  </si>
  <si>
    <t>15282803170</t>
  </si>
  <si>
    <t>58042596</t>
  </si>
  <si>
    <t>15282808625</t>
  </si>
  <si>
    <t>15282885815</t>
  </si>
  <si>
    <t>15282942230</t>
  </si>
  <si>
    <t>15282943188</t>
  </si>
  <si>
    <t>58059843</t>
  </si>
  <si>
    <t>15282960720</t>
  </si>
  <si>
    <t>15282998956</t>
  </si>
  <si>
    <t>58079304</t>
  </si>
  <si>
    <t>15282999861</t>
  </si>
  <si>
    <t>58080098</t>
  </si>
  <si>
    <t>15283016411</t>
  </si>
  <si>
    <t>58081065</t>
  </si>
  <si>
    <t>15283026671</t>
  </si>
  <si>
    <t>15283085971</t>
  </si>
  <si>
    <t>58085449</t>
  </si>
  <si>
    <t>15283088741</t>
  </si>
  <si>
    <t>58083073</t>
  </si>
  <si>
    <t>15283116463</t>
  </si>
  <si>
    <t>15283124160</t>
  </si>
  <si>
    <t>15283216893</t>
  </si>
  <si>
    <t>58106406</t>
  </si>
  <si>
    <t>15283224328</t>
  </si>
  <si>
    <t>58110910</t>
  </si>
  <si>
    <t>15283226850</t>
  </si>
  <si>
    <t>58104215</t>
  </si>
  <si>
    <t>15283230119</t>
  </si>
  <si>
    <t>58104309</t>
  </si>
  <si>
    <t>15283269196</t>
  </si>
  <si>
    <t>58112799</t>
  </si>
  <si>
    <t>15283282749</t>
  </si>
  <si>
    <t>15283282932</t>
  </si>
  <si>
    <t>15283283703</t>
  </si>
  <si>
    <t>15283314594</t>
  </si>
  <si>
    <t>58126073</t>
  </si>
  <si>
    <t>15283318245</t>
  </si>
  <si>
    <t>58126501</t>
  </si>
  <si>
    <t>15283321798</t>
  </si>
  <si>
    <t>58128557</t>
  </si>
  <si>
    <t>15283341677</t>
  </si>
  <si>
    <t>15283376863</t>
  </si>
  <si>
    <t>58157502</t>
  </si>
  <si>
    <t>15283395018</t>
  </si>
  <si>
    <t>58158926</t>
  </si>
  <si>
    <t>15283397547</t>
  </si>
  <si>
    <t>15283403415</t>
  </si>
  <si>
    <t>15283466590</t>
  </si>
  <si>
    <t>15283476843</t>
  </si>
  <si>
    <t>15283514901</t>
  </si>
  <si>
    <t>58380748</t>
  </si>
  <si>
    <t>58257249</t>
  </si>
  <si>
    <t>15283514951</t>
  </si>
  <si>
    <t>15283520246</t>
  </si>
  <si>
    <t>15283531901</t>
  </si>
  <si>
    <t>15283545125</t>
  </si>
  <si>
    <t>15283567628</t>
  </si>
  <si>
    <t>58195602</t>
  </si>
  <si>
    <t>15283567804</t>
  </si>
  <si>
    <t>58195701</t>
  </si>
  <si>
    <t>15283578316</t>
  </si>
  <si>
    <t>58196503</t>
  </si>
  <si>
    <t>15283581367</t>
  </si>
  <si>
    <t>15283584759</t>
  </si>
  <si>
    <t>15283585346</t>
  </si>
  <si>
    <t>15283608612</t>
  </si>
  <si>
    <t>58205141</t>
  </si>
  <si>
    <t>15283610006</t>
  </si>
  <si>
    <t>58203412</t>
  </si>
  <si>
    <t>15283624035</t>
  </si>
  <si>
    <t>58206710</t>
  </si>
  <si>
    <t>15283624366</t>
  </si>
  <si>
    <t>58206442</t>
  </si>
  <si>
    <t>15283632625</t>
  </si>
  <si>
    <t>58208046</t>
  </si>
  <si>
    <t>15283665274</t>
  </si>
  <si>
    <t>58217440</t>
  </si>
  <si>
    <t>15283671887</t>
  </si>
  <si>
    <t>58219426</t>
  </si>
  <si>
    <t>15283677901</t>
  </si>
  <si>
    <t>15283678003</t>
  </si>
  <si>
    <t>15283678021</t>
  </si>
  <si>
    <t>15283684124</t>
  </si>
  <si>
    <t>15283690498</t>
  </si>
  <si>
    <t>15283692168</t>
  </si>
  <si>
    <t>15283711602</t>
  </si>
  <si>
    <t>58226829</t>
  </si>
  <si>
    <t>15283718920</t>
  </si>
  <si>
    <t>15283718959</t>
  </si>
  <si>
    <t>58228358</t>
  </si>
  <si>
    <t>15283728358</t>
  </si>
  <si>
    <t>15283739612</t>
  </si>
  <si>
    <t>15283784198</t>
  </si>
  <si>
    <t>58239253</t>
  </si>
  <si>
    <t>15283796479</t>
  </si>
  <si>
    <t>15283802956</t>
  </si>
  <si>
    <t>15283828379</t>
  </si>
  <si>
    <t>58251469</t>
  </si>
  <si>
    <t>15283829255</t>
  </si>
  <si>
    <t>15283838683</t>
  </si>
  <si>
    <t>58256075</t>
  </si>
  <si>
    <t>15283839197</t>
  </si>
  <si>
    <t>15283839832</t>
  </si>
  <si>
    <t>58254739</t>
  </si>
  <si>
    <t>15283864952</t>
  </si>
  <si>
    <t>15283877493</t>
  </si>
  <si>
    <t>58263687</t>
  </si>
  <si>
    <t>15283883585</t>
  </si>
  <si>
    <t>15283884414</t>
  </si>
  <si>
    <t>58266701</t>
  </si>
  <si>
    <t>15283897697</t>
  </si>
  <si>
    <t>62028310</t>
  </si>
  <si>
    <t>15283898201</t>
  </si>
  <si>
    <t>58268561</t>
  </si>
  <si>
    <t>15283898213</t>
  </si>
  <si>
    <t>58268569</t>
  </si>
  <si>
    <t>15283904283</t>
  </si>
  <si>
    <t>15283909305</t>
  </si>
  <si>
    <t>15283971688</t>
  </si>
  <si>
    <t>58286798</t>
  </si>
  <si>
    <t>15284018799</t>
  </si>
  <si>
    <t>15284020419</t>
  </si>
  <si>
    <t>15284047901</t>
  </si>
  <si>
    <t>58307827</t>
  </si>
  <si>
    <t>15284092121</t>
  </si>
  <si>
    <t>15284105006</t>
  </si>
  <si>
    <t>58312785</t>
  </si>
  <si>
    <t>15284111192</t>
  </si>
  <si>
    <t>15284119447</t>
  </si>
  <si>
    <t>15284149357</t>
  </si>
  <si>
    <t>15284161272</t>
  </si>
  <si>
    <t>58324543</t>
  </si>
  <si>
    <t>15284171387</t>
  </si>
  <si>
    <t>15284172430</t>
  </si>
  <si>
    <t>15284173548</t>
  </si>
  <si>
    <t>15284174256</t>
  </si>
  <si>
    <t>15284193160</t>
  </si>
  <si>
    <t>15284193161</t>
  </si>
  <si>
    <t>15284216570</t>
  </si>
  <si>
    <t>58349056</t>
  </si>
  <si>
    <t>15284217302</t>
  </si>
  <si>
    <t>58342841</t>
  </si>
  <si>
    <t>15284217303</t>
  </si>
  <si>
    <t>58342894</t>
  </si>
  <si>
    <t>15284231969</t>
  </si>
  <si>
    <t>58354914</t>
  </si>
  <si>
    <t>15284242473</t>
  </si>
  <si>
    <t>58343240</t>
  </si>
  <si>
    <t>15284247835</t>
  </si>
  <si>
    <t>58352005</t>
  </si>
  <si>
    <t>15284258046</t>
  </si>
  <si>
    <t>58352999</t>
  </si>
  <si>
    <t>15284259656</t>
  </si>
  <si>
    <t>58355954</t>
  </si>
  <si>
    <t>15284271082</t>
  </si>
  <si>
    <t>15284277786</t>
  </si>
  <si>
    <t>15284280015</t>
  </si>
  <si>
    <t>58394951</t>
  </si>
  <si>
    <t>15284280141</t>
  </si>
  <si>
    <t>15284285850</t>
  </si>
  <si>
    <t>15284301704</t>
  </si>
  <si>
    <t>58370290</t>
  </si>
  <si>
    <t>15284306954</t>
  </si>
  <si>
    <t>58365471</t>
  </si>
  <si>
    <t>15284311037</t>
  </si>
  <si>
    <t>58364093</t>
  </si>
  <si>
    <t>15284318760</t>
  </si>
  <si>
    <t>58370179</t>
  </si>
  <si>
    <t>15284320261</t>
  </si>
  <si>
    <t>15284323387</t>
  </si>
  <si>
    <t>58367682</t>
  </si>
  <si>
    <t>15284323498</t>
  </si>
  <si>
    <t>58367558</t>
  </si>
  <si>
    <t>15284328521</t>
  </si>
  <si>
    <t>58368436</t>
  </si>
  <si>
    <t>15284329380</t>
  </si>
  <si>
    <t>58369695</t>
  </si>
  <si>
    <t>15284362216</t>
  </si>
  <si>
    <t>58377602</t>
  </si>
  <si>
    <t>15284397873</t>
  </si>
  <si>
    <t>58393405</t>
  </si>
  <si>
    <t>15284402258</t>
  </si>
  <si>
    <t>58393892</t>
  </si>
  <si>
    <t>15284403572</t>
  </si>
  <si>
    <t>58389376</t>
  </si>
  <si>
    <t>58472391</t>
  </si>
  <si>
    <t>15284413553</t>
  </si>
  <si>
    <t>58397488</t>
  </si>
  <si>
    <t>15284456275</t>
  </si>
  <si>
    <t>58403650</t>
  </si>
  <si>
    <t>15284474819</t>
  </si>
  <si>
    <t>58411610</t>
  </si>
  <si>
    <t>15284475133</t>
  </si>
  <si>
    <t>58411711</t>
  </si>
  <si>
    <t>15284496252</t>
  </si>
  <si>
    <t>15284515318</t>
  </si>
  <si>
    <t>58422563</t>
  </si>
  <si>
    <t>15284515333</t>
  </si>
  <si>
    <t>58421329</t>
  </si>
  <si>
    <t>15284515805</t>
  </si>
  <si>
    <t>15284521966</t>
  </si>
  <si>
    <t>15284529716</t>
  </si>
  <si>
    <t>58426728</t>
  </si>
  <si>
    <t>15284552409</t>
  </si>
  <si>
    <t>58436425</t>
  </si>
  <si>
    <t>15284552426</t>
  </si>
  <si>
    <t>58436687</t>
  </si>
  <si>
    <t>15284555564</t>
  </si>
  <si>
    <t>58437727</t>
  </si>
  <si>
    <t>15284566117</t>
  </si>
  <si>
    <t>58442193</t>
  </si>
  <si>
    <t>15284566382</t>
  </si>
  <si>
    <t>58438780</t>
  </si>
  <si>
    <t>15284585025</t>
  </si>
  <si>
    <t>15284591175</t>
  </si>
  <si>
    <t>58451727</t>
  </si>
  <si>
    <t>15284596459</t>
  </si>
  <si>
    <t>58452195</t>
  </si>
  <si>
    <t>15284606929</t>
  </si>
  <si>
    <t>15284616753</t>
  </si>
  <si>
    <t>15284619086</t>
  </si>
  <si>
    <t>15284621908</t>
  </si>
  <si>
    <t>15284630755</t>
  </si>
  <si>
    <t>15284670998</t>
  </si>
  <si>
    <t>58467132</t>
  </si>
  <si>
    <t>15284677003</t>
  </si>
  <si>
    <t>58466964</t>
  </si>
  <si>
    <t>15284685847</t>
  </si>
  <si>
    <t>15284687615</t>
  </si>
  <si>
    <t>58484295</t>
  </si>
  <si>
    <t>15284688400</t>
  </si>
  <si>
    <t>58481648</t>
  </si>
  <si>
    <t>15284690185</t>
  </si>
  <si>
    <t>15284696364</t>
  </si>
  <si>
    <t>58481941</t>
  </si>
  <si>
    <t>58480491</t>
  </si>
  <si>
    <t>15284696389</t>
  </si>
  <si>
    <t>15284698001</t>
  </si>
  <si>
    <t>58484206</t>
  </si>
  <si>
    <t>15284703016</t>
  </si>
  <si>
    <t>58482053</t>
  </si>
  <si>
    <t>15284705075</t>
  </si>
  <si>
    <t>58480489</t>
  </si>
  <si>
    <t>15284710754</t>
  </si>
  <si>
    <t>58496492</t>
  </si>
  <si>
    <t>15284710884</t>
  </si>
  <si>
    <t>58482422</t>
  </si>
  <si>
    <t>15284715982</t>
  </si>
  <si>
    <t>58494356</t>
  </si>
  <si>
    <t>15284719485</t>
  </si>
  <si>
    <t>58491649</t>
  </si>
  <si>
    <t>15284720461</t>
  </si>
  <si>
    <t>15284724167</t>
  </si>
  <si>
    <t>15284724359</t>
  </si>
  <si>
    <t>15284726910</t>
  </si>
  <si>
    <t>58496875</t>
  </si>
  <si>
    <t>15284728559</t>
  </si>
  <si>
    <t>58497812</t>
  </si>
  <si>
    <t>15284729867</t>
  </si>
  <si>
    <t>58498302</t>
  </si>
  <si>
    <t>15284730220</t>
  </si>
  <si>
    <t>58498751</t>
  </si>
  <si>
    <t>15284732262</t>
  </si>
  <si>
    <t>58498589</t>
  </si>
  <si>
    <t>15284737189</t>
  </si>
  <si>
    <t>58499089</t>
  </si>
  <si>
    <t>15284737631</t>
  </si>
  <si>
    <t>58499057</t>
  </si>
  <si>
    <t>15284743031</t>
  </si>
  <si>
    <t>58495107</t>
  </si>
  <si>
    <t>15284743048</t>
  </si>
  <si>
    <t>58494287</t>
  </si>
  <si>
    <t>15284743606</t>
  </si>
  <si>
    <t>58494918</t>
  </si>
  <si>
    <t>15284743610</t>
  </si>
  <si>
    <t>58495319</t>
  </si>
  <si>
    <t>15284744134</t>
  </si>
  <si>
    <t>58494030</t>
  </si>
  <si>
    <t>15284764748</t>
  </si>
  <si>
    <t>58515575</t>
  </si>
  <si>
    <t>15284765222</t>
  </si>
  <si>
    <t>58532173</t>
  </si>
  <si>
    <t>15284785287</t>
  </si>
  <si>
    <t>58508776</t>
  </si>
  <si>
    <t>15284786924</t>
  </si>
  <si>
    <t>58509121</t>
  </si>
  <si>
    <t>15284789285</t>
  </si>
  <si>
    <t>58511504</t>
  </si>
  <si>
    <t>15284790379</t>
  </si>
  <si>
    <t>58513704</t>
  </si>
  <si>
    <t>15284803063</t>
  </si>
  <si>
    <t>58569502</t>
  </si>
  <si>
    <t>15284832074</t>
  </si>
  <si>
    <t>58512869</t>
  </si>
  <si>
    <t>15284835493</t>
  </si>
  <si>
    <t>15284835661</t>
  </si>
  <si>
    <t>15284835715</t>
  </si>
  <si>
    <t>15284873709</t>
  </si>
  <si>
    <t>58527406</t>
  </si>
  <si>
    <t>15284877441</t>
  </si>
  <si>
    <t>58531849</t>
  </si>
  <si>
    <t>15284893129</t>
  </si>
  <si>
    <t>58531689</t>
  </si>
  <si>
    <t>15284893837</t>
  </si>
  <si>
    <t>58531694</t>
  </si>
  <si>
    <t>15284893845</t>
  </si>
  <si>
    <t>58531725</t>
  </si>
  <si>
    <t>15284900456</t>
  </si>
  <si>
    <t>58546847</t>
  </si>
  <si>
    <t>15284901752</t>
  </si>
  <si>
    <t>58571930</t>
  </si>
  <si>
    <t>15284920282</t>
  </si>
  <si>
    <t>58539943</t>
  </si>
  <si>
    <t>15284925194</t>
  </si>
  <si>
    <t>58541996</t>
  </si>
  <si>
    <t>15284928389</t>
  </si>
  <si>
    <t>58545991</t>
  </si>
  <si>
    <t>15284941195</t>
  </si>
  <si>
    <t>58544551</t>
  </si>
  <si>
    <t>15284941815</t>
  </si>
  <si>
    <t>15284951857</t>
  </si>
  <si>
    <t>58571631</t>
  </si>
  <si>
    <t>15284953120</t>
  </si>
  <si>
    <t>15284955216</t>
  </si>
  <si>
    <t>15284963624</t>
  </si>
  <si>
    <t>58569474</t>
  </si>
  <si>
    <t>15284972344</t>
  </si>
  <si>
    <t>58566080</t>
  </si>
  <si>
    <t>15284979860</t>
  </si>
  <si>
    <t>58566143</t>
  </si>
  <si>
    <t>15284984918</t>
  </si>
  <si>
    <t>58587598</t>
  </si>
  <si>
    <t>15284998954</t>
  </si>
  <si>
    <t>58572945</t>
  </si>
  <si>
    <t>15285003825</t>
  </si>
  <si>
    <t>15285005029</t>
  </si>
  <si>
    <t>15285022392</t>
  </si>
  <si>
    <t>15285038796</t>
  </si>
  <si>
    <t>58586955</t>
  </si>
  <si>
    <t>15285041935</t>
  </si>
  <si>
    <t>58581663</t>
  </si>
  <si>
    <t>15285083209</t>
  </si>
  <si>
    <t>58597582</t>
  </si>
  <si>
    <t>15285083224</t>
  </si>
  <si>
    <t>58597180</t>
  </si>
  <si>
    <t>15285087777</t>
  </si>
  <si>
    <t>58597507</t>
  </si>
  <si>
    <t>15285088451</t>
  </si>
  <si>
    <t>58597513</t>
  </si>
  <si>
    <t>15285088453</t>
  </si>
  <si>
    <t>58597624</t>
  </si>
  <si>
    <t>15285090232</t>
  </si>
  <si>
    <t>58597689</t>
  </si>
  <si>
    <t>15285090652</t>
  </si>
  <si>
    <t>58595723</t>
  </si>
  <si>
    <t>15285096942</t>
  </si>
  <si>
    <t>58597279</t>
  </si>
  <si>
    <t>15285122771</t>
  </si>
  <si>
    <t>15285124474</t>
  </si>
  <si>
    <t>58610096</t>
  </si>
  <si>
    <t>15285124730</t>
  </si>
  <si>
    <t>58613213</t>
  </si>
  <si>
    <t>15285128410</t>
  </si>
  <si>
    <t>58609528</t>
  </si>
  <si>
    <t>15285129692</t>
  </si>
  <si>
    <t>58610714</t>
  </si>
  <si>
    <t>15285129964</t>
  </si>
  <si>
    <t>58610678</t>
  </si>
  <si>
    <t>15285130614</t>
  </si>
  <si>
    <t>58610165</t>
  </si>
  <si>
    <t>15285132408</t>
  </si>
  <si>
    <t>58611846</t>
  </si>
  <si>
    <t>15285139415</t>
  </si>
  <si>
    <t>58651643</t>
  </si>
  <si>
    <t>Cadillac Escalade IQ</t>
  </si>
  <si>
    <t>Cadillac Escalade IQ : Domestic EV/Electric SUV</t>
  </si>
  <si>
    <t>15285145122</t>
  </si>
  <si>
    <t>58613294</t>
  </si>
  <si>
    <t>15285147122</t>
  </si>
  <si>
    <t>58613992</t>
  </si>
  <si>
    <t>15285155261</t>
  </si>
  <si>
    <t>58614320</t>
  </si>
  <si>
    <t>15285177291</t>
  </si>
  <si>
    <t>58627523</t>
  </si>
  <si>
    <t>15285177470</t>
  </si>
  <si>
    <t>58627660</t>
  </si>
  <si>
    <t>15285178016</t>
  </si>
  <si>
    <t>58627843</t>
  </si>
  <si>
    <t>15285178810</t>
  </si>
  <si>
    <t>58627820</t>
  </si>
  <si>
    <t>15285182007</t>
  </si>
  <si>
    <t>58627954</t>
  </si>
  <si>
    <t>15285187919</t>
  </si>
  <si>
    <t>58628675</t>
  </si>
  <si>
    <t>15285193515</t>
  </si>
  <si>
    <t>58650191</t>
  </si>
  <si>
    <t>15285194351</t>
  </si>
  <si>
    <t>58650359</t>
  </si>
  <si>
    <t>15285230957</t>
  </si>
  <si>
    <t>58661426</t>
  </si>
  <si>
    <t>15285239217</t>
  </si>
  <si>
    <t>58661028</t>
  </si>
  <si>
    <t>15285245260</t>
  </si>
  <si>
    <t>15285248892</t>
  </si>
  <si>
    <t>15285259464</t>
  </si>
  <si>
    <t>58671040</t>
  </si>
  <si>
    <t>15285272641</t>
  </si>
  <si>
    <t>58688367</t>
  </si>
  <si>
    <t>15285272767</t>
  </si>
  <si>
    <t>58689805</t>
  </si>
  <si>
    <t>15285276717</t>
  </si>
  <si>
    <t>58683696</t>
  </si>
  <si>
    <t>15285279362</t>
  </si>
  <si>
    <t>58682274</t>
  </si>
  <si>
    <t>15285280510</t>
  </si>
  <si>
    <t>58683901</t>
  </si>
  <si>
    <t>15285281402</t>
  </si>
  <si>
    <t>58699110</t>
  </si>
  <si>
    <t>15285281438</t>
  </si>
  <si>
    <t>58686578</t>
  </si>
  <si>
    <t>15285287791</t>
  </si>
  <si>
    <t>58676163</t>
  </si>
  <si>
    <t>15285291477</t>
  </si>
  <si>
    <t>58687462</t>
  </si>
  <si>
    <t>15285299911</t>
  </si>
  <si>
    <t>58701408</t>
  </si>
  <si>
    <t>15285301821</t>
  </si>
  <si>
    <t>58688713</t>
  </si>
  <si>
    <t>15285316424</t>
  </si>
  <si>
    <t>58690763</t>
  </si>
  <si>
    <t>15285329613</t>
  </si>
  <si>
    <t>58699476</t>
  </si>
  <si>
    <t>15285329643</t>
  </si>
  <si>
    <t>58698903</t>
  </si>
  <si>
    <t>15285342839</t>
  </si>
  <si>
    <t>58700202</t>
  </si>
  <si>
    <t>15285343753</t>
  </si>
  <si>
    <t>58740839</t>
  </si>
  <si>
    <t>15285345958</t>
  </si>
  <si>
    <t>15285349580</t>
  </si>
  <si>
    <t>58715010</t>
  </si>
  <si>
    <t>15285377200</t>
  </si>
  <si>
    <t>58717510</t>
  </si>
  <si>
    <t>15285377415</t>
  </si>
  <si>
    <t>58717082</t>
  </si>
  <si>
    <t>15285378201</t>
  </si>
  <si>
    <t>58715562</t>
  </si>
  <si>
    <t>15285379829</t>
  </si>
  <si>
    <t>58713112</t>
  </si>
  <si>
    <t>15285380785</t>
  </si>
  <si>
    <t>58712873</t>
  </si>
  <si>
    <t>15285384444</t>
  </si>
  <si>
    <t>58711495</t>
  </si>
  <si>
    <t>15285384445</t>
  </si>
  <si>
    <t>58711522</t>
  </si>
  <si>
    <t>15285384514</t>
  </si>
  <si>
    <t>58712189</t>
  </si>
  <si>
    <t>15285387400</t>
  </si>
  <si>
    <t>58716868</t>
  </si>
  <si>
    <t>15285397339</t>
  </si>
  <si>
    <t>58719270</t>
  </si>
  <si>
    <t>15285420455</t>
  </si>
  <si>
    <t>58726229</t>
  </si>
  <si>
    <t>15285421483</t>
  </si>
  <si>
    <t>58728817</t>
  </si>
  <si>
    <t>15285428064</t>
  </si>
  <si>
    <t>58724811</t>
  </si>
  <si>
    <t>15285429223</t>
  </si>
  <si>
    <t>58729274</t>
  </si>
  <si>
    <t>15285429225</t>
  </si>
  <si>
    <t>58724965</t>
  </si>
  <si>
    <t>15285430510</t>
  </si>
  <si>
    <t>15285433255</t>
  </si>
  <si>
    <t>58729942</t>
  </si>
  <si>
    <t>15285435664</t>
  </si>
  <si>
    <t>58728500</t>
  </si>
  <si>
    <t>15285435665</t>
  </si>
  <si>
    <t>58728430</t>
  </si>
  <si>
    <t>15285437456</t>
  </si>
  <si>
    <t>58728215</t>
  </si>
  <si>
    <t>15285460621</t>
  </si>
  <si>
    <t>58737896</t>
  </si>
  <si>
    <t>15285464546</t>
  </si>
  <si>
    <t>58736605</t>
  </si>
  <si>
    <t>15285470671</t>
  </si>
  <si>
    <t>58739775</t>
  </si>
  <si>
    <t>15285514462</t>
  </si>
  <si>
    <t>58757763</t>
  </si>
  <si>
    <t>15285518036</t>
  </si>
  <si>
    <t>58752617</t>
  </si>
  <si>
    <t>15285519836</t>
  </si>
  <si>
    <t>58774310</t>
  </si>
  <si>
    <t>15285524904</t>
  </si>
  <si>
    <t>58759574</t>
  </si>
  <si>
    <t>15285529203</t>
  </si>
  <si>
    <t>61039965</t>
  </si>
  <si>
    <t>15285555159</t>
  </si>
  <si>
    <t>58771748</t>
  </si>
  <si>
    <t>15285561915</t>
  </si>
  <si>
    <t>58772369</t>
  </si>
  <si>
    <t>58775471</t>
  </si>
  <si>
    <t>15285564736</t>
  </si>
  <si>
    <t>58930989</t>
  </si>
  <si>
    <t>15285575931</t>
  </si>
  <si>
    <t>15285602182</t>
  </si>
  <si>
    <t>58810598</t>
  </si>
  <si>
    <t>15285607215</t>
  </si>
  <si>
    <t>Cadillac Optiq</t>
  </si>
  <si>
    <t>Cadillac Optiq : Domestic EV/Electric Crossover Utility Vehicle</t>
  </si>
  <si>
    <t>15285607522</t>
  </si>
  <si>
    <t>15285659705</t>
  </si>
  <si>
    <t>58827036</t>
  </si>
  <si>
    <t>15285660999</t>
  </si>
  <si>
    <t>58828650</t>
  </si>
  <si>
    <t>15285661993</t>
  </si>
  <si>
    <t>58828112</t>
  </si>
  <si>
    <t>15285662226</t>
  </si>
  <si>
    <t>58845407</t>
  </si>
  <si>
    <t>15285664744</t>
  </si>
  <si>
    <t>58828624</t>
  </si>
  <si>
    <t>15285673281</t>
  </si>
  <si>
    <t>58840273</t>
  </si>
  <si>
    <t>15285689543</t>
  </si>
  <si>
    <t>58854065</t>
  </si>
  <si>
    <t>15285689906</t>
  </si>
  <si>
    <t>58838796</t>
  </si>
  <si>
    <t>15285691291</t>
  </si>
  <si>
    <t>58839387</t>
  </si>
  <si>
    <t>15285692126</t>
  </si>
  <si>
    <t>58853539</t>
  </si>
  <si>
    <t>15285693027</t>
  </si>
  <si>
    <t>61040000</t>
  </si>
  <si>
    <t>15285696363</t>
  </si>
  <si>
    <t>58853368</t>
  </si>
  <si>
    <t>15285696545</t>
  </si>
  <si>
    <t>58853316</t>
  </si>
  <si>
    <t>15285697167</t>
  </si>
  <si>
    <t>58853550</t>
  </si>
  <si>
    <t>15285700360</t>
  </si>
  <si>
    <t>58844861</t>
  </si>
  <si>
    <t>15285703677</t>
  </si>
  <si>
    <t>58844002</t>
  </si>
  <si>
    <t>15285703776</t>
  </si>
  <si>
    <t>58854113</t>
  </si>
  <si>
    <t>15285703852</t>
  </si>
  <si>
    <t>58854079</t>
  </si>
  <si>
    <t>15285705157</t>
  </si>
  <si>
    <t>58855498</t>
  </si>
  <si>
    <t>15285707614</t>
  </si>
  <si>
    <t>58844205</t>
  </si>
  <si>
    <t>15285713691</t>
  </si>
  <si>
    <t>58846755</t>
  </si>
  <si>
    <t>15285726976</t>
  </si>
  <si>
    <t>58853151</t>
  </si>
  <si>
    <t>15285728216</t>
  </si>
  <si>
    <t>58853930</t>
  </si>
  <si>
    <t>15285730068</t>
  </si>
  <si>
    <t>58851934</t>
  </si>
  <si>
    <t>15285730185</t>
  </si>
  <si>
    <t>58851969</t>
  </si>
  <si>
    <t>15285737701</t>
  </si>
  <si>
    <t>58856630</t>
  </si>
  <si>
    <t>15285737791</t>
  </si>
  <si>
    <t>58857230</t>
  </si>
  <si>
    <t>15285740188</t>
  </si>
  <si>
    <t>58853173</t>
  </si>
  <si>
    <t>Cadillac.com.mx</t>
  </si>
  <si>
    <t>Cadillac.com.mx : Online</t>
  </si>
  <si>
    <t>15285759485</t>
  </si>
  <si>
    <t>58865705</t>
  </si>
  <si>
    <t>15285759852</t>
  </si>
  <si>
    <t>58859551</t>
  </si>
  <si>
    <t>15285765877</t>
  </si>
  <si>
    <t>15285768402</t>
  </si>
  <si>
    <t>58864044</t>
  </si>
  <si>
    <t>15285771473</t>
  </si>
  <si>
    <t>15285773296</t>
  </si>
  <si>
    <t>58865434</t>
  </si>
  <si>
    <t>15285773557</t>
  </si>
  <si>
    <t>58893492</t>
  </si>
  <si>
    <t>15285774215</t>
  </si>
  <si>
    <t>15285775510</t>
  </si>
  <si>
    <t>58867749</t>
  </si>
  <si>
    <t>15285776319</t>
  </si>
  <si>
    <t>58869252</t>
  </si>
  <si>
    <t>15285786390</t>
  </si>
  <si>
    <t>15285787384</t>
  </si>
  <si>
    <t>58909069</t>
  </si>
  <si>
    <t>15285787739</t>
  </si>
  <si>
    <t>58904627</t>
  </si>
  <si>
    <t>15285787849</t>
  </si>
  <si>
    <t>58904511</t>
  </si>
  <si>
    <t>15285789752</t>
  </si>
  <si>
    <t>15285795816</t>
  </si>
  <si>
    <t>58879389</t>
  </si>
  <si>
    <t>15285803770</t>
  </si>
  <si>
    <t>15285808859</t>
  </si>
  <si>
    <t>58879191</t>
  </si>
  <si>
    <t>15285811342</t>
  </si>
  <si>
    <t>58881000</t>
  </si>
  <si>
    <t>15285811384</t>
  </si>
  <si>
    <t>58881361</t>
  </si>
  <si>
    <t>15285811536</t>
  </si>
  <si>
    <t>58881370</t>
  </si>
  <si>
    <t>15285812134</t>
  </si>
  <si>
    <t>58882771</t>
  </si>
  <si>
    <t>15285812849</t>
  </si>
  <si>
    <t>15285817786</t>
  </si>
  <si>
    <t>58883752</t>
  </si>
  <si>
    <t>15285828933</t>
  </si>
  <si>
    <t>58885813</t>
  </si>
  <si>
    <t>15285832301</t>
  </si>
  <si>
    <t>58893293</t>
  </si>
  <si>
    <t>15285832593</t>
  </si>
  <si>
    <t>58893305</t>
  </si>
  <si>
    <t>15285839703</t>
  </si>
  <si>
    <t>58893275</t>
  </si>
  <si>
    <t>15285839917</t>
  </si>
  <si>
    <t>15285841611</t>
  </si>
  <si>
    <t>58906513</t>
  </si>
  <si>
    <t>15285842408</t>
  </si>
  <si>
    <t>58895677</t>
  </si>
  <si>
    <t>15285867214</t>
  </si>
  <si>
    <t>58905760</t>
  </si>
  <si>
    <t>59037957</t>
  </si>
  <si>
    <t>15285869322</t>
  </si>
  <si>
    <t>58908042</t>
  </si>
  <si>
    <t>15285894719</t>
  </si>
  <si>
    <t>58918797</t>
  </si>
  <si>
    <t>15285894804</t>
  </si>
  <si>
    <t>58918681</t>
  </si>
  <si>
    <t>15285895249</t>
  </si>
  <si>
    <t>58917534</t>
  </si>
  <si>
    <t>15285900738</t>
  </si>
  <si>
    <t>58924902</t>
  </si>
  <si>
    <t>15285901946</t>
  </si>
  <si>
    <t>58923478</t>
  </si>
  <si>
    <t>15285903582</t>
  </si>
  <si>
    <t>58920914</t>
  </si>
  <si>
    <t>15285904539</t>
  </si>
  <si>
    <t>58920902</t>
  </si>
  <si>
    <t>15285906074</t>
  </si>
  <si>
    <t>58922969</t>
  </si>
  <si>
    <t>15285906187</t>
  </si>
  <si>
    <t>58925504</t>
  </si>
  <si>
    <t>15285906450</t>
  </si>
  <si>
    <t>58925220</t>
  </si>
  <si>
    <t>15285907049</t>
  </si>
  <si>
    <t>58961239</t>
  </si>
  <si>
    <t>15285907573</t>
  </si>
  <si>
    <t>58926046</t>
  </si>
  <si>
    <t>15285913023</t>
  </si>
  <si>
    <t>58925371</t>
  </si>
  <si>
    <t>15285933227</t>
  </si>
  <si>
    <t>58933584</t>
  </si>
  <si>
    <t>15285935576</t>
  </si>
  <si>
    <t>58935317</t>
  </si>
  <si>
    <t>15285942884</t>
  </si>
  <si>
    <t>58937141</t>
  </si>
  <si>
    <t>15285944808</t>
  </si>
  <si>
    <t>58937260</t>
  </si>
  <si>
    <t>15285949666</t>
  </si>
  <si>
    <t>58937406</t>
  </si>
  <si>
    <t>15285954573</t>
  </si>
  <si>
    <t>58938090</t>
  </si>
  <si>
    <t>15285956069</t>
  </si>
  <si>
    <t>58943020</t>
  </si>
  <si>
    <t>15285957631</t>
  </si>
  <si>
    <t>58942996</t>
  </si>
  <si>
    <t>15285960255</t>
  </si>
  <si>
    <t>58943874</t>
  </si>
  <si>
    <t>15285961891</t>
  </si>
  <si>
    <t>58943308</t>
  </si>
  <si>
    <t>15285964540</t>
  </si>
  <si>
    <t>58944510</t>
  </si>
  <si>
    <t>15285966526</t>
  </si>
  <si>
    <t>58946676</t>
  </si>
  <si>
    <t>15285988108</t>
  </si>
  <si>
    <t>58951312</t>
  </si>
  <si>
    <t>15285988423</t>
  </si>
  <si>
    <t>58950730</t>
  </si>
  <si>
    <t>15285997377</t>
  </si>
  <si>
    <t>58987015</t>
  </si>
  <si>
    <t>15285998955</t>
  </si>
  <si>
    <t>58957110</t>
  </si>
  <si>
    <t>15285999171</t>
  </si>
  <si>
    <t>58957806</t>
  </si>
  <si>
    <t>15286001233</t>
  </si>
  <si>
    <t>58958049</t>
  </si>
  <si>
    <t>15286004047</t>
  </si>
  <si>
    <t>58959043</t>
  </si>
  <si>
    <t>15286020634</t>
  </si>
  <si>
    <t>58968530</t>
  </si>
  <si>
    <t>15286032241</t>
  </si>
  <si>
    <t>58968553</t>
  </si>
  <si>
    <t>15286034933</t>
  </si>
  <si>
    <t>58970318</t>
  </si>
  <si>
    <t>15286036142</t>
  </si>
  <si>
    <t>58970475</t>
  </si>
  <si>
    <t>15286036381</t>
  </si>
  <si>
    <t>58971029</t>
  </si>
  <si>
    <t>15286040098</t>
  </si>
  <si>
    <t>58971015</t>
  </si>
  <si>
    <t>15286058073</t>
  </si>
  <si>
    <t>58975416</t>
  </si>
  <si>
    <t>586450289</t>
  </si>
  <si>
    <t>586542916</t>
  </si>
  <si>
    <t>586550420</t>
  </si>
  <si>
    <t>586559817</t>
  </si>
  <si>
    <t>586581463</t>
  </si>
  <si>
    <t>586607994</t>
  </si>
  <si>
    <t>586608681</t>
  </si>
  <si>
    <t>586777995</t>
  </si>
  <si>
    <t>56667129</t>
  </si>
  <si>
    <t>586946682</t>
  </si>
  <si>
    <t>587171268</t>
  </si>
  <si>
    <t>587177516</t>
  </si>
  <si>
    <t>587195530</t>
  </si>
  <si>
    <t>587197252</t>
  </si>
  <si>
    <t>587197289</t>
  </si>
  <si>
    <t>587208468</t>
  </si>
  <si>
    <t>587208531</t>
  </si>
  <si>
    <t>587212255</t>
  </si>
  <si>
    <t>587212291</t>
  </si>
  <si>
    <t>587216403</t>
  </si>
  <si>
    <t>587219091</t>
  </si>
  <si>
    <t>587219178</t>
  </si>
  <si>
    <t>587227607</t>
  </si>
  <si>
    <t>586927091</t>
  </si>
  <si>
    <t>57368627</t>
  </si>
  <si>
    <t>15263521703</t>
  </si>
  <si>
    <t>586998515</t>
  </si>
  <si>
    <t>57650065</t>
  </si>
  <si>
    <t>15263601733</t>
  </si>
  <si>
    <t>15264649831</t>
  </si>
  <si>
    <t>54727355</t>
  </si>
  <si>
    <t>15263382612</t>
  </si>
  <si>
    <t>54621119</t>
  </si>
  <si>
    <t>586447443</t>
  </si>
  <si>
    <t>55030661</t>
  </si>
  <si>
    <t>586449871</t>
  </si>
  <si>
    <t>15252161247</t>
  </si>
  <si>
    <t>myCadillac</t>
  </si>
  <si>
    <t>myCadillac : Mobile App</t>
  </si>
  <si>
    <t>586800886</t>
  </si>
  <si>
    <t>15267624116</t>
  </si>
  <si>
    <t>55023460</t>
  </si>
  <si>
    <t>586944712</t>
  </si>
  <si>
    <t>15284884450</t>
  </si>
  <si>
    <t>58532002</t>
  </si>
  <si>
    <t>28147576</t>
  </si>
  <si>
    <t>53635445</t>
  </si>
  <si>
    <t>Cadillac Pre-Owned : General Promotion - Domestic Autos &amp; Trucks</t>
  </si>
  <si>
    <t>587184222</t>
  </si>
  <si>
    <t>58288002</t>
  </si>
  <si>
    <t>587207945</t>
  </si>
  <si>
    <t>58379644</t>
  </si>
  <si>
    <t>Cadillac XT6 Leasing : Domestic Crossover Utility Vehicle : Sales Event</t>
  </si>
  <si>
    <t>587182220</t>
  </si>
  <si>
    <t>58284876</t>
  </si>
  <si>
    <t>15283972102</t>
  </si>
  <si>
    <t>58289406</t>
  </si>
  <si>
    <t>15285584911</t>
  </si>
  <si>
    <t>58792974</t>
  </si>
  <si>
    <t>587208328</t>
  </si>
  <si>
    <t>58383199</t>
  </si>
  <si>
    <t>587208610</t>
  </si>
  <si>
    <t>58393750</t>
  </si>
  <si>
    <t>15284004105</t>
  </si>
  <si>
    <t>58289487</t>
  </si>
  <si>
    <t>587279699</t>
  </si>
  <si>
    <t>58761041</t>
  </si>
  <si>
    <t>587293108</t>
  </si>
  <si>
    <t>58869887</t>
  </si>
  <si>
    <t>587297052</t>
  </si>
  <si>
    <t>58889058</t>
  </si>
  <si>
    <t>587149090</t>
  </si>
  <si>
    <t>58193017</t>
  </si>
  <si>
    <t>15274400230</t>
  </si>
  <si>
    <t>56252581</t>
  </si>
  <si>
    <t>586776570</t>
  </si>
  <si>
    <t>56614268</t>
  </si>
  <si>
    <t>586790111</t>
  </si>
  <si>
    <t>15271200322</t>
  </si>
  <si>
    <t>60710159</t>
  </si>
  <si>
    <t>15278475165</t>
  </si>
  <si>
    <t>15251104122</t>
  </si>
  <si>
    <t>53144926</t>
  </si>
  <si>
    <t>203651746</t>
  </si>
  <si>
    <t>57847421</t>
  </si>
  <si>
    <t>203798957</t>
  </si>
  <si>
    <t>15285779070</t>
  </si>
  <si>
    <t>58870236</t>
  </si>
  <si>
    <t>586867744</t>
  </si>
  <si>
    <t>57177872</t>
  </si>
  <si>
    <t>Cadillac Full Line Corporate</t>
  </si>
  <si>
    <t>Cadillac Full Line : Corporate Promotion</t>
  </si>
  <si>
    <t>586730555</t>
  </si>
  <si>
    <t>56337700</t>
  </si>
  <si>
    <t>15276935668</t>
  </si>
  <si>
    <t>59818529</t>
  </si>
  <si>
    <t>586510966</t>
  </si>
  <si>
    <t>55203881</t>
  </si>
  <si>
    <t>586576646</t>
  </si>
  <si>
    <t>55454314</t>
  </si>
  <si>
    <t>15264874374</t>
  </si>
  <si>
    <t>Cadillac : Boot Jack</t>
  </si>
  <si>
    <t>15263821084</t>
  </si>
  <si>
    <t>54679409</t>
  </si>
  <si>
    <t>15272581029</t>
  </si>
  <si>
    <t>55759847</t>
  </si>
  <si>
    <t>15266508078</t>
  </si>
  <si>
    <t>15270511232</t>
  </si>
  <si>
    <t>55343579</t>
  </si>
  <si>
    <t>15276828241</t>
  </si>
  <si>
    <t>15283826469</t>
  </si>
  <si>
    <t>58257219</t>
  </si>
  <si>
    <t>15277176827</t>
  </si>
  <si>
    <t>56874489</t>
  </si>
  <si>
    <t>586794087</t>
  </si>
  <si>
    <t>56688416</t>
  </si>
  <si>
    <t>586797029</t>
  </si>
  <si>
    <t>56705724</t>
  </si>
  <si>
    <t>Cadillac Trucks Corporate</t>
  </si>
  <si>
    <t>Cadillac Trucks : Corporate Promotion</t>
  </si>
  <si>
    <t>28670233</t>
  </si>
  <si>
    <t>54622696</t>
  </si>
  <si>
    <t>586356741</t>
  </si>
  <si>
    <t>54843513</t>
  </si>
  <si>
    <t>15285101893</t>
  </si>
  <si>
    <t>58605625</t>
  </si>
  <si>
    <t>586717416</t>
  </si>
  <si>
    <t>56269859</t>
  </si>
  <si>
    <t>15277356903</t>
  </si>
  <si>
    <t>15281400283</t>
  </si>
  <si>
    <t>57756298</t>
  </si>
  <si>
    <t>15262076183</t>
  </si>
  <si>
    <t>15262237618</t>
  </si>
  <si>
    <t>15277639736</t>
  </si>
  <si>
    <t>56908969</t>
  </si>
  <si>
    <t>GRAND TOTAL</t>
  </si>
</sst>
</file>

<file path=xl/styles.xml><?xml version="1.0" encoding="utf-8"?>
<styleSheet xmlns="http://schemas.openxmlformats.org/spreadsheetml/2006/main">
- 
  <numFmts count="9">
    <numFmt numFmtId="164" formatCode="#,##0;-#,##0"/>
    <numFmt numFmtId="165" formatCode="#,##0.0;-#,##0.0"/>
    <numFmt numFmtId="166" formatCode="#,##0.00;-#,##0.00"/>
    <numFmt numFmtId="167" formatCode="#,##0.000;-#,##0.000"/>
    <numFmt numFmtId="168" formatCode="#,##0;[Red](#,##0)"/>
    <numFmt numFmtId="169" formatCode="#,##0.0;[Red](#,##0.0)"/>
    <numFmt numFmtId="170" formatCode="#,##0.00;[Red](#,##0.00)"/>
    <numFmt numFmtId="171" formatCode="#,##0.000;[Red]\(#,##0.000\)"/>
    <numFmt numFmtId="172" formatCode="m/d/yyyy;@"/>
  </numFmts>
  <fonts count="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indexed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1">
      <alignment vertical="top"/>
      <protection locked="0"/>
    </xf>
  </cellStyleXfs>
  <cellXfs count="2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1" fillId="0" borderId="0" xfId="0" applyFont="1"/>
    <xf numFmtId="0" fontId="1" fillId="2" borderId="0" xfId="0" applyFont="1" applyFill="1"/>
    <xf numFmtId="40" fontId="1" fillId="2" borderId="0" xfId="0" applyNumberFormat="1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167" fontId="1" fillId="2" borderId="0" xfId="0" applyNumberFormat="1" applyFont="1" applyFill="1"/>
    <xf numFmtId="168" fontId="1" fillId="2" borderId="0" xfId="0" applyNumberFormat="1" applyFont="1" applyFill="1"/>
    <xf numFmtId="169" fontId="1" fillId="2" borderId="0" xfId="0" applyNumberFormat="1" applyFont="1" applyFill="1"/>
    <xf numFmtId="170" fontId="1" fillId="2" borderId="0" xfId="0" applyNumberFormat="1" applyFont="1" applyFill="1"/>
    <xf numFmtId="171" fontId="1" fillId="2" borderId="0" xfId="0" applyNumberFormat="1" applyFont="1" applyFill="1"/>
    <xf numFmtId="172" fontId="1" fillId="2" borderId="0" xfId="0" applyNumberFormat="1" applyFont="1" applyFill="1"/>
    <xf numFmtId="0" fontId="2" fillId="0" borderId="0" xfId="1" applyAlignment="1" applyProtection="1"/>
  </cellXfs>
  <cellStyles count="2">
    <cellStyle name="Normal" xfId="0" builtinId="0"/>
    <cellStyle name="Hyperlink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20" Type="http://schemas.openxmlformats.org/officeDocument/2006/relationships/sharedStrings" Target="sharedStrings.xml"/>
<Relationship Id="rId21" Type="http://schemas.openxmlformats.org/officeDocument/2006/relationships/styles" Target="styles.xml"/>
<Relationship Id="rId22" Type="http://schemas.openxmlformats.org/officeDocument/2006/relationships/theme" Target="theme/theme1.xml"/>
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0</xdr:col>
      <xdr:colOff>1775000</xdr:colOff>
      <xdr:row>2</xdr:row>
      <xdr:rowOff>180975</xdr:rowOff>
    </xdr:to>
    <xdr:pic>
      <xdr:nvPicPr>
        <xdr:cNvPr id="1025" name="Picture 1" descr="KANTAR_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0"/>
          <a:ext cx="1657350" cy="561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Windows-1252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.bin"/>

</Relationships>

</file>

<file path=xl/worksheets/_rels/sheet2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2.bin"/>
</Relationships>

</file>

<file path=xl/worksheets/_rels/sheet3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3.bin"/>
</Relationships>

</file>

<file path=xl/worksheets/_rels/sheet4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4.bin"/>
</Relationships>

</file>

<file path=xl/worksheets/_rels/sheet5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5.bin"/>
</Relationships>

</file>

<file path=xl/worksheets/_rels/sheet6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6.bin"/>
</Relationships>

</file>

<file path=xl/worksheets/_rels/sheet7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7.bin"/>
</Relationships>

</file>

<file path=xl/worksheets/_rels/sheet8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8.bin"/>
</Relationships>

</file>

<file path=xl/worksheets/_rels/sheet9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9.bin"/>
</Relationships>

</file>

<file path=xl/worksheets/_rels/sheet10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_rels/sheet11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1.bin"/>
</Relationships>

</file>

<file path=xl/worksheets/_rels/sheet12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2.bin"/>
</Relationships>

</file>

<file path=xl/worksheets/_rels/sheet13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_rels/sheet14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_rels/sheet15.xml.rels><?xml version="1.0" encoding="UTF-8" standalone="yes" ?>
<Relationships xmlns="http://schemas.openxmlformats.org/package/2006/relationships">
<Relationship Id="rId2" Type="http://schemas.openxmlformats.org/officeDocument/2006/relationships/drawing" Target="../drawings/drawing1.xml"/>
<Relationship Id="rId1" Type="http://schemas.openxmlformats.org/officeDocument/2006/relationships/printerSettings" Target="../printerSettings/printerSettings10.bin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2490"/>
  <sheetViews>
    <sheetView workbookViewId="0"/>
  </sheetViews>
  <sheetFormatPr defaultRowHeight="15"/>
  <cols>
    <col min="1" max="1" width="75" customWidth="1"/>
    <col min="2" max="2" width="45" customWidth="1"/>
    <col min="3" max="3" width="18" customWidth="1"/>
    <col min="4" max="4" width="45" customWidth="1"/>
    <col min="5" max="5" width="45" customWidth="1"/>
    <col min="6" max="6" width="45" customWidth="1"/>
    <col min="7" max="7" width="75" customWidth="1"/>
    <col min="8" max="8" width="14" customWidth="1"/>
  </cols>
  <sheetData>
    <row r="1" spans="1:3">
      <c r="C1" s="10" t="s">
        <v>0</v>
      </c>
    </row>
    <row r="5" spans="1:4">
      <c r="A5" s="10" t="s">
        <v>1</v>
      </c>
      <c r="B5" s="0" t="s">
        <v>2</v>
      </c>
    </row>
    <row r="6" spans="1:4">
      <c r="A6" s="10" t="s">
        <v>3</v>
      </c>
      <c r="B6" s="0" t="s">
        <v>4</v>
      </c>
    </row>
    <row r="8" spans="1:10">
      <c r="A8" s="10" t="s">
        <v>5</v>
      </c>
      <c r="B8" s="10" t="s">
        <v>6</v>
      </c>
      <c r="C8" s="10" t="s">
        <v>7</v>
      </c>
      <c r="D8" s="10" t="s">
        <v>8</v>
      </c>
      <c r="E8" s="10" t="s">
        <v>9</v>
      </c>
      <c r="F8" s="10" t="inlineStr">
        <is>
          <t xml:space="preserve">BRAND</t>
        </is>
      </c>
      <c r="G8" s="10" t="s">
        <v>10</v>
      </c>
      <c r="H8" s="10" t="inlineStr">
        <is>
          <t xml:space="preserve">$</t>
        </is>
      </c>
    </row>
    <row r="9" spans="1:9">
      <c r="A9" s="22" t="str">
        <f>HYPERLINK("https://app.vivvix.com/360/KMI/IntelliDrive/ApplUI/Pages/CreativePages/CustomReportCreativeDetail.aspx?App=23&amp;ReportView=4&amp;Qid=1711245&amp;Row=1&amp;Col=1","   *** no headline ***")</f>
        <v/>
      </c>
      <c r="B9" s="0" t="s">
        <v>11</v>
      </c>
      <c r="C9" s="0" t="s">
        <v>12</v>
      </c>
      <c r="D9" s="0" t="s">
        <v>12</v>
      </c>
      <c r="E9" s="0" t="s">
        <v>13</v>
      </c>
      <c r="F9" s="0" t="s">
        <v>14</v>
      </c>
      <c r="G9" s="0" t="s">
        <v>15</v>
      </c>
      <c r="H9" s="5">
        <v>29250.000000</v>
      </c>
    </row>
    <row r="10" spans="1:9">
      <c r="A10" s="22" t="str">
        <f>HYPERLINK("https://app.vivvix.com/360/KMI/IntelliDrive/ApplUI/Pages/CreativePages/CustomReportCreativeDetail.aspx?App=23&amp;ReportView=4&amp;Qid=1711245&amp;Row=2&amp;Col=1","$489 PER MONTH 36 MONTHS")</f>
        <v/>
      </c>
      <c r="B10" s="0" t="s">
        <v>16</v>
      </c>
      <c r="E10" s="0" t="s">
        <v>13</v>
      </c>
      <c r="F10" s="0" t="s">
        <v>17</v>
      </c>
      <c r="G10" s="0" t="s">
        <v>18</v>
      </c>
      <c r="H10" s="5">
        <v>16246.404000</v>
      </c>
    </row>
    <row r="11" spans="1:9">
      <c r="A11" s="22" t="str">
        <f>HYPERLINK("https://app.vivvix.com/360/KMI/IntelliDrive/ApplUI/Pages/CreativePages/CustomReportCreativeDetail.aspx?App=23&amp;ReportView=4&amp;Qid=1711245&amp;Row=3&amp;Col=1","$499 Per month for 36 months")</f>
        <v/>
      </c>
      <c r="B11" s="0" t="s">
        <v>19</v>
      </c>
      <c r="C11" s="0" t="s">
        <v>20</v>
      </c>
      <c r="D11" s="0" t="s">
        <v>21</v>
      </c>
      <c r="E11" s="0" t="s">
        <v>13</v>
      </c>
      <c r="F11" s="0" t="s">
        <v>14</v>
      </c>
      <c r="G11" s="0" t="s">
        <v>22</v>
      </c>
      <c r="H11" s="5">
        <v>6911.000000</v>
      </c>
    </row>
    <row r="12" spans="1:9">
      <c r="A12" s="22" t="str">
        <f>HYPERLINK("https://app.vivvix.com/360/KMI/IntelliDrive/ApplUI/Pages/CreativePages/CustomReportCreativeDetail.aspx?App=23&amp;ReportView=4&amp;Qid=1711245&amp;Row=4&amp;Col=1","$499 PER MONTH FOR 36 MONTHS 15 SEC.")</f>
        <v/>
      </c>
      <c r="B12" s="0" t="s">
        <v>23</v>
      </c>
      <c r="C12" s="0" t="s">
        <v>24</v>
      </c>
      <c r="D12" s="0" t="s">
        <v>24</v>
      </c>
      <c r="E12" s="0" t="s">
        <v>13</v>
      </c>
      <c r="F12" s="0" t="s">
        <v>14</v>
      </c>
      <c r="G12" s="0" t="s">
        <v>25</v>
      </c>
      <c r="H12" s="5">
        <v>21620.000000</v>
      </c>
    </row>
    <row r="13" spans="1:9">
      <c r="A13" s="22" t="str">
        <f>HYPERLINK("https://app.vivvix.com/360/KMI/IntelliDrive/ApplUI/Pages/CreativePages/CustomReportCreativeDetail.aspx?App=23&amp;ReportView=4&amp;Qid=1711245&amp;Row=5&amp;Col=1","$559 per month for 39 months")</f>
        <v/>
      </c>
      <c r="B13" s="0" t="s">
        <v>26</v>
      </c>
      <c r="C13" s="0" t="s">
        <v>27</v>
      </c>
      <c r="D13" s="0" t="s">
        <v>27</v>
      </c>
      <c r="E13" s="0" t="s">
        <v>13</v>
      </c>
      <c r="F13" s="0" t="s">
        <v>28</v>
      </c>
      <c r="G13" s="0" t="s">
        <v>29</v>
      </c>
      <c r="H13" s="5">
        <v>21098.000000</v>
      </c>
    </row>
    <row r="14" spans="1:9">
      <c r="A14" s="22" t="str">
        <f>HYPERLINK("https://app.vivvix.com/360/KMI/IntelliDrive/ApplUI/Pages/CreativePages/CustomReportCreativeDetail.aspx?App=23&amp;ReportView=4&amp;Qid=1711245&amp;Row=6&amp;Col=1","$559 per month for 39 months")</f>
        <v/>
      </c>
      <c r="B14" s="0" t="s">
        <v>30</v>
      </c>
      <c r="C14" s="0" t="s">
        <v>31</v>
      </c>
      <c r="D14" s="0" t="s">
        <v>27</v>
      </c>
      <c r="E14" s="0" t="s">
        <v>13</v>
      </c>
      <c r="F14" s="0" t="s">
        <v>28</v>
      </c>
      <c r="G14" s="0" t="s">
        <v>29</v>
      </c>
      <c r="H14" s="5">
        <v>30702.000000</v>
      </c>
    </row>
    <row r="15" spans="1:9">
      <c r="A15" s="22" t="str">
        <f>HYPERLINK("https://app.vivvix.com/360/KMI/IntelliDrive/ApplUI/Pages/CreativePages/CustomReportCreativeDetail.aspx?App=23&amp;ReportView=4&amp;Qid=1711245&amp;Row=7&amp;Col=1","2024 ALL-ELECTRIC LYRIQ")</f>
        <v/>
      </c>
      <c r="B15" s="0" t="s">
        <v>32</v>
      </c>
      <c r="C15" s="0" t="s">
        <v>33</v>
      </c>
      <c r="D15" s="0" t="s">
        <v>33</v>
      </c>
      <c r="E15" s="0" t="s">
        <v>13</v>
      </c>
      <c r="F15" s="0" t="s">
        <v>14</v>
      </c>
      <c r="G15" s="0" t="s">
        <v>15</v>
      </c>
      <c r="H15" s="5">
        <v>81022.000000</v>
      </c>
    </row>
    <row r="16" spans="1:9">
      <c r="A16" s="22" t="str">
        <f>HYPERLINK("https://app.vivvix.com/360/KMI/IntelliDrive/ApplUI/Pages/CreativePages/CustomReportCreativeDetail.aspx?App=23&amp;ReportView=4&amp;Qid=1711245&amp;Row=8&amp;Col=1","a Luxurious black car is featured here .")</f>
        <v/>
      </c>
      <c r="B16" s="0" t="s">
        <v>34</v>
      </c>
      <c r="E16" s="0" t="s">
        <v>13</v>
      </c>
      <c r="F16" s="0" t="s">
        <v>13</v>
      </c>
      <c r="G16" s="0" t="s">
        <v>35</v>
      </c>
      <c r="H16" s="5">
        <v>4156.915000</v>
      </c>
    </row>
    <row r="17" spans="1:9">
      <c r="A17" s="22" t="str">
        <f>HYPERLINK("https://app.vivvix.com/360/KMI/IntelliDrive/ApplUI/Pages/CreativePages/CustomReportCreativeDetail.aspx?App=23&amp;ReportView=4&amp;Qid=1711245&amp;Row=9&amp;Col=1","a Luxurious black car is featured here .")</f>
        <v/>
      </c>
      <c r="B17" s="0" t="s">
        <v>34</v>
      </c>
      <c r="E17" s="0" t="s">
        <v>13</v>
      </c>
      <c r="F17" s="0" t="s">
        <v>13</v>
      </c>
      <c r="G17" s="0" t="s">
        <v>35</v>
      </c>
      <c r="H17" s="5">
        <v>50564.398000</v>
      </c>
    </row>
    <row r="18" spans="1:9">
      <c r="A18" s="22" t="str">
        <f>HYPERLINK("https://app.vivvix.com/360/KMI/IntelliDrive/ApplUI/Pages/CreativePages/CustomReportCreativeDetail.aspx?App=23&amp;ReportView=4&amp;Qid=1711245&amp;Row=10&amp;Col=1","a very nice car is shown")</f>
        <v/>
      </c>
      <c r="B18" s="0" t="s">
        <v>36</v>
      </c>
      <c r="C18" s="0" t="s">
        <v>37</v>
      </c>
      <c r="D18" s="0" t="s">
        <v>37</v>
      </c>
      <c r="E18" s="0" t="s">
        <v>13</v>
      </c>
      <c r="F18" s="0" t="s">
        <v>14</v>
      </c>
      <c r="G18" s="0" t="s">
        <v>15</v>
      </c>
      <c r="H18" s="5">
        <v>49228.003000</v>
      </c>
    </row>
    <row r="19" spans="1:9">
      <c r="A19" s="22" t="str">
        <f>HYPERLINK("https://app.vivvix.com/360/KMI/IntelliDrive/ApplUI/Pages/CreativePages/CustomReportCreativeDetail.aspx?App=23&amp;ReportView=4&amp;Qid=1711245&amp;Row=11&amp;Col=1","a very nice car is shown")</f>
        <v/>
      </c>
      <c r="B19" s="0" t="s">
        <v>36</v>
      </c>
      <c r="E19" s="0" t="s">
        <v>13</v>
      </c>
      <c r="F19" s="0" t="s">
        <v>14</v>
      </c>
      <c r="G19" s="0" t="s">
        <v>15</v>
      </c>
      <c r="H19" s="5">
        <v>381.519000</v>
      </c>
    </row>
    <row r="20" spans="1:9">
      <c r="A20" s="22" t="str">
        <f>HYPERLINK("https://app.vivvix.com/360/KMI/IntelliDrive/ApplUI/Pages/CreativePages/CustomReportCreativeDetail.aspx?App=23&amp;ReportView=4&amp;Qid=1711245&amp;Row=12&amp;Col=1","a very nice car is shown")</f>
        <v/>
      </c>
      <c r="B20" s="0" t="s">
        <v>38</v>
      </c>
      <c r="E20" s="0" t="s">
        <v>13</v>
      </c>
      <c r="F20" s="0" t="s">
        <v>14</v>
      </c>
      <c r="G20" s="0" t="s">
        <v>15</v>
      </c>
      <c r="H20" s="5">
        <v>3688.870000</v>
      </c>
    </row>
    <row r="21" spans="1:9">
      <c r="A21" s="22" t="str">
        <f>HYPERLINK("https://app.vivvix.com/360/KMI/IntelliDrive/ApplUI/Pages/CreativePages/CustomReportCreativeDetail.aspx?App=23&amp;ReportView=4&amp;Qid=1711245&amp;Row=13&amp;Col=1","a very nice car is shown")</f>
        <v/>
      </c>
      <c r="B21" s="0" t="s">
        <v>38</v>
      </c>
      <c r="E21" s="0" t="s">
        <v>13</v>
      </c>
      <c r="F21" s="0" t="s">
        <v>14</v>
      </c>
      <c r="G21" s="0" t="s">
        <v>15</v>
      </c>
      <c r="H21" s="5">
        <v>417167.616000</v>
      </c>
    </row>
    <row r="22" spans="1:9">
      <c r="A22" s="22" t="str">
        <f>HYPERLINK("https://app.vivvix.com/360/KMI/IntelliDrive/ApplUI/Pages/CreativePages/CustomReportCreativeDetail.aspx?App=23&amp;ReportView=4&amp;Qid=1711245&amp;Row=14&amp;Col=1","a very nice car is shown")</f>
        <v/>
      </c>
      <c r="B22" s="0" t="s">
        <v>39</v>
      </c>
      <c r="C22" s="0" t="s">
        <v>40</v>
      </c>
      <c r="D22" s="0" t="s">
        <v>40</v>
      </c>
      <c r="E22" s="0" t="s">
        <v>13</v>
      </c>
      <c r="F22" s="0" t="s">
        <v>14</v>
      </c>
      <c r="G22" s="0" t="s">
        <v>15</v>
      </c>
      <c r="H22" s="5">
        <v>19466.838000</v>
      </c>
    </row>
    <row r="23" spans="1:9">
      <c r="A23" s="22" t="str">
        <f>HYPERLINK("https://app.vivvix.com/360/KMI/IntelliDrive/ApplUI/Pages/CreativePages/CustomReportCreativeDetail.aspx?App=23&amp;ReportView=4&amp;Qid=1711245&amp;Row=15&amp;Col=1","a very nice car is shown")</f>
        <v/>
      </c>
      <c r="B23" s="0" t="s">
        <v>39</v>
      </c>
      <c r="E23" s="0" t="s">
        <v>13</v>
      </c>
      <c r="F23" s="0" t="s">
        <v>14</v>
      </c>
      <c r="G23" s="0" t="s">
        <v>15</v>
      </c>
      <c r="H23" s="5">
        <v>272200.035000</v>
      </c>
    </row>
    <row r="24" spans="1:9">
      <c r="A24" s="22" t="str">
        <f>HYPERLINK("https://app.vivvix.com/360/KMI/IntelliDrive/ApplUI/Pages/CreativePages/CustomReportCreativeDetail.aspx?App=23&amp;ReportView=4&amp;Qid=1711245&amp;Row=16&amp;Col=1","a very nice car is shown")</f>
        <v/>
      </c>
      <c r="B24" s="0" t="s">
        <v>41</v>
      </c>
      <c r="E24" s="0" t="s">
        <v>13</v>
      </c>
      <c r="F24" s="0" t="s">
        <v>14</v>
      </c>
      <c r="G24" s="0" t="s">
        <v>15</v>
      </c>
      <c r="H24" s="5">
        <v>2651.377000</v>
      </c>
    </row>
    <row r="25" spans="1:9">
      <c r="A25" s="22" t="str">
        <f>HYPERLINK("https://app.vivvix.com/360/KMI/IntelliDrive/ApplUI/Pages/CreativePages/CustomReportCreativeDetail.aspx?App=23&amp;ReportView=4&amp;Qid=1711245&amp;Row=17&amp;Col=1","a very nice car is shown")</f>
        <v/>
      </c>
      <c r="B25" s="0" t="s">
        <v>41</v>
      </c>
      <c r="E25" s="0" t="s">
        <v>13</v>
      </c>
      <c r="F25" s="0" t="s">
        <v>14</v>
      </c>
      <c r="G25" s="0" t="s">
        <v>15</v>
      </c>
      <c r="H25" s="5">
        <v>3118.756000</v>
      </c>
    </row>
    <row r="26" spans="1:9">
      <c r="A26" s="22" t="str">
        <f>HYPERLINK("https://app.vivvix.com/360/KMI/IntelliDrive/ApplUI/Pages/CreativePages/CustomReportCreativeDetail.aspx?App=23&amp;ReportView=4&amp;Qid=1711245&amp;Row=18&amp;Col=1","a very nice car is shown")</f>
        <v/>
      </c>
      <c r="B26" s="0" t="s">
        <v>42</v>
      </c>
      <c r="C26" s="0" t="s">
        <v>43</v>
      </c>
      <c r="D26" s="0" t="s">
        <v>43</v>
      </c>
      <c r="E26" s="0" t="s">
        <v>13</v>
      </c>
      <c r="F26" s="0" t="s">
        <v>14</v>
      </c>
      <c r="G26" s="0" t="s">
        <v>15</v>
      </c>
      <c r="H26" s="5">
        <v>224346.479000</v>
      </c>
    </row>
    <row r="27" spans="1:9">
      <c r="A27" s="22" t="str">
        <f>HYPERLINK("https://app.vivvix.com/360/KMI/IntelliDrive/ApplUI/Pages/CreativePages/CustomReportCreativeDetail.aspx?App=23&amp;ReportView=4&amp;Qid=1711245&amp;Row=19&amp;Col=1","a very nice car is shown")</f>
        <v/>
      </c>
      <c r="B27" s="0" t="s">
        <v>42</v>
      </c>
      <c r="E27" s="0" t="s">
        <v>13</v>
      </c>
      <c r="F27" s="0" t="s">
        <v>14</v>
      </c>
      <c r="G27" s="0" t="s">
        <v>15</v>
      </c>
      <c r="H27" s="5">
        <v>191304.062000</v>
      </c>
    </row>
    <row r="28" spans="1:9">
      <c r="A28" s="22" t="str">
        <f>HYPERLINK("https://app.vivvix.com/360/KMI/IntelliDrive/ApplUI/Pages/CreativePages/CustomReportCreativeDetail.aspx?App=23&amp;ReportView=4&amp;Qid=1711245&amp;Row=20&amp;Col=1","a very nice car is shown 15 sec.")</f>
        <v/>
      </c>
      <c r="B28" s="0" t="s">
        <v>44</v>
      </c>
      <c r="E28" s="0" t="s">
        <v>13</v>
      </c>
      <c r="F28" s="0" t="s">
        <v>14</v>
      </c>
      <c r="G28" s="0" t="s">
        <v>15</v>
      </c>
      <c r="H28" s="5">
        <v>11856.876000</v>
      </c>
    </row>
    <row r="29" spans="1:9">
      <c r="A29" s="22" t="str">
        <f>HYPERLINK("https://app.vivvix.com/360/KMI/IntelliDrive/ApplUI/Pages/CreativePages/CustomReportCreativeDetail.aspx?App=23&amp;ReportView=4&amp;Qid=1711245&amp;Row=21&amp;Col=1","a very nice car is shown 15 sec.")</f>
        <v/>
      </c>
      <c r="B29" s="0" t="s">
        <v>44</v>
      </c>
      <c r="C29" s="0" t="s">
        <v>45</v>
      </c>
      <c r="D29" s="0" t="s">
        <v>45</v>
      </c>
      <c r="E29" s="0" t="s">
        <v>13</v>
      </c>
      <c r="F29" s="0" t="s">
        <v>14</v>
      </c>
      <c r="G29" s="0" t="s">
        <v>15</v>
      </c>
      <c r="H29" s="5">
        <v>315.738000</v>
      </c>
    </row>
    <row r="30" spans="1:9">
      <c r="A30" s="22" t="str">
        <f>HYPERLINK("https://app.vivvix.com/360/KMI/IntelliDrive/ApplUI/Pages/CreativePages/CustomReportCreativeDetail.aspx?App=23&amp;ReportView=4&amp;Qid=1711245&amp;Row=22&amp;Col=1","a very nice car is shown 15 seconds")</f>
        <v/>
      </c>
      <c r="B30" s="0" t="s">
        <v>46</v>
      </c>
      <c r="E30" s="0" t="s">
        <v>13</v>
      </c>
      <c r="F30" s="0" t="s">
        <v>14</v>
      </c>
      <c r="G30" s="0" t="s">
        <v>15</v>
      </c>
      <c r="H30" s="5">
        <v>37226.118000</v>
      </c>
    </row>
    <row r="31" spans="1:9">
      <c r="A31" s="22" t="str">
        <f>HYPERLINK("https://app.vivvix.com/360/KMI/IntelliDrive/ApplUI/Pages/CreativePages/CustomReportCreativeDetail.aspx?App=23&amp;ReportView=4&amp;Qid=1711245&amp;Row=23&amp;Col=1","A. Costa : Have An Incredible Drive")</f>
        <v/>
      </c>
      <c r="B31" s="0" t="s">
        <v>47</v>
      </c>
      <c r="C31" s="0" t="s">
        <v>48</v>
      </c>
      <c r="D31" s="0" t="s">
        <v>48</v>
      </c>
      <c r="E31" s="0" t="s">
        <v>13</v>
      </c>
      <c r="F31" s="0" t="s">
        <v>14</v>
      </c>
      <c r="G31" s="0" t="s">
        <v>15</v>
      </c>
      <c r="H31" s="5">
        <v>9655.807000</v>
      </c>
    </row>
    <row r="32" spans="1:9">
      <c r="A32" s="22" t="str">
        <f>HYPERLINK("https://app.vivvix.com/360/KMI/IntelliDrive/ApplUI/Pages/CreativePages/CustomReportCreativeDetail.aspx?App=23&amp;ReportView=4&amp;Qid=1711245&amp;Row=24&amp;Col=1","A. Costa : Have An Incredible Drive")</f>
        <v/>
      </c>
      <c r="B32" s="0" t="s">
        <v>47</v>
      </c>
      <c r="E32" s="0" t="s">
        <v>13</v>
      </c>
      <c r="F32" s="0" t="s">
        <v>14</v>
      </c>
      <c r="G32" s="0" t="s">
        <v>15</v>
      </c>
      <c r="H32" s="5">
        <v>20995.485000</v>
      </c>
    </row>
    <row r="33" spans="1:9">
      <c r="A33" s="22" t="str">
        <f>HYPERLINK("https://app.vivvix.com/360/KMI/IntelliDrive/ApplUI/Pages/CreativePages/CustomReportCreativeDetail.aspx?App=23&amp;ReportView=4&amp;Qid=1711245&amp;Row=25&amp;Col=1","A. Weitz : Experience The Best")</f>
        <v/>
      </c>
      <c r="B33" s="0" t="s">
        <v>49</v>
      </c>
      <c r="C33" s="0" t="s">
        <v>50</v>
      </c>
      <c r="D33" s="0" t="s">
        <v>50</v>
      </c>
      <c r="E33" s="0" t="s">
        <v>13</v>
      </c>
      <c r="F33" s="0" t="s">
        <v>14</v>
      </c>
      <c r="G33" s="0" t="s">
        <v>15</v>
      </c>
      <c r="H33" s="5">
        <v>12381.239000</v>
      </c>
    </row>
    <row r="34" spans="1:9">
      <c r="A34" s="22" t="str">
        <f>HYPERLINK("https://app.vivvix.com/360/KMI/IntelliDrive/ApplUI/Pages/CreativePages/CustomReportCreativeDetail.aspx?App=23&amp;ReportView=4&amp;Qid=1711245&amp;Row=26&amp;Col=1","A. Weitz : Experience The Best")</f>
        <v/>
      </c>
      <c r="B34" s="0" t="s">
        <v>49</v>
      </c>
      <c r="E34" s="0" t="s">
        <v>13</v>
      </c>
      <c r="F34" s="0" t="s">
        <v>14</v>
      </c>
      <c r="G34" s="0" t="s">
        <v>15</v>
      </c>
      <c r="H34" s="5">
        <v>30281.928000</v>
      </c>
    </row>
    <row r="35" spans="1:9">
      <c r="A35" s="22" t="str">
        <f>HYPERLINK("https://app.vivvix.com/360/KMI/IntelliDrive/ApplUI/Pages/CreativePages/CustomReportCreativeDetail.aspx?App=23&amp;ReportView=4&amp;Qid=1711245&amp;Row=27&amp;Col=1","All New")</f>
        <v/>
      </c>
      <c r="B35" s="0" t="s">
        <v>51</v>
      </c>
      <c r="E35" s="0" t="s">
        <v>13</v>
      </c>
      <c r="F35" s="0" t="s">
        <v>14</v>
      </c>
      <c r="G35" s="0" t="s">
        <v>15</v>
      </c>
      <c r="H35" s="5">
        <v>23690.913000</v>
      </c>
    </row>
    <row r="36" spans="1:9">
      <c r="A36" s="22" t="str">
        <f>HYPERLINK("https://app.vivvix.com/360/KMI/IntelliDrive/ApplUI/Pages/CreativePages/CustomReportCreativeDetail.aspx?App=23&amp;ReportView=4&amp;Qid=1711245&amp;Row=28&amp;Col=1","All New")</f>
        <v/>
      </c>
      <c r="B36" s="0" t="s">
        <v>51</v>
      </c>
      <c r="C36" s="0" t="s">
        <v>52</v>
      </c>
      <c r="D36" s="0" t="s">
        <v>52</v>
      </c>
      <c r="E36" s="0" t="s">
        <v>13</v>
      </c>
      <c r="F36" s="0" t="s">
        <v>14</v>
      </c>
      <c r="G36" s="0" t="s">
        <v>15</v>
      </c>
      <c r="H36" s="5">
        <v>10276.056000</v>
      </c>
    </row>
    <row r="37" spans="1:9">
      <c r="A37" s="22" t="str">
        <f>HYPERLINK("https://app.vivvix.com/360/KMI/IntelliDrive/ApplUI/Pages/CreativePages/CustomReportCreativeDetail.aspx?App=23&amp;ReportView=4&amp;Qid=1711245&amp;Row=29&amp;Col=1","All New")</f>
        <v/>
      </c>
      <c r="B37" s="0" t="s">
        <v>53</v>
      </c>
      <c r="E37" s="0" t="s">
        <v>13</v>
      </c>
      <c r="F37" s="0" t="s">
        <v>13</v>
      </c>
      <c r="G37" s="0" t="s">
        <v>54</v>
      </c>
      <c r="H37" s="5">
        <v>125848.852000</v>
      </c>
    </row>
    <row r="38" spans="1:9">
      <c r="A38" s="22" t="str">
        <f>HYPERLINK("https://app.vivvix.com/360/KMI/IntelliDrive/ApplUI/Pages/CreativePages/CustomReportCreativeDetail.aspx?App=23&amp;ReportView=4&amp;Qid=1711245&amp;Row=30&amp;Col=1","All New")</f>
        <v/>
      </c>
      <c r="B38" s="0" t="s">
        <v>53</v>
      </c>
      <c r="E38" s="0" t="s">
        <v>13</v>
      </c>
      <c r="F38" s="0" t="s">
        <v>13</v>
      </c>
      <c r="G38" s="0" t="s">
        <v>54</v>
      </c>
      <c r="H38" s="5">
        <v>8868.423000</v>
      </c>
    </row>
    <row r="39" spans="1:9">
      <c r="A39" s="22" t="str">
        <f>HYPERLINK("https://app.vivvix.com/360/KMI/IntelliDrive/ApplUI/Pages/CreativePages/CustomReportCreativeDetail.aspx?App=23&amp;ReportView=4&amp;Qid=1711245&amp;Row=31&amp;Col=1","all-electric suv model")</f>
        <v/>
      </c>
      <c r="B39" s="0" t="s">
        <v>55</v>
      </c>
      <c r="E39" s="0" t="s">
        <v>13</v>
      </c>
      <c r="F39" s="0" t="s">
        <v>14</v>
      </c>
      <c r="G39" s="0" t="s">
        <v>15</v>
      </c>
      <c r="H39" s="5">
        <v>211551.306000</v>
      </c>
    </row>
    <row r="40" spans="1:9">
      <c r="A40" s="22" t="str">
        <f>HYPERLINK("https://app.vivvix.com/360/KMI/IntelliDrive/ApplUI/Pages/CreativePages/CustomReportCreativeDetail.aspx?App=23&amp;ReportView=4&amp;Qid=1711245&amp;Row=32&amp;Col=1","all-electric suv model")</f>
        <v/>
      </c>
      <c r="B40" s="0" t="s">
        <v>55</v>
      </c>
      <c r="E40" s="0" t="s">
        <v>13</v>
      </c>
      <c r="F40" s="0" t="s">
        <v>14</v>
      </c>
      <c r="G40" s="0" t="s">
        <v>15</v>
      </c>
      <c r="H40" s="5">
        <v>559513.682000</v>
      </c>
    </row>
    <row r="41" spans="1:9">
      <c r="A41" s="22" t="str">
        <f>HYPERLINK("https://app.vivvix.com/360/KMI/IntelliDrive/ApplUI/Pages/CreativePages/CustomReportCreativeDetail.aspx?App=23&amp;ReportView=4&amp;Qid=1711245&amp;Row=33&amp;Col=1","Always Be Iconic")</f>
        <v/>
      </c>
      <c r="B41" s="0" t="s">
        <v>56</v>
      </c>
      <c r="C41" s="0" t="s">
        <v>57</v>
      </c>
      <c r="D41" s="0" t="s">
        <v>57</v>
      </c>
      <c r="E41" s="0" t="s">
        <v>13</v>
      </c>
      <c r="F41" s="0" t="s">
        <v>14</v>
      </c>
      <c r="G41" s="0" t="s">
        <v>15</v>
      </c>
      <c r="H41" s="5">
        <v>17.663000</v>
      </c>
    </row>
    <row r="42" spans="1:9">
      <c r="A42" s="22" t="str">
        <f>HYPERLINK("https://app.vivvix.com/360/KMI/IntelliDrive/ApplUI/Pages/CreativePages/CustomReportCreativeDetail.aspx?App=23&amp;ReportView=4&amp;Qid=1711245&amp;Row=34&amp;Col=1","AVAILABLE SUPER CRUISE  HANDS - FREE")</f>
        <v/>
      </c>
      <c r="B42" s="0" t="s">
        <v>58</v>
      </c>
      <c r="E42" s="0" t="s">
        <v>13</v>
      </c>
      <c r="F42" s="0" t="s">
        <v>14</v>
      </c>
      <c r="G42" s="0" t="s">
        <v>15</v>
      </c>
      <c r="H42" s="5">
        <v>33806.667000</v>
      </c>
    </row>
    <row r="43" spans="1:9">
      <c r="A43" s="22" t="str">
        <f>HYPERLINK("https://app.vivvix.com/360/KMI/IntelliDrive/ApplUI/Pages/CreativePages/CustomReportCreativeDetail.aspx?App=23&amp;ReportView=4&amp;Qid=1711245&amp;Row=35&amp;Col=1","AVAILABLE SUPER CRUISE  HANDS - FREE")</f>
        <v/>
      </c>
      <c r="B43" s="0" t="s">
        <v>58</v>
      </c>
      <c r="E43" s="0" t="s">
        <v>13</v>
      </c>
      <c r="F43" s="0" t="s">
        <v>14</v>
      </c>
      <c r="G43" s="0" t="s">
        <v>15</v>
      </c>
      <c r="H43" s="5">
        <v>1756.293000</v>
      </c>
    </row>
    <row r="44" spans="1:9">
      <c r="A44" s="22" t="str">
        <f>HYPERLINK("https://app.vivvix.com/360/KMI/IntelliDrive/ApplUI/Pages/CreativePages/CustomReportCreativeDetail.aspx?App=23&amp;ReportView=4&amp;Qid=1711245&amp;Row=36&amp;Col=1","AVAILABLE SUPER CRUISE HANDS-FREE....")</f>
        <v/>
      </c>
      <c r="B44" s="0" t="s">
        <v>59</v>
      </c>
      <c r="E44" s="0" t="s">
        <v>13</v>
      </c>
      <c r="F44" s="0" t="s">
        <v>14</v>
      </c>
      <c r="G44" s="0" t="s">
        <v>15</v>
      </c>
      <c r="H44" s="5">
        <v>709169.555000</v>
      </c>
    </row>
    <row r="45" spans="1:9">
      <c r="A45" s="22" t="str">
        <f>HYPERLINK("https://app.vivvix.com/360/KMI/IntelliDrive/ApplUI/Pages/CreativePages/CustomReportCreativeDetail.aspx?App=23&amp;ReportView=4&amp;Qid=1711245&amp;Row=37&amp;Col=1","AVAILABLE SUPER CRUISE HANDS-FREE....")</f>
        <v/>
      </c>
      <c r="B45" s="0" t="s">
        <v>59</v>
      </c>
      <c r="E45" s="0" t="s">
        <v>13</v>
      </c>
      <c r="F45" s="0" t="s">
        <v>14</v>
      </c>
      <c r="G45" s="0" t="s">
        <v>15</v>
      </c>
      <c r="H45" s="5">
        <v>438745.476000</v>
      </c>
    </row>
    <row r="46" spans="1:9">
      <c r="A46" s="22" t="str">
        <f>HYPERLINK("https://app.vivvix.com/360/KMI/IntelliDrive/ApplUI/Pages/CreativePages/CustomReportCreativeDetail.aspx?App=23&amp;ReportView=4&amp;Qid=1711245&amp;Row=38&amp;Col=1","Available With All Wheel Drive")</f>
        <v/>
      </c>
      <c r="B46" s="0" t="s">
        <v>60</v>
      </c>
      <c r="C46" s="0" t="s">
        <v>61</v>
      </c>
      <c r="D46" s="0" t="s">
        <v>61</v>
      </c>
      <c r="E46" s="0" t="s">
        <v>13</v>
      </c>
      <c r="F46" s="0" t="s">
        <v>14</v>
      </c>
      <c r="G46" s="0" t="s">
        <v>62</v>
      </c>
      <c r="H46" s="5">
        <v>4175.000000</v>
      </c>
    </row>
    <row r="47" spans="1:9">
      <c r="A47" s="22" t="str">
        <f>HYPERLINK("https://app.vivvix.com/360/KMI/IntelliDrive/ApplUI/Pages/CreativePages/CustomReportCreativeDetail.aspx?App=23&amp;ReportView=4&amp;Qid=1711245&amp;Row=39&amp;Col=1","Available With All Wheel Drive")</f>
        <v/>
      </c>
      <c r="B47" s="0" t="s">
        <v>60</v>
      </c>
      <c r="C47" s="0" t="s">
        <v>61</v>
      </c>
      <c r="D47" s="0" t="s">
        <v>61</v>
      </c>
      <c r="E47" s="0" t="s">
        <v>13</v>
      </c>
      <c r="F47" s="0" t="s">
        <v>14</v>
      </c>
      <c r="G47" s="0" t="s">
        <v>62</v>
      </c>
      <c r="H47" s="5">
        <v>42812.000000</v>
      </c>
    </row>
    <row r="48" spans="1:9">
      <c r="A48" s="22" t="str">
        <f>HYPERLINK("https://app.vivvix.com/360/KMI/IntelliDrive/ApplUI/Pages/CreativePages/CustomReportCreativeDetail.aspx?App=23&amp;ReportView=4&amp;Qid=1711245&amp;Row=40&amp;Col=1","Be Authentic &amp; Bold")</f>
        <v/>
      </c>
      <c r="B48" s="0" t="s">
        <v>63</v>
      </c>
      <c r="C48" s="0" t="s">
        <v>64</v>
      </c>
      <c r="D48" s="0" t="s">
        <v>64</v>
      </c>
      <c r="E48" s="0" t="s">
        <v>13</v>
      </c>
      <c r="F48" s="0" t="s">
        <v>13</v>
      </c>
      <c r="G48" s="0" t="s">
        <v>35</v>
      </c>
      <c r="H48" s="5">
        <v>19947.000000</v>
      </c>
    </row>
    <row r="49" spans="1:9">
      <c r="A49" s="22" t="str">
        <f>HYPERLINK("https://app.vivvix.com/360/KMI/IntelliDrive/ApplUI/Pages/CreativePages/CustomReportCreativeDetail.aspx?App=23&amp;ReportView=4&amp;Qid=1711245&amp;Row=41&amp;Col=1","BE ICONIC")</f>
        <v/>
      </c>
      <c r="B49" s="0" t="s">
        <v>65</v>
      </c>
      <c r="C49" s="0" t="s">
        <v>66</v>
      </c>
      <c r="D49" s="0" t="s">
        <v>66</v>
      </c>
      <c r="E49" s="0" t="s">
        <v>13</v>
      </c>
      <c r="F49" s="0" t="s">
        <v>14</v>
      </c>
      <c r="G49" s="0" t="s">
        <v>15</v>
      </c>
      <c r="H49" s="5">
        <v>15859.690000</v>
      </c>
    </row>
    <row r="50" spans="1:9">
      <c r="A50" s="22" t="str">
        <f>HYPERLINK("https://app.vivvix.com/360/KMI/IntelliDrive/ApplUI/Pages/CreativePages/CustomReportCreativeDetail.aspx?App=23&amp;ReportView=4&amp;Qid=1711245&amp;Row=42&amp;Col=1","BE ICONIC")</f>
        <v/>
      </c>
      <c r="B50" s="0" t="s">
        <v>67</v>
      </c>
      <c r="E50" s="0" t="s">
        <v>13</v>
      </c>
      <c r="F50" s="0" t="s">
        <v>14</v>
      </c>
      <c r="G50" s="0" t="s">
        <v>15</v>
      </c>
      <c r="H50" s="5">
        <v>9902.676000</v>
      </c>
    </row>
    <row r="51" spans="1:9">
      <c r="A51" s="22" t="str">
        <f>HYPERLINK("https://app.vivvix.com/360/KMI/IntelliDrive/ApplUI/Pages/CreativePages/CustomReportCreativeDetail.aspx?App=23&amp;ReportView=4&amp;Qid=1711245&amp;Row=43&amp;Col=1","BE ICONIC")</f>
        <v/>
      </c>
      <c r="B51" s="0" t="s">
        <v>67</v>
      </c>
      <c r="E51" s="0" t="s">
        <v>13</v>
      </c>
      <c r="F51" s="0" t="s">
        <v>14</v>
      </c>
      <c r="G51" s="0" t="s">
        <v>15</v>
      </c>
      <c r="H51" s="5">
        <v>18189.351000</v>
      </c>
    </row>
    <row r="52" spans="1:9">
      <c r="A52" s="22" t="str">
        <f>HYPERLINK("https://app.vivvix.com/360/KMI/IntelliDrive/ApplUI/Pages/CreativePages/CustomReportCreativeDetail.aspx?App=23&amp;ReportView=4&amp;Qid=1711245&amp;Row=44&amp;Col=1","be iconic")</f>
        <v/>
      </c>
      <c r="B52" s="0" t="s">
        <v>68</v>
      </c>
      <c r="C52" s="0" t="s">
        <v>69</v>
      </c>
      <c r="D52" s="0" t="s">
        <v>69</v>
      </c>
      <c r="E52" s="0" t="s">
        <v>13</v>
      </c>
      <c r="F52" s="0" t="s">
        <v>14</v>
      </c>
      <c r="G52" s="0" t="s">
        <v>15</v>
      </c>
      <c r="H52" s="5">
        <v>2986.608000</v>
      </c>
    </row>
    <row r="53" spans="1:9">
      <c r="A53" s="22" t="str">
        <f>HYPERLINK("https://app.vivvix.com/360/KMI/IntelliDrive/ApplUI/Pages/CreativePages/CustomReportCreativeDetail.aspx?App=23&amp;ReportView=4&amp;Qid=1711245&amp;Row=45&amp;Col=1","be iconic !")</f>
        <v/>
      </c>
      <c r="B53" s="0" t="s">
        <v>70</v>
      </c>
      <c r="E53" s="0" t="s">
        <v>13</v>
      </c>
      <c r="F53" s="0" t="s">
        <v>14</v>
      </c>
      <c r="G53" s="0" t="s">
        <v>15</v>
      </c>
      <c r="H53" s="5">
        <v>18686.250000</v>
      </c>
    </row>
    <row r="54" spans="1:9">
      <c r="A54" s="22" t="str">
        <f>HYPERLINK("https://app.vivvix.com/360/KMI/IntelliDrive/ApplUI/Pages/CreativePages/CustomReportCreativeDetail.aspx?App=23&amp;ReportView=4&amp;Qid=1711245&amp;Row=46&amp;Col=1","be iconic !")</f>
        <v/>
      </c>
      <c r="B54" s="0" t="s">
        <v>70</v>
      </c>
      <c r="E54" s="0" t="s">
        <v>13</v>
      </c>
      <c r="F54" s="0" t="s">
        <v>14</v>
      </c>
      <c r="G54" s="0" t="s">
        <v>15</v>
      </c>
      <c r="H54" s="5">
        <v>14893.648000</v>
      </c>
    </row>
    <row r="55" spans="1:9">
      <c r="A55" s="22" t="str">
        <f>HYPERLINK("https://app.vivvix.com/360/KMI/IntelliDrive/ApplUI/Pages/CreativePages/CustomReportCreativeDetail.aspx?App=23&amp;ReportView=4&amp;Qid=1711245&amp;Row=47&amp;Col=1","BE ICONIC 30 SEC")</f>
        <v/>
      </c>
      <c r="B55" s="0" t="s">
        <v>71</v>
      </c>
      <c r="C55" s="0" t="s">
        <v>72</v>
      </c>
      <c r="D55" s="0" t="s">
        <v>72</v>
      </c>
      <c r="E55" s="0" t="s">
        <v>13</v>
      </c>
      <c r="F55" s="0" t="s">
        <v>14</v>
      </c>
      <c r="G55" s="0" t="s">
        <v>15</v>
      </c>
      <c r="H55" s="5">
        <v>15466.101000</v>
      </c>
    </row>
    <row r="56" spans="1:9">
      <c r="A56" s="22" t="str">
        <f>HYPERLINK("https://app.vivvix.com/360/KMI/IntelliDrive/ApplUI/Pages/CreativePages/CustomReportCreativeDetail.aspx?App=23&amp;ReportView=4&amp;Qid=1711245&amp;Row=48&amp;Col=1","BE ICONIC 30 SEC")</f>
        <v/>
      </c>
      <c r="B56" s="0" t="s">
        <v>71</v>
      </c>
      <c r="E56" s="0" t="s">
        <v>13</v>
      </c>
      <c r="F56" s="0" t="s">
        <v>14</v>
      </c>
      <c r="G56" s="0" t="s">
        <v>15</v>
      </c>
      <c r="H56" s="5">
        <v>23308.847000</v>
      </c>
    </row>
    <row r="57" spans="1:9">
      <c r="A57" s="22" t="str">
        <f>HYPERLINK("https://app.vivvix.com/360/KMI/IntelliDrive/ApplUI/Pages/CreativePages/CustomReportCreativeDetail.aspx?App=23&amp;ReportView=4&amp;Qid=1711245&amp;Row=49&amp;Col=1","BE ICONIC 30 SEC..")</f>
        <v/>
      </c>
      <c r="B57" s="0" t="s">
        <v>73</v>
      </c>
      <c r="E57" s="0" t="s">
        <v>13</v>
      </c>
      <c r="F57" s="0" t="s">
        <v>14</v>
      </c>
      <c r="G57" s="0" t="s">
        <v>15</v>
      </c>
      <c r="H57" s="5">
        <v>59730.339000</v>
      </c>
    </row>
    <row r="58" spans="1:9">
      <c r="A58" s="22" t="str">
        <f>HYPERLINK("https://app.vivvix.com/360/KMI/IntelliDrive/ApplUI/Pages/CreativePages/CustomReportCreativeDetail.aspx?App=23&amp;ReportView=4&amp;Qid=1711245&amp;Row=50&amp;Col=1","BE ICONIC 30 SEC..")</f>
        <v/>
      </c>
      <c r="B58" s="0" t="s">
        <v>73</v>
      </c>
      <c r="E58" s="0" t="s">
        <v>13</v>
      </c>
      <c r="F58" s="0" t="s">
        <v>14</v>
      </c>
      <c r="G58" s="0" t="s">
        <v>15</v>
      </c>
      <c r="H58" s="5">
        <v>516499.186000</v>
      </c>
    </row>
    <row r="59" spans="1:9">
      <c r="A59" s="22" t="str">
        <f>HYPERLINK("https://app.vivvix.com/360/KMI/IntelliDrive/ApplUI/Pages/CreativePages/CustomReportCreativeDetail.aspx?App=23&amp;ReportView=4&amp;Qid=1711245&amp;Row=51&amp;Col=1","be iconic....")</f>
        <v/>
      </c>
      <c r="B59" s="0" t="s">
        <v>74</v>
      </c>
      <c r="C59" s="0" t="s">
        <v>75</v>
      </c>
      <c r="D59" s="0" t="s">
        <v>75</v>
      </c>
      <c r="E59" s="0" t="s">
        <v>13</v>
      </c>
      <c r="F59" s="0" t="s">
        <v>14</v>
      </c>
      <c r="G59" s="0" t="s">
        <v>15</v>
      </c>
      <c r="H59" s="5">
        <v>13132.511000</v>
      </c>
    </row>
    <row r="60" spans="1:9">
      <c r="A60" s="22" t="str">
        <f>HYPERLINK("https://app.vivvix.com/360/KMI/IntelliDrive/ApplUI/Pages/CreativePages/CustomReportCreativeDetail.aspx?App=23&amp;ReportView=4&amp;Qid=1711245&amp;Row=52&amp;Col=1","Best Certified Service")</f>
        <v/>
      </c>
      <c r="B60" s="0" t="s">
        <v>76</v>
      </c>
      <c r="C60" s="0" t="s">
        <v>77</v>
      </c>
      <c r="D60" s="0" t="s">
        <v>77</v>
      </c>
      <c r="E60" s="0" t="s">
        <v>13</v>
      </c>
      <c r="F60" s="0" t="s">
        <v>13</v>
      </c>
      <c r="G60" s="0" t="s">
        <v>78</v>
      </c>
      <c r="H60" s="5">
        <v>18715.788000</v>
      </c>
    </row>
    <row r="61" spans="1:9">
      <c r="A61" s="22" t="str">
        <f>HYPERLINK("https://app.vivvix.com/360/KMI/IntelliDrive/ApplUI/Pages/CreativePages/CustomReportCreativeDetail.aspx?App=23&amp;ReportView=4&amp;Qid=1711245&amp;Row=53&amp;Col=1","Best Certified Service")</f>
        <v/>
      </c>
      <c r="B61" s="0" t="s">
        <v>76</v>
      </c>
      <c r="E61" s="0" t="s">
        <v>13</v>
      </c>
      <c r="F61" s="0" t="s">
        <v>13</v>
      </c>
      <c r="G61" s="0" t="s">
        <v>78</v>
      </c>
      <c r="H61" s="5">
        <v>108854.078000</v>
      </c>
    </row>
    <row r="62" spans="1:9">
      <c r="A62" s="22" t="str">
        <f>HYPERLINK("https://app.vivvix.com/360/KMI/IntelliDrive/ApplUI/Pages/CreativePages/CustomReportCreativeDetail.aspx?App=23&amp;ReportView=4&amp;Qid=1711245&amp;Row=54&amp;Col=1","Best Driving Experience")</f>
        <v/>
      </c>
      <c r="B62" s="0" t="s">
        <v>79</v>
      </c>
      <c r="C62" s="0" t="s">
        <v>80</v>
      </c>
      <c r="D62" s="0" t="s">
        <v>80</v>
      </c>
      <c r="E62" s="0" t="s">
        <v>13</v>
      </c>
      <c r="F62" s="0" t="s">
        <v>28</v>
      </c>
      <c r="G62" s="0" t="s">
        <v>29</v>
      </c>
      <c r="H62" s="5">
        <v>3.000000</v>
      </c>
    </row>
    <row r="63" spans="1:9">
      <c r="A63" s="22" t="str">
        <f>HYPERLINK("https://app.vivvix.com/360/KMI/IntelliDrive/ApplUI/Pages/CreativePages/CustomReportCreativeDetail.aspx?App=23&amp;ReportView=4&amp;Qid=1711245&amp;Row=55&amp;Col=1","Best Electric SUV Ever")</f>
        <v/>
      </c>
      <c r="B63" s="0" t="s">
        <v>81</v>
      </c>
      <c r="E63" s="0" t="s">
        <v>13</v>
      </c>
      <c r="F63" s="0" t="s">
        <v>14</v>
      </c>
      <c r="G63" s="0" t="s">
        <v>15</v>
      </c>
      <c r="H63" s="5">
        <v>20093.391000</v>
      </c>
    </row>
    <row r="64" spans="1:9">
      <c r="A64" s="22" t="str">
        <f>HYPERLINK("https://app.vivvix.com/360/KMI/IntelliDrive/ApplUI/Pages/CreativePages/CustomReportCreativeDetail.aspx?App=23&amp;ReportView=4&amp;Qid=1711245&amp;Row=56&amp;Col=1","Best Electric SUV Ever")</f>
        <v/>
      </c>
      <c r="B64" s="0" t="s">
        <v>81</v>
      </c>
      <c r="C64" s="0" t="s">
        <v>82</v>
      </c>
      <c r="D64" s="0" t="s">
        <v>82</v>
      </c>
      <c r="E64" s="0" t="s">
        <v>13</v>
      </c>
      <c r="F64" s="0" t="s">
        <v>14</v>
      </c>
      <c r="G64" s="0" t="s">
        <v>15</v>
      </c>
      <c r="H64" s="5">
        <v>5854.595000</v>
      </c>
    </row>
    <row r="65" spans="1:9">
      <c r="A65" s="22" t="str">
        <f>HYPERLINK("https://app.vivvix.com/360/KMI/IntelliDrive/ApplUI/Pages/CreativePages/CustomReportCreativeDetail.aspx?App=23&amp;ReportView=4&amp;Qid=1711245&amp;Row=57&amp;Col=1","Best Model")</f>
        <v/>
      </c>
      <c r="B65" s="0" t="s">
        <v>83</v>
      </c>
      <c r="C65" s="0" t="s">
        <v>84</v>
      </c>
      <c r="D65" s="0" t="s">
        <v>84</v>
      </c>
      <c r="E65" s="0" t="s">
        <v>13</v>
      </c>
      <c r="F65" s="0" t="s">
        <v>13</v>
      </c>
      <c r="G65" s="0" t="s">
        <v>85</v>
      </c>
      <c r="H65" s="5">
        <v>66980.969000</v>
      </c>
    </row>
    <row r="66" spans="1:9">
      <c r="A66" s="22" t="str">
        <f>HYPERLINK("https://app.vivvix.com/360/KMI/IntelliDrive/ApplUI/Pages/CreativePages/CustomReportCreativeDetail.aspx?App=23&amp;ReportView=4&amp;Qid=1711245&amp;Row=58&amp;Col=1","BOLDNESS IN BLOOM")</f>
        <v/>
      </c>
      <c r="B66" s="0" t="s">
        <v>86</v>
      </c>
      <c r="C66" s="0" t="s">
        <v>87</v>
      </c>
      <c r="D66" s="0" t="s">
        <v>87</v>
      </c>
      <c r="E66" s="0" t="s">
        <v>13</v>
      </c>
      <c r="F66" s="0" t="s">
        <v>14</v>
      </c>
      <c r="G66" s="0" t="s">
        <v>15</v>
      </c>
      <c r="H66" s="5">
        <v>159066.000000</v>
      </c>
    </row>
    <row r="67" spans="1:9">
      <c r="A67" s="22" t="str">
        <f>HYPERLINK("https://app.vivvix.com/360/KMI/IntelliDrive/ApplUI/Pages/CreativePages/CustomReportCreativeDetail.aspx?App=23&amp;ReportView=4&amp;Qid=1711245&amp;Row=59&amp;Col=1","BOLDNESS IN BLOOM")</f>
        <v/>
      </c>
      <c r="B67" s="0" t="s">
        <v>86</v>
      </c>
      <c r="C67" s="0" t="s">
        <v>87</v>
      </c>
      <c r="D67" s="0" t="s">
        <v>87</v>
      </c>
      <c r="E67" s="0" t="s">
        <v>13</v>
      </c>
      <c r="F67" s="0" t="s">
        <v>14</v>
      </c>
      <c r="G67" s="0" t="s">
        <v>15</v>
      </c>
      <c r="H67" s="5">
        <v>3212.000000</v>
      </c>
    </row>
    <row r="68" spans="1:9">
      <c r="A68" s="22" t="str">
        <f>HYPERLINK("https://app.vivvix.com/360/KMI/IntelliDrive/ApplUI/Pages/CreativePages/CustomReportCreativeDetail.aspx?App=23&amp;ReportView=4&amp;Qid=1711245&amp;Row=60&amp;Col=1","boldness in bloom")</f>
        <v/>
      </c>
      <c r="B68" s="0" t="s">
        <v>88</v>
      </c>
      <c r="E68" s="0" t="s">
        <v>13</v>
      </c>
      <c r="F68" s="0" t="s">
        <v>17</v>
      </c>
      <c r="G68" s="0" t="s">
        <v>18</v>
      </c>
      <c r="H68" s="5">
        <v>17098.000000</v>
      </c>
    </row>
    <row r="69" spans="1:9">
      <c r="A69" s="22" t="str">
        <f>HYPERLINK("https://app.vivvix.com/360/KMI/IntelliDrive/ApplUI/Pages/CreativePages/CustomReportCreativeDetail.aspx?App=23&amp;ReportView=4&amp;Qid=1711245&amp;Row=61&amp;Col=1","boldness in bloom")</f>
        <v/>
      </c>
      <c r="B69" s="0" t="s">
        <v>89</v>
      </c>
      <c r="C69" s="0" t="s">
        <v>90</v>
      </c>
      <c r="D69" s="0" t="s">
        <v>90</v>
      </c>
      <c r="E69" s="0" t="s">
        <v>13</v>
      </c>
      <c r="F69" s="0" t="s">
        <v>14</v>
      </c>
      <c r="G69" s="0" t="s">
        <v>91</v>
      </c>
      <c r="H69" s="5">
        <v>7499.000000</v>
      </c>
    </row>
    <row r="70" spans="1:9">
      <c r="A70" s="22" t="str">
        <f>HYPERLINK("https://app.vivvix.com/360/KMI/IntelliDrive/ApplUI/Pages/CreativePages/CustomReportCreativeDetail.aspx?App=23&amp;ReportView=4&amp;Qid=1711245&amp;Row=62&amp;Col=1","Boldness In Bloom")</f>
        <v/>
      </c>
      <c r="B70" s="0" t="s">
        <v>92</v>
      </c>
      <c r="C70" s="0" t="s">
        <v>93</v>
      </c>
      <c r="D70" s="0" t="s">
        <v>93</v>
      </c>
      <c r="E70" s="0" t="s">
        <v>13</v>
      </c>
      <c r="F70" s="0" t="s">
        <v>28</v>
      </c>
      <c r="G70" s="0" t="s">
        <v>29</v>
      </c>
      <c r="H70" s="5">
        <v>1984.000000</v>
      </c>
    </row>
    <row r="71" spans="1:9">
      <c r="A71" s="22" t="str">
        <f>HYPERLINK("https://app.vivvix.com/360/KMI/IntelliDrive/ApplUI/Pages/CreativePages/CustomReportCreativeDetail.aspx?App=23&amp;ReportView=4&amp;Qid=1711245&amp;Row=63&amp;Col=1","Boldness in Bloom")</f>
        <v/>
      </c>
      <c r="B71" s="0" t="s">
        <v>94</v>
      </c>
      <c r="C71" s="0" t="s">
        <v>95</v>
      </c>
      <c r="D71" s="0" t="s">
        <v>95</v>
      </c>
      <c r="E71" s="0" t="s">
        <v>13</v>
      </c>
      <c r="F71" s="0" t="s">
        <v>14</v>
      </c>
      <c r="G71" s="0" t="s">
        <v>22</v>
      </c>
      <c r="H71" s="5">
        <v>41130.000000</v>
      </c>
    </row>
    <row r="72" spans="1:9">
      <c r="A72" s="22" t="str">
        <f>HYPERLINK("https://app.vivvix.com/360/KMI/IntelliDrive/ApplUI/Pages/CreativePages/CustomReportCreativeDetail.aspx?App=23&amp;ReportView=4&amp;Qid=1711245&amp;Row=64&amp;Col=1","BOLDNESS IN BLOOM 30 SEC.")</f>
        <v/>
      </c>
      <c r="B72" s="0" t="s">
        <v>96</v>
      </c>
      <c r="C72" s="0" t="s">
        <v>97</v>
      </c>
      <c r="D72" s="0" t="s">
        <v>97</v>
      </c>
      <c r="E72" s="0" t="s">
        <v>13</v>
      </c>
      <c r="F72" s="0" t="s">
        <v>17</v>
      </c>
      <c r="G72" s="0" t="s">
        <v>18</v>
      </c>
      <c r="H72" s="5">
        <v>18124.115000</v>
      </c>
    </row>
    <row r="73" spans="1:9">
      <c r="A73" s="22" t="str">
        <f>HYPERLINK("https://app.vivvix.com/360/KMI/IntelliDrive/ApplUI/Pages/CreativePages/CustomReportCreativeDetail.aspx?App=23&amp;ReportView=4&amp;Qid=1711245&amp;Row=65&amp;Col=1","Born to Rule")</f>
        <v/>
      </c>
      <c r="B73" s="0" t="s">
        <v>98</v>
      </c>
      <c r="C73" s="0" t="s">
        <v>99</v>
      </c>
      <c r="D73" s="0" t="s">
        <v>99</v>
      </c>
      <c r="E73" s="0" t="s">
        <v>13</v>
      </c>
      <c r="F73" s="0" t="s">
        <v>13</v>
      </c>
      <c r="G73" s="0" t="s">
        <v>35</v>
      </c>
      <c r="H73" s="5">
        <v>23425.000000</v>
      </c>
    </row>
    <row r="74" spans="1:9">
      <c r="A74" s="22" t="str">
        <f>HYPERLINK("https://app.vivvix.com/360/KMI/IntelliDrive/ApplUI/Pages/CreativePages/CustomReportCreativeDetail.aspx?App=23&amp;ReportView=4&amp;Qid=1711245&amp;Row=66&amp;Col=1","car has fast charging capability")</f>
        <v/>
      </c>
      <c r="B74" s="0" t="s">
        <v>100</v>
      </c>
      <c r="E74" s="0" t="s">
        <v>13</v>
      </c>
      <c r="F74" s="0" t="s">
        <v>14</v>
      </c>
      <c r="G74" s="0" t="s">
        <v>15</v>
      </c>
      <c r="H74" s="5">
        <v>180378.502000</v>
      </c>
    </row>
    <row r="75" spans="1:9">
      <c r="A75" s="22" t="str">
        <f>HYPERLINK("https://app.vivvix.com/360/KMI/IntelliDrive/ApplUI/Pages/CreativePages/CustomReportCreativeDetail.aspx?App=23&amp;ReportView=4&amp;Qid=1711245&amp;Row=67&amp;Col=1","car has fast charging capability")</f>
        <v/>
      </c>
      <c r="B75" s="0" t="s">
        <v>100</v>
      </c>
      <c r="E75" s="0" t="s">
        <v>13</v>
      </c>
      <c r="F75" s="0" t="s">
        <v>14</v>
      </c>
      <c r="G75" s="0" t="s">
        <v>15</v>
      </c>
      <c r="H75" s="5">
        <v>119711.548000</v>
      </c>
    </row>
    <row r="76" spans="1:9">
      <c r="A76" s="22" t="str">
        <f>HYPERLINK("https://app.vivvix.com/360/KMI/IntelliDrive/ApplUI/Pages/CreativePages/CustomReportCreativeDetail.aspx?App=23&amp;ReportView=4&amp;Qid=1711245&amp;Row=68&amp;Col=1","Car Is Being Driven On Road")</f>
        <v/>
      </c>
      <c r="B76" s="0" t="s">
        <v>101</v>
      </c>
      <c r="C76" s="0" t="s">
        <v>102</v>
      </c>
      <c r="D76" s="0" t="s">
        <v>102</v>
      </c>
      <c r="E76" s="0" t="s">
        <v>13</v>
      </c>
      <c r="F76" s="0" t="s">
        <v>14</v>
      </c>
      <c r="G76" s="0" t="s">
        <v>103</v>
      </c>
      <c r="H76" s="5">
        <v>31084.000000</v>
      </c>
    </row>
    <row r="77" spans="1:9">
      <c r="A77" s="22" t="str">
        <f>HYPERLINK("https://app.vivvix.com/360/KMI/IntelliDrive/ApplUI/Pages/CreativePages/CustomReportCreativeDetail.aspx?App=23&amp;ReportView=4&amp;Qid=1711245&amp;Row=69&amp;Col=1","Car Is Being Driven On Road")</f>
        <v/>
      </c>
      <c r="B77" s="0" t="s">
        <v>104</v>
      </c>
      <c r="C77" s="0" t="s">
        <v>105</v>
      </c>
      <c r="D77" s="0" t="s">
        <v>105</v>
      </c>
      <c r="E77" s="0" t="s">
        <v>13</v>
      </c>
      <c r="F77" s="0" t="s">
        <v>106</v>
      </c>
      <c r="G77" s="0" t="s">
        <v>107</v>
      </c>
      <c r="H77" s="5">
        <v>1301037.000000</v>
      </c>
    </row>
    <row r="78" spans="1:9">
      <c r="A78" s="22" t="str">
        <f>HYPERLINK("https://app.vivvix.com/360/KMI/IntelliDrive/ApplUI/Pages/CreativePages/CustomReportCreativeDetail.aspx?App=23&amp;ReportView=4&amp;Qid=1711245&amp;Row=70&amp;Col=1","Car Is Being Driven On Road")</f>
        <v/>
      </c>
      <c r="B78" s="0" t="s">
        <v>104</v>
      </c>
      <c r="C78" s="0" t="s">
        <v>105</v>
      </c>
      <c r="D78" s="0" t="s">
        <v>105</v>
      </c>
      <c r="E78" s="0" t="s">
        <v>13</v>
      </c>
      <c r="F78" s="0" t="s">
        <v>106</v>
      </c>
      <c r="G78" s="0" t="s">
        <v>107</v>
      </c>
      <c r="H78" s="5">
        <v>47256.000000</v>
      </c>
    </row>
    <row r="79" spans="1:9">
      <c r="A79" s="22" t="str">
        <f>HYPERLINK("https://app.vivvix.com/360/KMI/IntelliDrive/ApplUI/Pages/CreativePages/CustomReportCreativeDetail.aspx?App=23&amp;ReportView=4&amp;Qid=1711245&amp;Row=71&amp;Col=1","Car Is Being Driven On Road")</f>
        <v/>
      </c>
      <c r="B79" s="0" t="s">
        <v>104</v>
      </c>
      <c r="C79" s="0" t="s">
        <v>105</v>
      </c>
      <c r="D79" s="0" t="s">
        <v>105</v>
      </c>
      <c r="E79" s="0" t="s">
        <v>13</v>
      </c>
      <c r="F79" s="0" t="s">
        <v>106</v>
      </c>
      <c r="G79" s="0" t="s">
        <v>107</v>
      </c>
      <c r="H79" s="5">
        <v>2961.000000</v>
      </c>
    </row>
    <row r="80" spans="1:9">
      <c r="A80" s="22" t="str">
        <f>HYPERLINK("https://app.vivvix.com/360/KMI/IntelliDrive/ApplUI/Pages/CreativePages/CustomReportCreativeDetail.aspx?App=23&amp;ReportView=4&amp;Qid=1711245&amp;Row=72&amp;Col=1","Car Is Being Driven On Road")</f>
        <v/>
      </c>
      <c r="B80" s="0" t="s">
        <v>104</v>
      </c>
      <c r="C80" s="0" t="s">
        <v>105</v>
      </c>
      <c r="D80" s="0" t="s">
        <v>105</v>
      </c>
      <c r="E80" s="0" t="s">
        <v>13</v>
      </c>
      <c r="F80" s="0" t="s">
        <v>106</v>
      </c>
      <c r="G80" s="0" t="s">
        <v>107</v>
      </c>
      <c r="H80" s="5">
        <v>2091.000000</v>
      </c>
    </row>
    <row r="81" spans="1:9">
      <c r="A81" s="22" t="str">
        <f>HYPERLINK("https://app.vivvix.com/360/KMI/IntelliDrive/ApplUI/Pages/CreativePages/CustomReportCreativeDetail.aspx?App=23&amp;ReportView=4&amp;Qid=1711245&amp;Row=73&amp;Col=1","Cars Are Being Driven On Road")</f>
        <v/>
      </c>
      <c r="B81" s="0" t="s">
        <v>108</v>
      </c>
      <c r="C81" s="0" t="s">
        <v>109</v>
      </c>
      <c r="D81" s="0" t="s">
        <v>109</v>
      </c>
      <c r="E81" s="0" t="s">
        <v>13</v>
      </c>
      <c r="F81" s="0" t="s">
        <v>28</v>
      </c>
      <c r="G81" s="0" t="s">
        <v>110</v>
      </c>
      <c r="H81" s="5">
        <v>79561.000000</v>
      </c>
    </row>
    <row r="82" spans="1:9">
      <c r="A82" s="22" t="str">
        <f>HYPERLINK("https://app.vivvix.com/360/KMI/IntelliDrive/ApplUI/Pages/CreativePages/CustomReportCreativeDetail.aspx?App=23&amp;ReportView=4&amp;Qid=1711245&amp;Row=74&amp;Col=1","Cars Are Racing")</f>
        <v/>
      </c>
      <c r="B82" s="0" t="s">
        <v>111</v>
      </c>
      <c r="E82" s="0" t="s">
        <v>13</v>
      </c>
      <c r="F82" s="0" t="s">
        <v>13</v>
      </c>
      <c r="G82" s="0" t="s">
        <v>35</v>
      </c>
      <c r="H82" s="5">
        <v>24166.000000</v>
      </c>
    </row>
    <row r="83" spans="1:9">
      <c r="A83" s="22" t="str">
        <f>HYPERLINK("https://app.vivvix.com/360/KMI/IntelliDrive/ApplUI/Pages/CreativePages/CustomReportCreativeDetail.aspx?App=23&amp;ReportView=4&amp;Qid=1711245&amp;Row=75&amp;Col=1","Check Now")</f>
        <v/>
      </c>
      <c r="B83" s="0" t="s">
        <v>112</v>
      </c>
      <c r="C83" s="0" t="s">
        <v>113</v>
      </c>
      <c r="D83" s="0" t="s">
        <v>113</v>
      </c>
      <c r="E83" s="0" t="s">
        <v>13</v>
      </c>
      <c r="F83" s="0" t="s">
        <v>13</v>
      </c>
      <c r="G83" s="0" t="s">
        <v>54</v>
      </c>
      <c r="H83" s="5">
        <v>143170.764000</v>
      </c>
    </row>
    <row r="84" spans="1:9">
      <c r="A84" s="22" t="str">
        <f>HYPERLINK("https://app.vivvix.com/360/KMI/IntelliDrive/ApplUI/Pages/CreativePages/CustomReportCreativeDetail.aspx?App=23&amp;ReportView=4&amp;Qid=1711245&amp;Row=76&amp;Col=1","Christmas Lights Drive Through Event")</f>
        <v/>
      </c>
      <c r="B84" s="0" t="s">
        <v>114</v>
      </c>
      <c r="C84" s="0" t="s">
        <v>115</v>
      </c>
      <c r="D84" s="0" t="s">
        <v>115</v>
      </c>
      <c r="E84" s="0" t="s">
        <v>13</v>
      </c>
      <c r="F84" s="0" t="s">
        <v>14</v>
      </c>
      <c r="G84" s="0" t="s">
        <v>116</v>
      </c>
      <c r="H84" s="5">
        <v>2706.000000</v>
      </c>
    </row>
    <row r="85" spans="1:9">
      <c r="A85" s="22" t="str">
        <f>HYPERLINK("https://app.vivvix.com/360/KMI/IntelliDrive/ApplUI/Pages/CreativePages/CustomReportCreativeDetail.aspx?App=23&amp;ReportView=4&amp;Qid=1711245&amp;Row=77&amp;Col=1","Couple Shares Their Story")</f>
        <v/>
      </c>
      <c r="B85" s="0" t="s">
        <v>117</v>
      </c>
      <c r="E85" s="0" t="s">
        <v>13</v>
      </c>
      <c r="F85" s="0" t="s">
        <v>118</v>
      </c>
      <c r="G85" s="0" t="s">
        <v>119</v>
      </c>
      <c r="H85" s="5">
        <v>28277.000000</v>
      </c>
    </row>
    <row r="86" spans="1:9">
      <c r="A86" s="0" t="s">
        <v>120</v>
      </c>
      <c r="E86" s="0" t="s">
        <v>13</v>
      </c>
      <c r="F86" s="0" t="s">
        <v>13</v>
      </c>
      <c r="G86" s="0" t="s">
        <v>121</v>
      </c>
      <c r="H86" s="5">
        <v>138431.000000</v>
      </c>
    </row>
    <row r="87" spans="1:9">
      <c r="A87" s="0" t="s">
        <v>120</v>
      </c>
      <c r="E87" s="0" t="s">
        <v>13</v>
      </c>
      <c r="F87" s="0" t="s">
        <v>13</v>
      </c>
      <c r="G87" s="0" t="s">
        <v>35</v>
      </c>
      <c r="H87" s="5">
        <v>56497.000000</v>
      </c>
    </row>
    <row r="88" spans="1:9">
      <c r="A88" s="0" t="s">
        <v>120</v>
      </c>
      <c r="E88" s="0" t="s">
        <v>13</v>
      </c>
      <c r="F88" s="0" t="s">
        <v>13</v>
      </c>
      <c r="G88" s="0" t="s">
        <v>122</v>
      </c>
      <c r="H88" s="5">
        <v>95112.000000</v>
      </c>
    </row>
    <row r="89" spans="1:9">
      <c r="A89" s="0" t="s">
        <v>120</v>
      </c>
      <c r="E89" s="0" t="s">
        <v>13</v>
      </c>
      <c r="F89" s="0" t="s">
        <v>14</v>
      </c>
      <c r="G89" s="0" t="s">
        <v>15</v>
      </c>
      <c r="H89" s="5">
        <v>16158.000000</v>
      </c>
    </row>
    <row r="90" spans="1:9">
      <c r="A90" s="0" t="s">
        <v>120</v>
      </c>
      <c r="E90" s="0" t="s">
        <v>13</v>
      </c>
      <c r="F90" s="0" t="s">
        <v>14</v>
      </c>
      <c r="G90" s="0" t="s">
        <v>103</v>
      </c>
      <c r="H90" s="5">
        <v>8.000000</v>
      </c>
    </row>
    <row r="91" spans="1:9">
      <c r="A91" s="0" t="s">
        <v>120</v>
      </c>
      <c r="E91" s="0" t="s">
        <v>13</v>
      </c>
      <c r="F91" s="0" t="s">
        <v>14</v>
      </c>
      <c r="G91" s="0" t="s">
        <v>22</v>
      </c>
      <c r="H91" s="5">
        <v>438.000000</v>
      </c>
    </row>
    <row r="92" spans="1:9">
      <c r="A92" s="0" t="s">
        <v>120</v>
      </c>
      <c r="E92" s="0" t="s">
        <v>13</v>
      </c>
      <c r="F92" s="0" t="s">
        <v>14</v>
      </c>
      <c r="G92" s="0" t="s">
        <v>62</v>
      </c>
      <c r="H92" s="5">
        <v>1464.000000</v>
      </c>
    </row>
    <row r="93" spans="1:9">
      <c r="A93" s="22" t="str">
        <f>HYPERLINK("https://app.vivvix.com/360/KMI/IntelliDrive/ApplUI/Pages/CreativePages/CustomReportCreativeDetail.aspx?App=23&amp;ReportView=4&amp;Qid=1711245&amp;Row=85&amp;Col=1","Current Owner And Lessees Offer")</f>
        <v/>
      </c>
      <c r="B93" s="0" t="s">
        <v>123</v>
      </c>
      <c r="C93" s="0" t="s">
        <v>124</v>
      </c>
      <c r="D93" s="0" t="s">
        <v>124</v>
      </c>
      <c r="E93" s="0" t="s">
        <v>13</v>
      </c>
      <c r="F93" s="0" t="s">
        <v>106</v>
      </c>
      <c r="G93" s="0" t="s">
        <v>107</v>
      </c>
      <c r="H93" s="5">
        <v>38581.326000</v>
      </c>
    </row>
    <row r="94" spans="1:9">
      <c r="A94" s="22" t="str">
        <f>HYPERLINK("https://app.vivvix.com/360/KMI/IntelliDrive/ApplUI/Pages/CreativePages/CustomReportCreativeDetail.aspx?App=23&amp;ReportView=4&amp;Qid=1711245&amp;Row=86&amp;Col=1","Current Owner And Lessees Offer")</f>
        <v/>
      </c>
      <c r="B94" s="0" t="s">
        <v>123</v>
      </c>
      <c r="E94" s="0" t="s">
        <v>13</v>
      </c>
      <c r="F94" s="0" t="s">
        <v>106</v>
      </c>
      <c r="G94" s="0" t="s">
        <v>107</v>
      </c>
      <c r="H94" s="5">
        <v>312141.117000</v>
      </c>
    </row>
    <row r="95" spans="1:9">
      <c r="A95" s="22" t="str">
        <f>HYPERLINK("https://app.vivvix.com/360/KMI/IntelliDrive/ApplUI/Pages/CreativePages/CustomReportCreativeDetail.aspx?App=23&amp;ReportView=4&amp;Qid=1711245&amp;Row=87&amp;Col=1","Drive in Amazing Style/$399")</f>
        <v/>
      </c>
      <c r="B95" s="0" t="s">
        <v>125</v>
      </c>
      <c r="C95" s="0" t="s">
        <v>126</v>
      </c>
      <c r="D95" s="0" t="s">
        <v>127</v>
      </c>
      <c r="E95" s="0" t="s">
        <v>13</v>
      </c>
      <c r="F95" s="0" t="s">
        <v>128</v>
      </c>
      <c r="G95" s="0" t="s">
        <v>129</v>
      </c>
      <c r="H95" s="5">
        <v>5825.000000</v>
      </c>
    </row>
    <row r="96" spans="1:9">
      <c r="A96" s="22" t="str">
        <f>HYPERLINK("https://app.vivvix.com/360/KMI/IntelliDrive/ApplUI/Pages/CreativePages/CustomReportCreativeDetail.aspx?App=23&amp;ReportView=4&amp;Qid=1711245&amp;Row=88&amp;Col=1","Drive Safe")</f>
        <v/>
      </c>
      <c r="B96" s="0" t="s">
        <v>130</v>
      </c>
      <c r="C96" s="0" t="s">
        <v>131</v>
      </c>
      <c r="D96" s="0" t="s">
        <v>131</v>
      </c>
      <c r="E96" s="0" t="s">
        <v>13</v>
      </c>
      <c r="F96" s="0" t="s">
        <v>14</v>
      </c>
      <c r="G96" s="0" t="s">
        <v>15</v>
      </c>
      <c r="H96" s="5">
        <v>145314.880000</v>
      </c>
    </row>
    <row r="97" spans="1:9">
      <c r="A97" s="22" t="str">
        <f>HYPERLINK("https://app.vivvix.com/360/KMI/IntelliDrive/ApplUI/Pages/CreativePages/CustomReportCreativeDetail.aspx?App=23&amp;ReportView=4&amp;Qid=1711245&amp;Row=89&amp;Col=1","Drive The All-Electric Cadillac Lyriq")</f>
        <v/>
      </c>
      <c r="B97" s="0" t="s">
        <v>132</v>
      </c>
      <c r="C97" s="0" t="s">
        <v>133</v>
      </c>
      <c r="D97" s="0" t="s">
        <v>133</v>
      </c>
      <c r="E97" s="0" t="s">
        <v>13</v>
      </c>
      <c r="F97" s="0" t="s">
        <v>14</v>
      </c>
      <c r="G97" s="0" t="s">
        <v>15</v>
      </c>
      <c r="H97" s="5">
        <v>187763.600000</v>
      </c>
    </row>
    <row r="98" spans="1:9">
      <c r="A98" s="22" t="str">
        <f>HYPERLINK("https://app.vivvix.com/360/KMI/IntelliDrive/ApplUI/Pages/CreativePages/CustomReportCreativeDetail.aspx?App=23&amp;ReportView=4&amp;Qid=1711245&amp;Row=90&amp;Col=1","Drive The All-Electric car.")</f>
        <v/>
      </c>
      <c r="B98" s="0" t="s">
        <v>134</v>
      </c>
      <c r="E98" s="0" t="s">
        <v>13</v>
      </c>
      <c r="F98" s="0" t="s">
        <v>14</v>
      </c>
      <c r="G98" s="0" t="s">
        <v>15</v>
      </c>
      <c r="H98" s="5">
        <v>1210.944000</v>
      </c>
    </row>
    <row r="99" spans="1:9">
      <c r="A99" s="22" t="str">
        <f>HYPERLINK("https://app.vivvix.com/360/KMI/IntelliDrive/ApplUI/Pages/CreativePages/CustomReportCreativeDetail.aspx?App=23&amp;ReportView=4&amp;Qid=1711245&amp;Row=91&amp;Col=1","Drive The All-Electric car.")</f>
        <v/>
      </c>
      <c r="B99" s="0" t="s">
        <v>134</v>
      </c>
      <c r="E99" s="0" t="s">
        <v>13</v>
      </c>
      <c r="F99" s="0" t="s">
        <v>14</v>
      </c>
      <c r="G99" s="0" t="s">
        <v>15</v>
      </c>
      <c r="H99" s="5">
        <v>7568.472000</v>
      </c>
    </row>
    <row r="100" spans="1:9">
      <c r="A100" s="22" t="str">
        <f>HYPERLINK("https://app.vivvix.com/360/KMI/IntelliDrive/ApplUI/Pages/CreativePages/CustomReportCreativeDetail.aspx?App=23&amp;ReportView=4&amp;Qid=1711245&amp;Row=92&amp;Col=1","Drive The Best Car")</f>
        <v/>
      </c>
      <c r="B100" s="0" t="s">
        <v>135</v>
      </c>
      <c r="C100" s="0" t="s">
        <v>136</v>
      </c>
      <c r="D100" s="0" t="s">
        <v>136</v>
      </c>
      <c r="E100" s="0" t="s">
        <v>13</v>
      </c>
      <c r="F100" s="0" t="s">
        <v>28</v>
      </c>
      <c r="G100" s="0" t="s">
        <v>137</v>
      </c>
      <c r="H100" s="5">
        <v>8984.000000</v>
      </c>
    </row>
    <row r="101" spans="1:9">
      <c r="A101" s="22" t="str">
        <f>HYPERLINK("https://app.vivvix.com/360/KMI/IntelliDrive/ApplUI/Pages/CreativePages/CustomReportCreativeDetail.aspx?App=23&amp;ReportView=4&amp;Qid=1711245&amp;Row=93&amp;Col=1","Drive The Luxury")</f>
        <v/>
      </c>
      <c r="B101" s="0" t="s">
        <v>138</v>
      </c>
      <c r="C101" s="0" t="s">
        <v>139</v>
      </c>
      <c r="D101" s="0" t="s">
        <v>139</v>
      </c>
      <c r="E101" s="0" t="s">
        <v>13</v>
      </c>
      <c r="F101" s="0" t="s">
        <v>14</v>
      </c>
      <c r="G101" s="0" t="s">
        <v>15</v>
      </c>
      <c r="H101" s="5">
        <v>168371.000000</v>
      </c>
    </row>
    <row r="102" spans="1:9">
      <c r="A102" s="22" t="str">
        <f>HYPERLINK("https://app.vivvix.com/360/KMI/IntelliDrive/ApplUI/Pages/CreativePages/CustomReportCreativeDetail.aspx?App=23&amp;ReportView=4&amp;Qid=1711245&amp;Row=94&amp;Col=1","Drive The Luxury")</f>
        <v/>
      </c>
      <c r="B102" s="0" t="s">
        <v>138</v>
      </c>
      <c r="C102" s="0" t="s">
        <v>139</v>
      </c>
      <c r="D102" s="0" t="s">
        <v>139</v>
      </c>
      <c r="E102" s="0" t="s">
        <v>13</v>
      </c>
      <c r="F102" s="0" t="s">
        <v>14</v>
      </c>
      <c r="G102" s="0" t="s">
        <v>15</v>
      </c>
      <c r="H102" s="5">
        <v>87.000000</v>
      </c>
    </row>
    <row r="103" spans="1:9">
      <c r="A103" s="22" t="str">
        <f>HYPERLINK("https://app.vivvix.com/360/KMI/IntelliDrive/ApplUI/Pages/CreativePages/CustomReportCreativeDetail.aspx?App=23&amp;ReportView=4&amp;Qid=1711245&amp;Row=95&amp;Col=1","Drive To Be Iconic")</f>
        <v/>
      </c>
      <c r="B103" s="0" t="s">
        <v>140</v>
      </c>
      <c r="E103" s="0" t="s">
        <v>13</v>
      </c>
      <c r="F103" s="0" t="s">
        <v>106</v>
      </c>
      <c r="G103" s="0" t="s">
        <v>107</v>
      </c>
      <c r="H103" s="5">
        <v>114940.913000</v>
      </c>
    </row>
    <row r="104" spans="1:9">
      <c r="A104" s="22" t="str">
        <f>HYPERLINK("https://app.vivvix.com/360/KMI/IntelliDrive/ApplUI/Pages/CreativePages/CustomReportCreativeDetail.aspx?App=23&amp;ReportView=4&amp;Qid=1711245&amp;Row=96&amp;Col=1","Drive To Be Iconic")</f>
        <v/>
      </c>
      <c r="B104" s="0" t="s">
        <v>140</v>
      </c>
      <c r="E104" s="0" t="s">
        <v>13</v>
      </c>
      <c r="F104" s="0" t="s">
        <v>106</v>
      </c>
      <c r="G104" s="0" t="s">
        <v>107</v>
      </c>
      <c r="H104" s="5">
        <v>397138.451000</v>
      </c>
    </row>
    <row r="105" spans="1:9">
      <c r="A105" s="22" t="str">
        <f>HYPERLINK("https://app.vivvix.com/360/KMI/IntelliDrive/ApplUI/Pages/CreativePages/CustomReportCreativeDetail.aspx?App=23&amp;ReportView=4&amp;Qid=1711245&amp;Row=97&amp;Col=1","Drive To Be Iconic")</f>
        <v/>
      </c>
      <c r="B105" s="0" t="s">
        <v>141</v>
      </c>
      <c r="C105" s="0" t="s">
        <v>142</v>
      </c>
      <c r="D105" s="0" t="s">
        <v>142</v>
      </c>
      <c r="E105" s="0" t="s">
        <v>13</v>
      </c>
      <c r="F105" s="0" t="s">
        <v>14</v>
      </c>
      <c r="G105" s="0" t="s">
        <v>15</v>
      </c>
      <c r="H105" s="5">
        <v>1598.874000</v>
      </c>
    </row>
    <row r="106" spans="1:9">
      <c r="A106" s="22" t="str">
        <f>HYPERLINK("https://app.vivvix.com/360/KMI/IntelliDrive/ApplUI/Pages/CreativePages/CustomReportCreativeDetail.aspx?App=23&amp;ReportView=4&amp;Qid=1711245&amp;Row=98&amp;Col=1","ELECTRIFYING SOPHISTICATION")</f>
        <v/>
      </c>
      <c r="B106" s="0" t="s">
        <v>143</v>
      </c>
      <c r="C106" s="0" t="s">
        <v>144</v>
      </c>
      <c r="D106" s="0" t="s">
        <v>144</v>
      </c>
      <c r="E106" s="0" t="s">
        <v>13</v>
      </c>
      <c r="F106" s="0" t="s">
        <v>14</v>
      </c>
      <c r="G106" s="0" t="s">
        <v>15</v>
      </c>
      <c r="H106" s="5">
        <v>43223.000000</v>
      </c>
    </row>
    <row r="107" spans="1:9">
      <c r="A107" s="22" t="str">
        <f>HYPERLINK("https://app.vivvix.com/360/KMI/IntelliDrive/ApplUI/Pages/CreativePages/CustomReportCreativeDetail.aspx?App=23&amp;ReportView=4&amp;Qid=1711245&amp;Row=99&amp;Col=1","ELECTRIFYING SOPHISTICATION")</f>
        <v/>
      </c>
      <c r="B107" s="0" t="s">
        <v>145</v>
      </c>
      <c r="C107" s="0" t="s">
        <v>146</v>
      </c>
      <c r="D107" s="0" t="s">
        <v>146</v>
      </c>
      <c r="E107" s="0" t="s">
        <v>13</v>
      </c>
      <c r="F107" s="0" t="s">
        <v>14</v>
      </c>
      <c r="G107" s="0" t="s">
        <v>15</v>
      </c>
      <c r="H107" s="5">
        <v>71831.000000</v>
      </c>
    </row>
    <row r="108" spans="1:9">
      <c r="A108" s="22" t="str">
        <f>HYPERLINK("https://app.vivvix.com/360/KMI/IntelliDrive/ApplUI/Pages/CreativePages/CustomReportCreativeDetail.aspx?App=23&amp;ReportView=4&amp;Qid=1711245&amp;Row=100&amp;Col=1","Elevating the Real Experience: M. Ortega")</f>
        <v/>
      </c>
      <c r="B108" s="0" t="s">
        <v>147</v>
      </c>
      <c r="C108" s="0" t="s">
        <v>148</v>
      </c>
      <c r="D108" s="0" t="s">
        <v>148</v>
      </c>
      <c r="E108" s="0" t="s">
        <v>13</v>
      </c>
      <c r="F108" s="0" t="s">
        <v>118</v>
      </c>
      <c r="G108" s="0" t="s">
        <v>119</v>
      </c>
      <c r="H108" s="5">
        <v>20038.000000</v>
      </c>
    </row>
    <row r="109" spans="1:9">
      <c r="A109" s="22" t="str">
        <f>HYPERLINK("https://app.vivvix.com/360/KMI/IntelliDrive/ApplUI/Pages/CreativePages/CustomReportCreativeDetail.aspx?App=23&amp;ReportView=4&amp;Qid=1711245&amp;Row=101&amp;Col=1","Embark On Thrilling Adventure")</f>
        <v/>
      </c>
      <c r="B109" s="0" t="s">
        <v>149</v>
      </c>
      <c r="E109" s="0" t="s">
        <v>13</v>
      </c>
      <c r="F109" s="0" t="s">
        <v>14</v>
      </c>
      <c r="G109" s="0" t="s">
        <v>15</v>
      </c>
    </row>
    <row r="110" spans="1:9">
      <c r="A110" s="22" t="str">
        <f>HYPERLINK("https://app.vivvix.com/360/KMI/IntelliDrive/ApplUI/Pages/CreativePages/CustomReportCreativeDetail.aspx?App=23&amp;ReportView=4&amp;Qid=1711245&amp;Row=102&amp;Col=1","Embark On Thrilling Adventure")</f>
        <v/>
      </c>
      <c r="B110" s="0" t="s">
        <v>149</v>
      </c>
      <c r="E110" s="0" t="s">
        <v>13</v>
      </c>
      <c r="F110" s="0" t="s">
        <v>14</v>
      </c>
      <c r="G110" s="0" t="s">
        <v>15</v>
      </c>
    </row>
    <row r="111" spans="1:9">
      <c r="A111" s="22" t="str">
        <f>HYPERLINK("https://app.vivvix.com/360/KMI/IntelliDrive/ApplUI/Pages/CreativePages/CustomReportCreativeDetail.aspx?App=23&amp;ReportView=4&amp;Qid=1711245&amp;Row=103&amp;Col=1","Enjoy Festive Gatherings")</f>
        <v/>
      </c>
      <c r="B111" s="0" t="s">
        <v>150</v>
      </c>
      <c r="C111" s="0" t="s">
        <v>151</v>
      </c>
      <c r="D111" s="0" t="s">
        <v>151</v>
      </c>
      <c r="E111" s="0" t="s">
        <v>13</v>
      </c>
      <c r="F111" s="0" t="s">
        <v>28</v>
      </c>
      <c r="G111" s="0" t="s">
        <v>137</v>
      </c>
      <c r="H111" s="5">
        <v>12.000000</v>
      </c>
    </row>
    <row r="112" spans="1:9">
      <c r="A112" s="22" t="str">
        <f>HYPERLINK("https://app.vivvix.com/360/KMI/IntelliDrive/ApplUI/Pages/CreativePages/CustomReportCreativeDetail.aspx?App=23&amp;ReportView=4&amp;Qid=1711245&amp;Row=104&amp;Col=1","Enjoy Great Deal")</f>
        <v/>
      </c>
      <c r="B112" s="0" t="s">
        <v>152</v>
      </c>
      <c r="C112" s="0" t="s">
        <v>153</v>
      </c>
      <c r="D112" s="0" t="s">
        <v>153</v>
      </c>
      <c r="E112" s="0" t="s">
        <v>13</v>
      </c>
      <c r="F112" s="0" t="s">
        <v>14</v>
      </c>
      <c r="G112" s="0" t="s">
        <v>15</v>
      </c>
      <c r="H112" s="5">
        <v>1735.581000</v>
      </c>
    </row>
    <row r="113" spans="1:9">
      <c r="A113" s="22" t="str">
        <f>HYPERLINK("https://app.vivvix.com/360/KMI/IntelliDrive/ApplUI/Pages/CreativePages/CustomReportCreativeDetail.aspx?App=23&amp;ReportView=4&amp;Qid=1711245&amp;Row=105&amp;Col=1","Enjoy Luxury At A Reasonable Price")</f>
        <v/>
      </c>
      <c r="B113" s="0" t="s">
        <v>154</v>
      </c>
      <c r="C113" s="0" t="s">
        <v>155</v>
      </c>
      <c r="D113" s="0" t="s">
        <v>155</v>
      </c>
      <c r="E113" s="0" t="s">
        <v>13</v>
      </c>
      <c r="F113" s="0" t="s">
        <v>13</v>
      </c>
      <c r="G113" s="0" t="s">
        <v>122</v>
      </c>
      <c r="H113" s="5">
        <v>31489.000000</v>
      </c>
    </row>
    <row r="114" spans="1:9">
      <c r="A114" s="22" t="str">
        <f>HYPERLINK("https://app.vivvix.com/360/KMI/IntelliDrive/ApplUI/Pages/CreativePages/CustomReportCreativeDetail.aspx?App=23&amp;ReportView=4&amp;Qid=1711245&amp;Row=106&amp;Col=1","Enjoy The All Electic Car")</f>
        <v/>
      </c>
      <c r="B114" s="0" t="s">
        <v>156</v>
      </c>
      <c r="C114" s="0" t="s">
        <v>157</v>
      </c>
      <c r="D114" s="0" t="s">
        <v>157</v>
      </c>
      <c r="E114" s="0" t="s">
        <v>13</v>
      </c>
      <c r="F114" s="0" t="s">
        <v>14</v>
      </c>
      <c r="G114" s="0" t="s">
        <v>15</v>
      </c>
      <c r="H114" s="5">
        <v>28775.000000</v>
      </c>
    </row>
    <row r="115" spans="1:9">
      <c r="A115" s="22" t="str">
        <f>HYPERLINK("https://app.vivvix.com/360/KMI/IntelliDrive/ApplUI/Pages/CreativePages/CustomReportCreativeDetail.aspx?App=23&amp;ReportView=4&amp;Qid=1711245&amp;Row=107&amp;Col=1","Enjoy The All Electic Car")</f>
        <v/>
      </c>
      <c r="B115" s="0" t="s">
        <v>156</v>
      </c>
      <c r="C115" s="0" t="s">
        <v>157</v>
      </c>
      <c r="D115" s="0" t="s">
        <v>157</v>
      </c>
      <c r="E115" s="0" t="s">
        <v>13</v>
      </c>
      <c r="F115" s="0" t="s">
        <v>14</v>
      </c>
      <c r="G115" s="0" t="s">
        <v>15</v>
      </c>
      <c r="H115" s="5">
        <v>298.000000</v>
      </c>
    </row>
    <row r="116" spans="1:9">
      <c r="A116" s="22" t="str">
        <f>HYPERLINK("https://app.vivvix.com/360/KMI/IntelliDrive/ApplUI/Pages/CreativePages/CustomReportCreativeDetail.aspx?App=23&amp;ReportView=4&amp;Qid=1711245&amp;Row=108&amp;Col=1","Enjoy The All Electic Car")</f>
        <v/>
      </c>
      <c r="B116" s="0" t="s">
        <v>156</v>
      </c>
      <c r="C116" s="0" t="s">
        <v>157</v>
      </c>
      <c r="D116" s="0" t="s">
        <v>157</v>
      </c>
      <c r="E116" s="0" t="s">
        <v>13</v>
      </c>
      <c r="F116" s="0" t="s">
        <v>14</v>
      </c>
      <c r="G116" s="0" t="s">
        <v>15</v>
      </c>
      <c r="H116" s="5">
        <v>57485.000000</v>
      </c>
    </row>
    <row r="117" spans="1:9">
      <c r="A117" s="22" t="str">
        <f>HYPERLINK("https://app.vivvix.com/360/KMI/IntelliDrive/ApplUI/Pages/CreativePages/CustomReportCreativeDetail.aspx?App=23&amp;ReportView=4&amp;Qid=1711245&amp;Row=109&amp;Col=1","Enjoy the Great Adventures")</f>
        <v/>
      </c>
      <c r="B117" s="0" t="s">
        <v>158</v>
      </c>
      <c r="C117" s="0" t="s">
        <v>159</v>
      </c>
      <c r="D117" s="0" t="s">
        <v>159</v>
      </c>
      <c r="E117" s="0" t="s">
        <v>13</v>
      </c>
      <c r="F117" s="0" t="s">
        <v>28</v>
      </c>
      <c r="G117" s="0" t="s">
        <v>29</v>
      </c>
      <c r="H117" s="5">
        <v>31629.000000</v>
      </c>
    </row>
    <row r="118" spans="1:9">
      <c r="A118" s="22" t="str">
        <f>HYPERLINK("https://app.vivvix.com/360/KMI/IntelliDrive/ApplUI/Pages/CreativePages/CustomReportCreativeDetail.aspx?App=23&amp;ReportView=4&amp;Qid=1711245&amp;Row=110&amp;Col=1","Enjoy the Great Adventures/Legalese")</f>
        <v/>
      </c>
      <c r="B118" s="0" t="s">
        <v>160</v>
      </c>
      <c r="C118" s="0" t="s">
        <v>161</v>
      </c>
      <c r="D118" s="0" t="s">
        <v>159</v>
      </c>
      <c r="E118" s="0" t="s">
        <v>13</v>
      </c>
      <c r="F118" s="0" t="s">
        <v>28</v>
      </c>
      <c r="G118" s="0" t="s">
        <v>29</v>
      </c>
      <c r="H118" s="5">
        <v>39.000000</v>
      </c>
    </row>
    <row r="119" spans="1:9">
      <c r="A119" s="22" t="str">
        <f>HYPERLINK("https://app.vivvix.com/360/KMI/IntelliDrive/ApplUI/Pages/CreativePages/CustomReportCreativeDetail.aspx?App=23&amp;ReportView=4&amp;Qid=1711245&amp;Row=111&amp;Col=1","Enjoy The Great Saving Deals")</f>
        <v/>
      </c>
      <c r="B119" s="0" t="s">
        <v>162</v>
      </c>
      <c r="C119" s="0" t="s">
        <v>163</v>
      </c>
      <c r="D119" s="0" t="s">
        <v>163</v>
      </c>
      <c r="E119" s="0" t="s">
        <v>13</v>
      </c>
      <c r="F119" s="0" t="s">
        <v>14</v>
      </c>
      <c r="G119" s="0" t="s">
        <v>62</v>
      </c>
      <c r="H119" s="5">
        <v>2841.000000</v>
      </c>
    </row>
    <row r="120" spans="1:9">
      <c r="A120" s="22" t="str">
        <f>HYPERLINK("https://app.vivvix.com/360/KMI/IntelliDrive/ApplUI/Pages/CreativePages/CustomReportCreativeDetail.aspx?App=23&amp;ReportView=4&amp;Qid=1711245&amp;Row=112&amp;Col=1","Enjoy The Perfect Holiday Moments")</f>
        <v/>
      </c>
      <c r="B120" s="0" t="s">
        <v>164</v>
      </c>
      <c r="C120" s="0" t="s">
        <v>165</v>
      </c>
      <c r="D120" s="0" t="s">
        <v>165</v>
      </c>
      <c r="E120" s="0" t="s">
        <v>13</v>
      </c>
      <c r="F120" s="0" t="s">
        <v>14</v>
      </c>
      <c r="G120" s="0" t="s">
        <v>62</v>
      </c>
      <c r="H120" s="5">
        <v>1533788.000000</v>
      </c>
    </row>
    <row r="121" spans="1:9">
      <c r="A121" s="22" t="str">
        <f>HYPERLINK("https://app.vivvix.com/360/KMI/IntelliDrive/ApplUI/Pages/CreativePages/CustomReportCreativeDetail.aspx?App=23&amp;ReportView=4&amp;Qid=1711245&amp;Row=113&amp;Col=1","Enjoy The Perfect Holiday Moments")</f>
        <v/>
      </c>
      <c r="B121" s="0" t="s">
        <v>164</v>
      </c>
      <c r="C121" s="0" t="s">
        <v>165</v>
      </c>
      <c r="D121" s="0" t="s">
        <v>165</v>
      </c>
      <c r="E121" s="0" t="s">
        <v>13</v>
      </c>
      <c r="F121" s="0" t="s">
        <v>14</v>
      </c>
      <c r="G121" s="0" t="s">
        <v>62</v>
      </c>
      <c r="H121" s="5">
        <v>33375.000000</v>
      </c>
    </row>
    <row r="122" spans="1:9">
      <c r="A122" s="22" t="str">
        <f>HYPERLINK("https://app.vivvix.com/360/KMI/IntelliDrive/ApplUI/Pages/CreativePages/CustomReportCreativeDetail.aspx?App=23&amp;ReportView=4&amp;Qid=1711245&amp;Row=114&amp;Col=1","Enjoy The Perfect Holiday Moments")</f>
        <v/>
      </c>
      <c r="B122" s="0" t="s">
        <v>164</v>
      </c>
      <c r="C122" s="0" t="s">
        <v>165</v>
      </c>
      <c r="D122" s="0" t="s">
        <v>165</v>
      </c>
      <c r="E122" s="0" t="s">
        <v>13</v>
      </c>
      <c r="F122" s="0" t="s">
        <v>14</v>
      </c>
      <c r="G122" s="0" t="s">
        <v>62</v>
      </c>
      <c r="H122" s="5">
        <v>238478.000000</v>
      </c>
    </row>
    <row r="123" spans="1:9">
      <c r="A123" s="22" t="str">
        <f>HYPERLINK("https://app.vivvix.com/360/KMI/IntelliDrive/ApplUI/Pages/CreativePages/CustomReportCreativeDetail.aspx?App=23&amp;ReportView=4&amp;Qid=1711245&amp;Row=115&amp;Col=1","Enjoy The Perfect Holiday Moments")</f>
        <v/>
      </c>
      <c r="B123" s="0" t="s">
        <v>164</v>
      </c>
      <c r="C123" s="0" t="s">
        <v>165</v>
      </c>
      <c r="D123" s="0" t="s">
        <v>165</v>
      </c>
      <c r="E123" s="0" t="s">
        <v>13</v>
      </c>
      <c r="F123" s="0" t="s">
        <v>14</v>
      </c>
      <c r="G123" s="0" t="s">
        <v>62</v>
      </c>
      <c r="H123" s="5">
        <v>291998.000000</v>
      </c>
    </row>
    <row r="124" spans="1:9">
      <c r="A124" s="22" t="str">
        <f>HYPERLINK("https://app.vivvix.com/360/KMI/IntelliDrive/ApplUI/Pages/CreativePages/CustomReportCreativeDetail.aspx?App=23&amp;ReportView=4&amp;Qid=1711245&amp;Row=116&amp;Col=1","Enjoy The Perfect Holiday Moments")</f>
        <v/>
      </c>
      <c r="B124" s="0" t="s">
        <v>166</v>
      </c>
      <c r="C124" s="0" t="s">
        <v>167</v>
      </c>
      <c r="D124" s="0" t="s">
        <v>167</v>
      </c>
      <c r="E124" s="0" t="s">
        <v>13</v>
      </c>
      <c r="F124" s="0" t="s">
        <v>14</v>
      </c>
      <c r="G124" s="0" t="s">
        <v>62</v>
      </c>
      <c r="H124" s="5">
        <v>1990067.000000</v>
      </c>
    </row>
    <row r="125" spans="1:9">
      <c r="A125" s="22" t="str">
        <f>HYPERLINK("https://app.vivvix.com/360/KMI/IntelliDrive/ApplUI/Pages/CreativePages/CustomReportCreativeDetail.aspx?App=23&amp;ReportView=4&amp;Qid=1711245&amp;Row=117&amp;Col=1","Enjoy The Perfect Holiday Moments")</f>
        <v/>
      </c>
      <c r="B125" s="0" t="s">
        <v>166</v>
      </c>
      <c r="C125" s="0" t="s">
        <v>167</v>
      </c>
      <c r="D125" s="0" t="s">
        <v>167</v>
      </c>
      <c r="E125" s="0" t="s">
        <v>13</v>
      </c>
      <c r="F125" s="0" t="s">
        <v>14</v>
      </c>
      <c r="G125" s="0" t="s">
        <v>62</v>
      </c>
      <c r="H125" s="5">
        <v>25042.000000</v>
      </c>
    </row>
    <row r="126" spans="1:9">
      <c r="A126" s="22" t="str">
        <f>HYPERLINK("https://app.vivvix.com/360/KMI/IntelliDrive/ApplUI/Pages/CreativePages/CustomReportCreativeDetail.aspx?App=23&amp;ReportView=4&amp;Qid=1711245&amp;Row=118&amp;Col=1","Enjoy The Perfect Holiday Moments")</f>
        <v/>
      </c>
      <c r="B126" s="0" t="s">
        <v>166</v>
      </c>
      <c r="C126" s="0" t="s">
        <v>167</v>
      </c>
      <c r="D126" s="0" t="s">
        <v>167</v>
      </c>
      <c r="E126" s="0" t="s">
        <v>13</v>
      </c>
      <c r="F126" s="0" t="s">
        <v>14</v>
      </c>
      <c r="G126" s="0" t="s">
        <v>62</v>
      </c>
      <c r="H126" s="5">
        <v>390989.000000</v>
      </c>
    </row>
    <row r="127" spans="1:9">
      <c r="A127" s="22" t="str">
        <f>HYPERLINK("https://app.vivvix.com/360/KMI/IntelliDrive/ApplUI/Pages/CreativePages/CustomReportCreativeDetail.aspx?App=23&amp;ReportView=4&amp;Qid=1711245&amp;Row=119&amp;Col=1","Enjoy The Perfect Holiday Moments")</f>
        <v/>
      </c>
      <c r="B127" s="0" t="s">
        <v>166</v>
      </c>
      <c r="C127" s="0" t="s">
        <v>167</v>
      </c>
      <c r="D127" s="0" t="s">
        <v>167</v>
      </c>
      <c r="E127" s="0" t="s">
        <v>13</v>
      </c>
      <c r="F127" s="0" t="s">
        <v>14</v>
      </c>
      <c r="G127" s="0" t="s">
        <v>62</v>
      </c>
      <c r="H127" s="5">
        <v>318.000000</v>
      </c>
    </row>
    <row r="128" spans="1:9">
      <c r="A128" s="22" t="str">
        <f>HYPERLINK("https://app.vivvix.com/360/KMI/IntelliDrive/ApplUI/Pages/CreativePages/CustomReportCreativeDetail.aspx?App=23&amp;ReportView=4&amp;Qid=1711245&amp;Row=120&amp;Col=1","Enjoy The Perfect Holiday Moments")</f>
        <v/>
      </c>
      <c r="B128" s="0" t="s">
        <v>168</v>
      </c>
      <c r="C128" s="0" t="s">
        <v>169</v>
      </c>
      <c r="D128" s="0" t="s">
        <v>169</v>
      </c>
      <c r="E128" s="0" t="s">
        <v>13</v>
      </c>
      <c r="F128" s="0" t="s">
        <v>14</v>
      </c>
      <c r="G128" s="0" t="s">
        <v>62</v>
      </c>
      <c r="H128" s="5">
        <v>447636.000000</v>
      </c>
    </row>
    <row r="129" spans="1:9">
      <c r="A129" s="22" t="str">
        <f>HYPERLINK("https://app.vivvix.com/360/KMI/IntelliDrive/ApplUI/Pages/CreativePages/CustomReportCreativeDetail.aspx?App=23&amp;ReportView=4&amp;Qid=1711245&amp;Row=121&amp;Col=1","Enjoy The Perfect Holiday Moments")</f>
        <v/>
      </c>
      <c r="B129" s="0" t="s">
        <v>168</v>
      </c>
      <c r="C129" s="0" t="s">
        <v>169</v>
      </c>
      <c r="D129" s="0" t="s">
        <v>169</v>
      </c>
      <c r="E129" s="0" t="s">
        <v>13</v>
      </c>
      <c r="F129" s="0" t="s">
        <v>14</v>
      </c>
      <c r="G129" s="0" t="s">
        <v>62</v>
      </c>
      <c r="H129" s="5">
        <v>20243.000000</v>
      </c>
    </row>
    <row r="130" spans="1:9">
      <c r="A130" s="22" t="str">
        <f>HYPERLINK("https://app.vivvix.com/360/KMI/IntelliDrive/ApplUI/Pages/CreativePages/CustomReportCreativeDetail.aspx?App=23&amp;ReportView=4&amp;Qid=1711245&amp;Row=122&amp;Col=1","Enjoy The Perfect Holiday Moments")</f>
        <v/>
      </c>
      <c r="B130" s="0" t="s">
        <v>168</v>
      </c>
      <c r="C130" s="0" t="s">
        <v>169</v>
      </c>
      <c r="D130" s="0" t="s">
        <v>169</v>
      </c>
      <c r="E130" s="0" t="s">
        <v>13</v>
      </c>
      <c r="F130" s="0" t="s">
        <v>14</v>
      </c>
      <c r="G130" s="0" t="s">
        <v>62</v>
      </c>
      <c r="H130" s="5">
        <v>493.000000</v>
      </c>
    </row>
    <row r="131" spans="1:9">
      <c r="A131" s="22" t="str">
        <f>HYPERLINK("https://app.vivvix.com/360/KMI/IntelliDrive/ApplUI/Pages/CreativePages/CustomReportCreativeDetail.aspx?App=23&amp;ReportView=4&amp;Qid=1711245&amp;Row=123&amp;Col=1","Enjoy The Perfect Holiday Moments")</f>
        <v/>
      </c>
      <c r="B131" s="0" t="s">
        <v>168</v>
      </c>
      <c r="C131" s="0" t="s">
        <v>169</v>
      </c>
      <c r="D131" s="0" t="s">
        <v>169</v>
      </c>
      <c r="E131" s="0" t="s">
        <v>13</v>
      </c>
      <c r="F131" s="0" t="s">
        <v>14</v>
      </c>
      <c r="G131" s="0" t="s">
        <v>62</v>
      </c>
      <c r="H131" s="5">
        <v>58686.000000</v>
      </c>
    </row>
    <row r="132" spans="1:9">
      <c r="A132" s="22" t="str">
        <f>HYPERLINK("https://app.vivvix.com/360/KMI/IntelliDrive/ApplUI/Pages/CreativePages/CustomReportCreativeDetail.aspx?App=23&amp;ReportView=4&amp;Qid=1711245&amp;Row=124&amp;Col=1","Enjoy The Perfect Holiday Moments")</f>
        <v/>
      </c>
      <c r="B132" s="0" t="s">
        <v>170</v>
      </c>
      <c r="C132" s="0" t="s">
        <v>171</v>
      </c>
      <c r="D132" s="0" t="s">
        <v>171</v>
      </c>
      <c r="E132" s="0" t="s">
        <v>13</v>
      </c>
      <c r="F132" s="0" t="s">
        <v>14</v>
      </c>
      <c r="G132" s="0" t="s">
        <v>62</v>
      </c>
      <c r="H132" s="5">
        <v>28721.000000</v>
      </c>
    </row>
    <row r="133" spans="1:9">
      <c r="A133" s="22" t="str">
        <f>HYPERLINK("https://app.vivvix.com/360/KMI/IntelliDrive/ApplUI/Pages/CreativePages/CustomReportCreativeDetail.aspx?App=23&amp;ReportView=4&amp;Qid=1711245&amp;Row=125&amp;Col=1","Enjoy The Perfect Holiday Moments")</f>
        <v/>
      </c>
      <c r="B133" s="0" t="s">
        <v>172</v>
      </c>
      <c r="C133" s="0" t="s">
        <v>173</v>
      </c>
      <c r="D133" s="0" t="s">
        <v>165</v>
      </c>
      <c r="E133" s="0" t="s">
        <v>13</v>
      </c>
      <c r="F133" s="0" t="s">
        <v>14</v>
      </c>
      <c r="G133" s="0" t="s">
        <v>62</v>
      </c>
      <c r="H133" s="5">
        <v>11813.000000</v>
      </c>
    </row>
    <row r="134" spans="1:9">
      <c r="A134" s="22" t="str">
        <f>HYPERLINK("https://app.vivvix.com/360/KMI/IntelliDrive/ApplUI/Pages/CreativePages/CustomReportCreativeDetail.aspx?App=23&amp;ReportView=4&amp;Qid=1711245&amp;Row=126&amp;Col=1","Enjoy The Perfect Holiday Moments")</f>
        <v/>
      </c>
      <c r="B134" s="0" t="s">
        <v>172</v>
      </c>
      <c r="C134" s="0" t="s">
        <v>173</v>
      </c>
      <c r="D134" s="0" t="s">
        <v>165</v>
      </c>
      <c r="E134" s="0" t="s">
        <v>13</v>
      </c>
      <c r="F134" s="0" t="s">
        <v>14</v>
      </c>
      <c r="G134" s="0" t="s">
        <v>62</v>
      </c>
      <c r="H134" s="5">
        <v>649.000000</v>
      </c>
    </row>
    <row r="135" spans="1:9">
      <c r="A135" s="22" t="str">
        <f>HYPERLINK("https://app.vivvix.com/360/KMI/IntelliDrive/ApplUI/Pages/CreativePages/CustomReportCreativeDetail.aspx?App=23&amp;ReportView=4&amp;Qid=1711245&amp;Row=127&amp;Col=1","Enjoy The Ride")</f>
        <v/>
      </c>
      <c r="B135" s="0" t="s">
        <v>174</v>
      </c>
      <c r="C135" s="0" t="s">
        <v>175</v>
      </c>
      <c r="D135" s="0" t="s">
        <v>175</v>
      </c>
      <c r="E135" s="0" t="s">
        <v>13</v>
      </c>
      <c r="F135" s="0" t="s">
        <v>14</v>
      </c>
      <c r="G135" s="0" t="s">
        <v>15</v>
      </c>
      <c r="H135" s="5">
        <v>106251.000000</v>
      </c>
    </row>
    <row r="136" spans="1:9">
      <c r="A136" s="22" t="str">
        <f>HYPERLINK("https://app.vivvix.com/360/KMI/IntelliDrive/ApplUI/Pages/CreativePages/CustomReportCreativeDetail.aspx?App=23&amp;ReportView=4&amp;Qid=1711245&amp;Row=128&amp;Col=1","Enjoy The Ride")</f>
        <v/>
      </c>
      <c r="B136" s="0" t="s">
        <v>174</v>
      </c>
      <c r="C136" s="0" t="s">
        <v>175</v>
      </c>
      <c r="D136" s="0" t="s">
        <v>175</v>
      </c>
      <c r="E136" s="0" t="s">
        <v>13</v>
      </c>
      <c r="F136" s="0" t="s">
        <v>14</v>
      </c>
      <c r="G136" s="0" t="s">
        <v>15</v>
      </c>
      <c r="H136" s="5">
        <v>3630.000000</v>
      </c>
    </row>
    <row r="137" spans="1:9">
      <c r="A137" s="22" t="str">
        <f>HYPERLINK("https://app.vivvix.com/360/KMI/IntelliDrive/ApplUI/Pages/CreativePages/CustomReportCreativeDetail.aspx?App=23&amp;ReportView=4&amp;Qid=1711245&amp;Row=129&amp;Col=1","Enjoy The Ride")</f>
        <v/>
      </c>
      <c r="B137" s="0" t="s">
        <v>174</v>
      </c>
      <c r="C137" s="0" t="s">
        <v>175</v>
      </c>
      <c r="D137" s="0" t="s">
        <v>175</v>
      </c>
      <c r="E137" s="0" t="s">
        <v>13</v>
      </c>
      <c r="F137" s="0" t="s">
        <v>14</v>
      </c>
      <c r="G137" s="0" t="s">
        <v>15</v>
      </c>
      <c r="H137" s="5">
        <v>571444.000000</v>
      </c>
    </row>
    <row r="138" spans="1:9">
      <c r="A138" s="22" t="str">
        <f>HYPERLINK("https://app.vivvix.com/360/KMI/IntelliDrive/ApplUI/Pages/CreativePages/CustomReportCreativeDetail.aspx?App=23&amp;ReportView=4&amp;Qid=1711245&amp;Row=130&amp;Col=1","Exceptional Holiday Season")</f>
        <v/>
      </c>
      <c r="B138" s="0" t="s">
        <v>176</v>
      </c>
      <c r="C138" s="0" t="s">
        <v>177</v>
      </c>
      <c r="D138" s="0" t="s">
        <v>177</v>
      </c>
      <c r="E138" s="0" t="s">
        <v>13</v>
      </c>
      <c r="F138" s="0" t="s">
        <v>106</v>
      </c>
      <c r="G138" s="0" t="s">
        <v>107</v>
      </c>
      <c r="H138" s="5">
        <v>657.000000</v>
      </c>
    </row>
    <row r="139" spans="1:9">
      <c r="A139" s="22" t="str">
        <f>HYPERLINK("https://app.vivvix.com/360/KMI/IntelliDrive/ApplUI/Pages/CreativePages/CustomReportCreativeDetail.aspx?App=23&amp;ReportView=4&amp;Qid=1711245&amp;Row=131&amp;Col=1","Experience Electrifying Driving Adventures")</f>
        <v/>
      </c>
      <c r="B139" s="0" t="s">
        <v>178</v>
      </c>
      <c r="C139" s="0" t="s">
        <v>179</v>
      </c>
      <c r="D139" s="0" t="s">
        <v>179</v>
      </c>
      <c r="E139" s="0" t="s">
        <v>13</v>
      </c>
      <c r="F139" s="0" t="s">
        <v>14</v>
      </c>
      <c r="G139" s="0" t="s">
        <v>15</v>
      </c>
      <c r="H139" s="5">
        <v>182627.607000</v>
      </c>
    </row>
    <row r="140" spans="1:9">
      <c r="A140" s="22" t="str">
        <f>HYPERLINK("https://app.vivvix.com/360/KMI/IntelliDrive/ApplUI/Pages/CreativePages/CustomReportCreativeDetail.aspx?App=23&amp;ReportView=4&amp;Qid=1711245&amp;Row=132&amp;Col=1","Experience Electrifying Driving Adventures")</f>
        <v/>
      </c>
      <c r="B140" s="0" t="s">
        <v>178</v>
      </c>
      <c r="E140" s="0" t="s">
        <v>13</v>
      </c>
      <c r="F140" s="0" t="s">
        <v>14</v>
      </c>
      <c r="G140" s="0" t="s">
        <v>15</v>
      </c>
      <c r="H140" s="5">
        <v>296642.520000</v>
      </c>
    </row>
    <row r="141" spans="1:9">
      <c r="A141" s="22" t="str">
        <f>HYPERLINK("https://app.vivvix.com/360/KMI/IntelliDrive/ApplUI/Pages/CreativePages/CustomReportCreativeDetail.aspx?App=23&amp;ReportView=4&amp;Qid=1711245&amp;Row=133&amp;Col=1","Experience Fast Charging Capability")</f>
        <v/>
      </c>
      <c r="B141" s="0" t="s">
        <v>180</v>
      </c>
      <c r="C141" s="0" t="s">
        <v>45</v>
      </c>
      <c r="D141" s="0" t="s">
        <v>45</v>
      </c>
      <c r="E141" s="0" t="s">
        <v>13</v>
      </c>
      <c r="F141" s="0" t="s">
        <v>14</v>
      </c>
      <c r="G141" s="0" t="s">
        <v>15</v>
      </c>
      <c r="H141" s="5">
        <v>109445.292000</v>
      </c>
    </row>
    <row r="142" spans="1:9">
      <c r="A142" s="22" t="str">
        <f>HYPERLINK("https://app.vivvix.com/360/KMI/IntelliDrive/ApplUI/Pages/CreativePages/CustomReportCreativeDetail.aspx?App=23&amp;ReportView=4&amp;Qid=1711245&amp;Row=134&amp;Col=1","Experience Fast Charging Capability")</f>
        <v/>
      </c>
      <c r="B142" s="0" t="s">
        <v>180</v>
      </c>
      <c r="E142" s="0" t="s">
        <v>13</v>
      </c>
      <c r="F142" s="0" t="s">
        <v>14</v>
      </c>
      <c r="G142" s="0" t="s">
        <v>15</v>
      </c>
      <c r="H142" s="5">
        <v>8359.392000</v>
      </c>
    </row>
    <row r="143" spans="1:9">
      <c r="A143" s="22" t="str">
        <f>HYPERLINK("https://app.vivvix.com/360/KMI/IntelliDrive/ApplUI/Pages/CreativePages/CustomReportCreativeDetail.aspx?App=23&amp;ReportView=4&amp;Qid=1711245&amp;Row=135&amp;Col=1","Experience Fast Charging Capability")</f>
        <v/>
      </c>
      <c r="B143" s="0" t="s">
        <v>181</v>
      </c>
      <c r="C143" s="0" t="s">
        <v>45</v>
      </c>
      <c r="D143" s="0" t="s">
        <v>45</v>
      </c>
      <c r="E143" s="0" t="s">
        <v>13</v>
      </c>
      <c r="F143" s="0" t="s">
        <v>14</v>
      </c>
      <c r="G143" s="0" t="s">
        <v>15</v>
      </c>
      <c r="H143" s="5">
        <v>27.006000</v>
      </c>
    </row>
    <row r="144" spans="1:9">
      <c r="A144" s="22" t="str">
        <f>HYPERLINK("https://app.vivvix.com/360/KMI/IntelliDrive/ApplUI/Pages/CreativePages/CustomReportCreativeDetail.aspx?App=23&amp;ReportView=4&amp;Qid=1711245&amp;Row=136&amp;Col=1","EXPERIENCE THE ALL ELECTRIC")</f>
        <v/>
      </c>
      <c r="B144" s="0" t="s">
        <v>182</v>
      </c>
      <c r="E144" s="0" t="s">
        <v>13</v>
      </c>
      <c r="F144" s="0" t="s">
        <v>14</v>
      </c>
      <c r="G144" s="0" t="s">
        <v>15</v>
      </c>
      <c r="H144" s="5">
        <v>214711.724000</v>
      </c>
    </row>
    <row r="145" spans="1:9">
      <c r="A145" s="22" t="str">
        <f>HYPERLINK("https://app.vivvix.com/360/KMI/IntelliDrive/ApplUI/Pages/CreativePages/CustomReportCreativeDetail.aspx?App=23&amp;ReportView=4&amp;Qid=1711245&amp;Row=137&amp;Col=1","EXPERIENCE THE ALL ELECTRIC")</f>
        <v/>
      </c>
      <c r="B145" s="0" t="s">
        <v>182</v>
      </c>
      <c r="E145" s="0" t="s">
        <v>13</v>
      </c>
      <c r="F145" s="0" t="s">
        <v>14</v>
      </c>
      <c r="G145" s="0" t="s">
        <v>15</v>
      </c>
      <c r="H145" s="5">
        <v>11488.842000</v>
      </c>
    </row>
    <row r="146" spans="1:9">
      <c r="A146" s="22" t="str">
        <f>HYPERLINK("https://app.vivvix.com/360/KMI/IntelliDrive/ApplUI/Pages/CreativePages/CustomReportCreativeDetail.aspx?App=23&amp;ReportView=4&amp;Qid=1711245&amp;Row=138&amp;Col=1","experience the all electric car")</f>
        <v/>
      </c>
      <c r="B146" s="0" t="s">
        <v>183</v>
      </c>
      <c r="C146" s="0" t="s">
        <v>184</v>
      </c>
      <c r="D146" s="0" t="s">
        <v>184</v>
      </c>
      <c r="E146" s="0" t="s">
        <v>13</v>
      </c>
      <c r="F146" s="0" t="s">
        <v>14</v>
      </c>
      <c r="G146" s="0" t="s">
        <v>15</v>
      </c>
      <c r="H146" s="5">
        <v>36.136000</v>
      </c>
    </row>
    <row r="147" spans="1:9">
      <c r="A147" s="22" t="str">
        <f>HYPERLINK("https://app.vivvix.com/360/KMI/IntelliDrive/ApplUI/Pages/CreativePages/CustomReportCreativeDetail.aspx?App=23&amp;ReportView=4&amp;Qid=1711245&amp;Row=139&amp;Col=1","Experience The All-Electric Lyriq")</f>
        <v/>
      </c>
      <c r="B147" s="0" t="s">
        <v>185</v>
      </c>
      <c r="C147" s="0" t="s">
        <v>184</v>
      </c>
      <c r="D147" s="0" t="s">
        <v>184</v>
      </c>
      <c r="E147" s="0" t="s">
        <v>13</v>
      </c>
      <c r="F147" s="0" t="s">
        <v>14</v>
      </c>
      <c r="G147" s="0" t="s">
        <v>15</v>
      </c>
      <c r="H147" s="5">
        <v>34589.523000</v>
      </c>
    </row>
    <row r="148" spans="1:9">
      <c r="A148" s="22" t="str">
        <f>HYPERLINK("https://app.vivvix.com/360/KMI/IntelliDrive/ApplUI/Pages/CreativePages/CustomReportCreativeDetail.aspx?App=23&amp;ReportView=4&amp;Qid=1711245&amp;Row=140&amp;Col=1","Experience The All-Electric Lyriq")</f>
        <v/>
      </c>
      <c r="B148" s="0" t="s">
        <v>185</v>
      </c>
      <c r="E148" s="0" t="s">
        <v>13</v>
      </c>
      <c r="F148" s="0" t="s">
        <v>14</v>
      </c>
      <c r="G148" s="0" t="s">
        <v>15</v>
      </c>
      <c r="H148" s="5">
        <v>5985.616000</v>
      </c>
    </row>
    <row r="149" spans="1:9">
      <c r="A149" s="22" t="str">
        <f>HYPERLINK("https://app.vivvix.com/360/KMI/IntelliDrive/ApplUI/Pages/CreativePages/CustomReportCreativeDetail.aspx?App=23&amp;ReportView=4&amp;Qid=1711245&amp;Row=141&amp;Col=1","Experience The Amazing Adventures")</f>
        <v/>
      </c>
      <c r="B149" s="0" t="s">
        <v>186</v>
      </c>
      <c r="C149" s="0" t="s">
        <v>187</v>
      </c>
      <c r="D149" s="0" t="s">
        <v>187</v>
      </c>
      <c r="E149" s="0" t="s">
        <v>13</v>
      </c>
      <c r="F149" s="0" t="s">
        <v>14</v>
      </c>
      <c r="G149" s="0" t="s">
        <v>22</v>
      </c>
      <c r="H149" s="5">
        <v>174487.000000</v>
      </c>
    </row>
    <row r="150" spans="1:9">
      <c r="A150" s="22" t="str">
        <f>HYPERLINK("https://app.vivvix.com/360/KMI/IntelliDrive/ApplUI/Pages/CreativePages/CustomReportCreativeDetail.aspx?App=23&amp;ReportView=4&amp;Qid=1711245&amp;Row=142&amp;Col=1","Experience The Amazing Adventures")</f>
        <v/>
      </c>
      <c r="B150" s="0" t="s">
        <v>186</v>
      </c>
      <c r="C150" s="0" t="s">
        <v>187</v>
      </c>
      <c r="D150" s="0" t="s">
        <v>187</v>
      </c>
      <c r="E150" s="0" t="s">
        <v>13</v>
      </c>
      <c r="F150" s="0" t="s">
        <v>14</v>
      </c>
      <c r="G150" s="0" t="s">
        <v>22</v>
      </c>
      <c r="H150" s="5">
        <v>8694.000000</v>
      </c>
    </row>
    <row r="151" spans="1:9">
      <c r="A151" s="22" t="str">
        <f>HYPERLINK("https://app.vivvix.com/360/KMI/IntelliDrive/ApplUI/Pages/CreativePages/CustomReportCreativeDetail.aspx?App=23&amp;ReportView=4&amp;Qid=1711245&amp;Row=143&amp;Col=1","Experience The Amazing Adventures")</f>
        <v/>
      </c>
      <c r="B151" s="0" t="s">
        <v>188</v>
      </c>
      <c r="C151" s="0" t="s">
        <v>189</v>
      </c>
      <c r="D151" s="0" t="s">
        <v>189</v>
      </c>
      <c r="E151" s="0" t="s">
        <v>13</v>
      </c>
      <c r="F151" s="0" t="s">
        <v>14</v>
      </c>
      <c r="G151" s="0" t="s">
        <v>22</v>
      </c>
      <c r="H151" s="5">
        <v>32243.000000</v>
      </c>
    </row>
    <row r="152" spans="1:9">
      <c r="A152" s="22" t="str">
        <f>HYPERLINK("https://app.vivvix.com/360/KMI/IntelliDrive/ApplUI/Pages/CreativePages/CustomReportCreativeDetail.aspx?App=23&amp;ReportView=4&amp;Qid=1711245&amp;Row=144&amp;Col=1","Experience The Amazing Driving")</f>
        <v/>
      </c>
      <c r="B152" s="0" t="s">
        <v>190</v>
      </c>
      <c r="C152" s="0" t="s">
        <v>191</v>
      </c>
      <c r="D152" s="0" t="s">
        <v>191</v>
      </c>
      <c r="E152" s="0" t="s">
        <v>13</v>
      </c>
      <c r="F152" s="0" t="s">
        <v>14</v>
      </c>
      <c r="G152" s="0" t="s">
        <v>15</v>
      </c>
      <c r="H152" s="5">
        <v>53517.966000</v>
      </c>
    </row>
    <row r="153" spans="1:9">
      <c r="A153" s="22" t="str">
        <f>HYPERLINK("https://app.vivvix.com/360/KMI/IntelliDrive/ApplUI/Pages/CreativePages/CustomReportCreativeDetail.aspx?App=23&amp;ReportView=4&amp;Qid=1711245&amp;Row=145&amp;Col=1","Experience The Amazing Driving")</f>
        <v/>
      </c>
      <c r="B153" s="0" t="s">
        <v>190</v>
      </c>
      <c r="E153" s="0" t="s">
        <v>13</v>
      </c>
      <c r="F153" s="0" t="s">
        <v>14</v>
      </c>
      <c r="G153" s="0" t="s">
        <v>15</v>
      </c>
      <c r="H153" s="5">
        <v>78592.946000</v>
      </c>
    </row>
    <row r="154" spans="1:9">
      <c r="A154" s="22" t="str">
        <f>HYPERLINK("https://app.vivvix.com/360/KMI/IntelliDrive/ApplUI/Pages/CreativePages/CustomReportCreativeDetail.aspx?App=23&amp;ReportView=4&amp;Qid=1711245&amp;Row=146&amp;Col=1","Experience The Amazing Driving")</f>
        <v/>
      </c>
      <c r="B154" s="0" t="s">
        <v>192</v>
      </c>
      <c r="C154" s="0" t="s">
        <v>193</v>
      </c>
      <c r="D154" s="0" t="s">
        <v>194</v>
      </c>
      <c r="E154" s="0" t="s">
        <v>13</v>
      </c>
      <c r="F154" s="0" t="s">
        <v>14</v>
      </c>
      <c r="G154" s="0" t="s">
        <v>15</v>
      </c>
      <c r="H154" s="5">
        <v>117650.000000</v>
      </c>
    </row>
    <row r="155" spans="1:9">
      <c r="A155" s="22" t="str">
        <f>HYPERLINK("https://app.vivvix.com/360/KMI/IntelliDrive/ApplUI/Pages/CreativePages/CustomReportCreativeDetail.aspx?App=23&amp;ReportView=4&amp;Qid=1711245&amp;Row=147&amp;Col=1","Experience The Amazing Driving")</f>
        <v/>
      </c>
      <c r="B155" s="0" t="s">
        <v>192</v>
      </c>
      <c r="C155" s="0" t="s">
        <v>193</v>
      </c>
      <c r="D155" s="0" t="s">
        <v>194</v>
      </c>
      <c r="E155" s="0" t="s">
        <v>13</v>
      </c>
      <c r="F155" s="0" t="s">
        <v>14</v>
      </c>
      <c r="G155" s="0" t="s">
        <v>15</v>
      </c>
      <c r="H155" s="5">
        <v>203449.000000</v>
      </c>
    </row>
    <row r="156" spans="1:9">
      <c r="A156" s="22" t="str">
        <f>HYPERLINK("https://app.vivvix.com/360/KMI/IntelliDrive/ApplUI/Pages/CreativePages/CustomReportCreativeDetail.aspx?App=23&amp;ReportView=4&amp;Qid=1711245&amp;Row=148&amp;Col=1","Experience The Amazing Driving")</f>
        <v/>
      </c>
      <c r="B156" s="0" t="s">
        <v>195</v>
      </c>
      <c r="C156" s="0" t="s">
        <v>196</v>
      </c>
      <c r="D156" s="0" t="s">
        <v>194</v>
      </c>
      <c r="E156" s="0" t="s">
        <v>13</v>
      </c>
      <c r="F156" s="0" t="s">
        <v>14</v>
      </c>
      <c r="G156" s="0" t="s">
        <v>15</v>
      </c>
      <c r="H156" s="5">
        <v>6312.000000</v>
      </c>
    </row>
    <row r="157" spans="1:9">
      <c r="A157" s="22" t="str">
        <f>HYPERLINK("https://app.vivvix.com/360/KMI/IntelliDrive/ApplUI/Pages/CreativePages/CustomReportCreativeDetail.aspx?App=23&amp;ReportView=4&amp;Qid=1711245&amp;Row=149&amp;Col=1","Experience The Amazing Driving")</f>
        <v/>
      </c>
      <c r="B157" s="0" t="s">
        <v>197</v>
      </c>
      <c r="C157" s="0" t="s">
        <v>198</v>
      </c>
      <c r="D157" s="0" t="s">
        <v>194</v>
      </c>
      <c r="E157" s="0" t="s">
        <v>13</v>
      </c>
      <c r="F157" s="0" t="s">
        <v>14</v>
      </c>
      <c r="G157" s="0" t="s">
        <v>15</v>
      </c>
      <c r="H157" s="5">
        <v>6312.000000</v>
      </c>
    </row>
    <row r="158" spans="1:9">
      <c r="A158" s="22" t="str">
        <f>HYPERLINK("https://app.vivvix.com/360/KMI/IntelliDrive/ApplUI/Pages/CreativePages/CustomReportCreativeDetail.aspx?App=23&amp;ReportView=4&amp;Qid=1711245&amp;Row=150&amp;Col=1","Experience The Best Electric Car")</f>
        <v/>
      </c>
      <c r="B158" s="0" t="s">
        <v>199</v>
      </c>
      <c r="C158" s="0" t="s">
        <v>200</v>
      </c>
      <c r="D158" s="0" t="s">
        <v>200</v>
      </c>
      <c r="E158" s="0" t="s">
        <v>13</v>
      </c>
      <c r="F158" s="0" t="s">
        <v>14</v>
      </c>
      <c r="G158" s="0" t="s">
        <v>15</v>
      </c>
      <c r="H158" s="5">
        <v>6836.975000</v>
      </c>
    </row>
    <row r="159" spans="1:9">
      <c r="A159" s="22" t="str">
        <f>HYPERLINK("https://app.vivvix.com/360/KMI/IntelliDrive/ApplUI/Pages/CreativePages/CustomReportCreativeDetail.aspx?App=23&amp;ReportView=4&amp;Qid=1711245&amp;Row=151&amp;Col=1","Experience The Best Electric Car")</f>
        <v/>
      </c>
      <c r="B159" s="0" t="s">
        <v>199</v>
      </c>
      <c r="E159" s="0" t="s">
        <v>13</v>
      </c>
      <c r="F159" s="0" t="s">
        <v>14</v>
      </c>
      <c r="G159" s="0" t="s">
        <v>15</v>
      </c>
      <c r="H159" s="5">
        <v>17166.987000</v>
      </c>
    </row>
    <row r="160" spans="1:9">
      <c r="A160" s="22" t="str">
        <f>HYPERLINK("https://app.vivvix.com/360/KMI/IntelliDrive/ApplUI/Pages/CreativePages/CustomReportCreativeDetail.aspx?App=23&amp;ReportView=4&amp;Qid=1711245&amp;Row=152&amp;Col=1","Experience The Better Performance")</f>
        <v/>
      </c>
      <c r="B160" s="0" t="s">
        <v>201</v>
      </c>
      <c r="C160" s="0" t="s">
        <v>202</v>
      </c>
      <c r="D160" s="0" t="s">
        <v>202</v>
      </c>
      <c r="E160" s="0" t="s">
        <v>13</v>
      </c>
      <c r="F160" s="0" t="s">
        <v>14</v>
      </c>
      <c r="G160" s="0" t="s">
        <v>62</v>
      </c>
      <c r="H160" s="5">
        <v>30078.000000</v>
      </c>
    </row>
    <row r="161" spans="1:9">
      <c r="A161" s="22" t="str">
        <f>HYPERLINK("https://app.vivvix.com/360/KMI/IntelliDrive/ApplUI/Pages/CreativePages/CustomReportCreativeDetail.aspx?App=23&amp;ReportView=4&amp;Qid=1711245&amp;Row=153&amp;Col=1","Experience The Better Performance")</f>
        <v/>
      </c>
      <c r="B161" s="0" t="s">
        <v>201</v>
      </c>
      <c r="C161" s="0" t="s">
        <v>202</v>
      </c>
      <c r="D161" s="0" t="s">
        <v>202</v>
      </c>
      <c r="E161" s="0" t="s">
        <v>13</v>
      </c>
      <c r="F161" s="0" t="s">
        <v>14</v>
      </c>
      <c r="G161" s="0" t="s">
        <v>62</v>
      </c>
      <c r="H161" s="5">
        <v>938341.000000</v>
      </c>
    </row>
    <row r="162" spans="1:9">
      <c r="A162" s="22" t="str">
        <f>HYPERLINK("https://app.vivvix.com/360/KMI/IntelliDrive/ApplUI/Pages/CreativePages/CustomReportCreativeDetail.aspx?App=23&amp;ReportView=4&amp;Qid=1711245&amp;Row=154&amp;Col=1","Experience The Better Performance")</f>
        <v/>
      </c>
      <c r="B162" s="0" t="s">
        <v>201</v>
      </c>
      <c r="C162" s="0" t="s">
        <v>202</v>
      </c>
      <c r="D162" s="0" t="s">
        <v>202</v>
      </c>
      <c r="E162" s="0" t="s">
        <v>13</v>
      </c>
      <c r="F162" s="0" t="s">
        <v>14</v>
      </c>
      <c r="G162" s="0" t="s">
        <v>62</v>
      </c>
      <c r="H162" s="5">
        <v>21820.000000</v>
      </c>
    </row>
    <row r="163" spans="1:9">
      <c r="A163" s="22" t="str">
        <f>HYPERLINK("https://app.vivvix.com/360/KMI/IntelliDrive/ApplUI/Pages/CreativePages/CustomReportCreativeDetail.aspx?App=23&amp;ReportView=4&amp;Qid=1711245&amp;Row=155&amp;Col=1","Experience the Electric")</f>
        <v/>
      </c>
      <c r="B163" s="0" t="s">
        <v>203</v>
      </c>
      <c r="C163" s="0" t="s">
        <v>204</v>
      </c>
      <c r="D163" s="0" t="s">
        <v>204</v>
      </c>
      <c r="E163" s="0" t="s">
        <v>13</v>
      </c>
      <c r="F163" s="0" t="s">
        <v>14</v>
      </c>
      <c r="G163" s="0" t="s">
        <v>15</v>
      </c>
      <c r="H163" s="5">
        <v>232257.000000</v>
      </c>
    </row>
    <row r="164" spans="1:9">
      <c r="A164" s="22" t="str">
        <f>HYPERLINK("https://app.vivvix.com/360/KMI/IntelliDrive/ApplUI/Pages/CreativePages/CustomReportCreativeDetail.aspx?App=23&amp;ReportView=4&amp;Qid=1711245&amp;Row=156&amp;Col=1","Experience the Electric")</f>
        <v/>
      </c>
      <c r="B164" s="0" t="s">
        <v>203</v>
      </c>
      <c r="C164" s="0" t="s">
        <v>204</v>
      </c>
      <c r="D164" s="0" t="s">
        <v>204</v>
      </c>
      <c r="E164" s="0" t="s">
        <v>13</v>
      </c>
      <c r="F164" s="0" t="s">
        <v>14</v>
      </c>
      <c r="G164" s="0" t="s">
        <v>15</v>
      </c>
      <c r="H164" s="5">
        <v>12438.000000</v>
      </c>
    </row>
    <row r="165" spans="1:9">
      <c r="A165" s="22" t="str">
        <f>HYPERLINK("https://app.vivvix.com/360/KMI/IntelliDrive/ApplUI/Pages/CreativePages/CustomReportCreativeDetail.aspx?App=23&amp;ReportView=4&amp;Qid=1711245&amp;Row=157&amp;Col=1","Experience the Electric")</f>
        <v/>
      </c>
      <c r="B165" s="0" t="s">
        <v>205</v>
      </c>
      <c r="C165" s="0" t="s">
        <v>204</v>
      </c>
      <c r="D165" s="0" t="s">
        <v>204</v>
      </c>
      <c r="E165" s="0" t="s">
        <v>13</v>
      </c>
      <c r="F165" s="0" t="s">
        <v>14</v>
      </c>
      <c r="G165" s="0" t="s">
        <v>15</v>
      </c>
      <c r="H165" s="5">
        <v>1058.000000</v>
      </c>
    </row>
    <row r="166" spans="1:9">
      <c r="A166" s="22" t="str">
        <f>HYPERLINK("https://app.vivvix.com/360/KMI/IntelliDrive/ApplUI/Pages/CreativePages/CustomReportCreativeDetail.aspx?App=23&amp;ReportView=4&amp;Qid=1711245&amp;Row=158&amp;Col=1","Experience the Electric")</f>
        <v/>
      </c>
      <c r="B166" s="0" t="s">
        <v>206</v>
      </c>
      <c r="C166" s="0" t="s">
        <v>204</v>
      </c>
      <c r="D166" s="0" t="s">
        <v>204</v>
      </c>
      <c r="E166" s="0" t="s">
        <v>13</v>
      </c>
      <c r="F166" s="0" t="s">
        <v>14</v>
      </c>
      <c r="G166" s="0" t="s">
        <v>15</v>
      </c>
      <c r="H166" s="5">
        <v>0.000000</v>
      </c>
    </row>
    <row r="167" spans="1:9">
      <c r="A167" s="22" t="str">
        <f>HYPERLINK("https://app.vivvix.com/360/KMI/IntelliDrive/ApplUI/Pages/CreativePages/CustomReportCreativeDetail.aspx?App=23&amp;ReportView=4&amp;Qid=1711245&amp;Row=159&amp;Col=1","Experience the Electric/-Now Get")</f>
        <v/>
      </c>
      <c r="B167" s="0" t="s">
        <v>207</v>
      </c>
      <c r="C167" s="0" t="s">
        <v>208</v>
      </c>
      <c r="D167" s="0" t="s">
        <v>204</v>
      </c>
      <c r="E167" s="0" t="s">
        <v>13</v>
      </c>
      <c r="F167" s="0" t="s">
        <v>14</v>
      </c>
      <c r="G167" s="0" t="s">
        <v>15</v>
      </c>
      <c r="H167" s="5">
        <v>70537.000000</v>
      </c>
    </row>
    <row r="168" spans="1:9">
      <c r="A168" s="22" t="str">
        <f>HYPERLINK("https://app.vivvix.com/360/KMI/IntelliDrive/ApplUI/Pages/CreativePages/CustomReportCreativeDetail.aspx?App=23&amp;ReportView=4&amp;Qid=1711245&amp;Row=160&amp;Col=1","Experience the Electric/-Now Get")</f>
        <v/>
      </c>
      <c r="B168" s="0" t="s">
        <v>207</v>
      </c>
      <c r="C168" s="0" t="s">
        <v>208</v>
      </c>
      <c r="D168" s="0" t="s">
        <v>204</v>
      </c>
      <c r="E168" s="0" t="s">
        <v>13</v>
      </c>
      <c r="F168" s="0" t="s">
        <v>14</v>
      </c>
      <c r="G168" s="0" t="s">
        <v>15</v>
      </c>
      <c r="H168" s="5">
        <v>8765.000000</v>
      </c>
    </row>
    <row r="169" spans="1:9">
      <c r="A169" s="22" t="str">
        <f>HYPERLINK("https://app.vivvix.com/360/KMI/IntelliDrive/ApplUI/Pages/CreativePages/CustomReportCreativeDetail.aspx?App=23&amp;ReportView=4&amp;Qid=1711245&amp;Row=161&amp;Col=1","Experience the Fearless Factor/3.9%, Legalese")</f>
        <v/>
      </c>
      <c r="B169" s="0" t="s">
        <v>209</v>
      </c>
      <c r="C169" s="0" t="s">
        <v>210</v>
      </c>
      <c r="D169" s="0" t="s">
        <v>211</v>
      </c>
      <c r="E169" s="0" t="s">
        <v>13</v>
      </c>
      <c r="F169" s="0" t="s">
        <v>28</v>
      </c>
      <c r="G169" s="0" t="s">
        <v>110</v>
      </c>
      <c r="H169" s="5">
        <v>36480.000000</v>
      </c>
    </row>
    <row r="170" spans="1:9">
      <c r="A170" s="22" t="str">
        <f>HYPERLINK("https://app.vivvix.com/360/KMI/IntelliDrive/ApplUI/Pages/CreativePages/CustomReportCreativeDetail.aspx?App=23&amp;ReportView=4&amp;Qid=1711245&amp;Row=162&amp;Col=1","Experience the Perfect Driving")</f>
        <v/>
      </c>
      <c r="B170" s="0" t="s">
        <v>212</v>
      </c>
      <c r="C170" s="0" t="s">
        <v>213</v>
      </c>
      <c r="D170" s="0" t="s">
        <v>213</v>
      </c>
      <c r="E170" s="0" t="s">
        <v>13</v>
      </c>
      <c r="F170" s="0" t="s">
        <v>28</v>
      </c>
      <c r="G170" s="0" t="s">
        <v>29</v>
      </c>
      <c r="H170" s="5">
        <v>688.000000</v>
      </c>
    </row>
    <row r="171" spans="1:9">
      <c r="A171" s="22" t="str">
        <f>HYPERLINK("https://app.vivvix.com/360/KMI/IntelliDrive/ApplUI/Pages/CreativePages/CustomReportCreativeDetail.aspx?App=23&amp;ReportView=4&amp;Qid=1711245&amp;Row=163&amp;Col=1","Experience Yours Today")</f>
        <v/>
      </c>
      <c r="B171" s="0" t="s">
        <v>214</v>
      </c>
      <c r="C171" s="0" t="s">
        <v>215</v>
      </c>
      <c r="D171" s="0" t="s">
        <v>215</v>
      </c>
      <c r="E171" s="0" t="s">
        <v>13</v>
      </c>
      <c r="F171" s="0" t="s">
        <v>14</v>
      </c>
      <c r="G171" s="0" t="s">
        <v>15</v>
      </c>
      <c r="H171" s="5">
        <v>298848.000000</v>
      </c>
    </row>
    <row r="172" spans="1:9">
      <c r="A172" s="22" t="str">
        <f>HYPERLINK("https://app.vivvix.com/360/KMI/IntelliDrive/ApplUI/Pages/CreativePages/CustomReportCreativeDetail.aspx?App=23&amp;ReportView=4&amp;Qid=1711245&amp;Row=164&amp;Col=1","Experience Yours Today")</f>
        <v/>
      </c>
      <c r="B172" s="0" t="s">
        <v>214</v>
      </c>
      <c r="C172" s="0" t="s">
        <v>215</v>
      </c>
      <c r="D172" s="0" t="s">
        <v>215</v>
      </c>
      <c r="E172" s="0" t="s">
        <v>13</v>
      </c>
      <c r="F172" s="0" t="s">
        <v>14</v>
      </c>
      <c r="G172" s="0" t="s">
        <v>15</v>
      </c>
      <c r="H172" s="5">
        <v>3615.000000</v>
      </c>
    </row>
    <row r="173" spans="1:9">
      <c r="A173" s="22" t="str">
        <f>HYPERLINK("https://app.vivvix.com/360/KMI/IntelliDrive/ApplUI/Pages/CreativePages/CustomReportCreativeDetail.aspx?App=23&amp;ReportView=4&amp;Qid=1711245&amp;Row=165&amp;Col=1","Experience Yours Today")</f>
        <v/>
      </c>
      <c r="B173" s="0" t="s">
        <v>214</v>
      </c>
      <c r="C173" s="0" t="s">
        <v>215</v>
      </c>
      <c r="D173" s="0" t="s">
        <v>215</v>
      </c>
      <c r="E173" s="0" t="s">
        <v>13</v>
      </c>
      <c r="F173" s="0" t="s">
        <v>14</v>
      </c>
      <c r="G173" s="0" t="s">
        <v>15</v>
      </c>
      <c r="H173" s="5">
        <v>127219.000000</v>
      </c>
    </row>
    <row r="174" spans="1:9">
      <c r="A174" s="22" t="str">
        <f>HYPERLINK("https://app.vivvix.com/360/KMI/IntelliDrive/ApplUI/Pages/CreativePages/CustomReportCreativeDetail.aspx?App=23&amp;ReportView=4&amp;Qid=1711245&amp;Row=166&amp;Col=1","Experience Yours Today")</f>
        <v/>
      </c>
      <c r="B174" s="0" t="s">
        <v>216</v>
      </c>
      <c r="C174" s="0" t="s">
        <v>217</v>
      </c>
      <c r="D174" s="0" t="s">
        <v>217</v>
      </c>
      <c r="E174" s="0" t="s">
        <v>13</v>
      </c>
      <c r="F174" s="0" t="s">
        <v>14</v>
      </c>
      <c r="G174" s="0" t="s">
        <v>15</v>
      </c>
      <c r="H174" s="5">
        <v>190662.000000</v>
      </c>
    </row>
    <row r="175" spans="1:9">
      <c r="A175" s="22" t="str">
        <f>HYPERLINK("https://app.vivvix.com/360/KMI/IntelliDrive/ApplUI/Pages/CreativePages/CustomReportCreativeDetail.aspx?App=23&amp;ReportView=4&amp;Qid=1711245&amp;Row=167&amp;Col=1","Experience Yours Today")</f>
        <v/>
      </c>
      <c r="B175" s="0" t="s">
        <v>216</v>
      </c>
      <c r="C175" s="0" t="s">
        <v>217</v>
      </c>
      <c r="D175" s="0" t="s">
        <v>217</v>
      </c>
      <c r="E175" s="0" t="s">
        <v>13</v>
      </c>
      <c r="F175" s="0" t="s">
        <v>14</v>
      </c>
      <c r="G175" s="0" t="s">
        <v>15</v>
      </c>
      <c r="H175" s="5">
        <v>154224.000000</v>
      </c>
    </row>
    <row r="176" spans="1:9">
      <c r="A176" s="22" t="str">
        <f>HYPERLINK("https://app.vivvix.com/360/KMI/IntelliDrive/ApplUI/Pages/CreativePages/CustomReportCreativeDetail.aspx?App=23&amp;ReportView=4&amp;Qid=1711245&amp;Row=168&amp;Col=1","Experience Yours Today")</f>
        <v/>
      </c>
      <c r="B176" s="0" t="s">
        <v>216</v>
      </c>
      <c r="C176" s="0" t="s">
        <v>217</v>
      </c>
      <c r="D176" s="0" t="s">
        <v>217</v>
      </c>
      <c r="E176" s="0" t="s">
        <v>13</v>
      </c>
      <c r="F176" s="0" t="s">
        <v>14</v>
      </c>
      <c r="G176" s="0" t="s">
        <v>15</v>
      </c>
      <c r="H176" s="5">
        <v>270968.000000</v>
      </c>
    </row>
    <row r="177" spans="1:9">
      <c r="A177" s="22" t="str">
        <f>HYPERLINK("https://app.vivvix.com/360/KMI/IntelliDrive/ApplUI/Pages/CreativePages/CustomReportCreativeDetail.aspx?App=23&amp;ReportView=4&amp;Qid=1711245&amp;Row=169&amp;Col=1","Experience Yours Today")</f>
        <v/>
      </c>
      <c r="B177" s="0" t="s">
        <v>218</v>
      </c>
      <c r="C177" s="0" t="s">
        <v>215</v>
      </c>
      <c r="D177" s="0" t="s">
        <v>215</v>
      </c>
      <c r="E177" s="0" t="s">
        <v>13</v>
      </c>
      <c r="F177" s="0" t="s">
        <v>14</v>
      </c>
      <c r="G177" s="0" t="s">
        <v>15</v>
      </c>
      <c r="H177" s="5">
        <v>85563.000000</v>
      </c>
    </row>
    <row r="178" spans="1:9">
      <c r="A178" s="22" t="str">
        <f>HYPERLINK("https://app.vivvix.com/360/KMI/IntelliDrive/ApplUI/Pages/CreativePages/CustomReportCreativeDetail.aspx?App=23&amp;ReportView=4&amp;Qid=1711245&amp;Row=170&amp;Col=1","Experience Yours Today")</f>
        <v/>
      </c>
      <c r="B178" s="0" t="s">
        <v>218</v>
      </c>
      <c r="C178" s="0" t="s">
        <v>215</v>
      </c>
      <c r="D178" s="0" t="s">
        <v>215</v>
      </c>
      <c r="E178" s="0" t="s">
        <v>13</v>
      </c>
      <c r="F178" s="0" t="s">
        <v>14</v>
      </c>
      <c r="G178" s="0" t="s">
        <v>15</v>
      </c>
      <c r="H178" s="5">
        <v>39941.000000</v>
      </c>
    </row>
    <row r="179" spans="1:9">
      <c r="A179" s="22" t="str">
        <f>HYPERLINK("https://app.vivvix.com/360/KMI/IntelliDrive/ApplUI/Pages/CreativePages/CustomReportCreativeDetail.aspx?App=23&amp;ReportView=4&amp;Qid=1711245&amp;Row=171&amp;Col=1","Experience Yours Today")</f>
        <v/>
      </c>
      <c r="B179" s="0" t="s">
        <v>218</v>
      </c>
      <c r="C179" s="0" t="s">
        <v>215</v>
      </c>
      <c r="D179" s="0" t="s">
        <v>215</v>
      </c>
      <c r="E179" s="0" t="s">
        <v>13</v>
      </c>
      <c r="F179" s="0" t="s">
        <v>14</v>
      </c>
      <c r="G179" s="0" t="s">
        <v>15</v>
      </c>
      <c r="H179" s="5">
        <v>1221.000000</v>
      </c>
    </row>
    <row r="180" spans="1:9">
      <c r="A180" s="22" t="str">
        <f>HYPERLINK("https://app.vivvix.com/360/KMI/IntelliDrive/ApplUI/Pages/CreativePages/CustomReportCreativeDetail.aspx?App=23&amp;ReportView=4&amp;Qid=1711245&amp;Row=172&amp;Col=1","Experience Yours Today")</f>
        <v/>
      </c>
      <c r="B180" s="0" t="s">
        <v>219</v>
      </c>
      <c r="C180" s="0" t="s">
        <v>217</v>
      </c>
      <c r="D180" s="0" t="s">
        <v>217</v>
      </c>
      <c r="E180" s="0" t="s">
        <v>13</v>
      </c>
      <c r="F180" s="0" t="s">
        <v>14</v>
      </c>
      <c r="G180" s="0" t="s">
        <v>15</v>
      </c>
      <c r="H180" s="5">
        <v>2137.000000</v>
      </c>
    </row>
    <row r="181" spans="1:9">
      <c r="A181" s="22" t="str">
        <f>HYPERLINK("https://app.vivvix.com/360/KMI/IntelliDrive/ApplUI/Pages/CreativePages/CustomReportCreativeDetail.aspx?App=23&amp;ReportView=4&amp;Qid=1711245&amp;Row=173&amp;Col=1","Experience Yours Today")</f>
        <v/>
      </c>
      <c r="B181" s="0" t="s">
        <v>219</v>
      </c>
      <c r="C181" s="0" t="s">
        <v>217</v>
      </c>
      <c r="D181" s="0" t="s">
        <v>217</v>
      </c>
      <c r="E181" s="0" t="s">
        <v>13</v>
      </c>
      <c r="F181" s="0" t="s">
        <v>14</v>
      </c>
      <c r="G181" s="0" t="s">
        <v>15</v>
      </c>
      <c r="H181" s="5">
        <v>1289.000000</v>
      </c>
    </row>
    <row r="182" spans="1:9">
      <c r="A182" s="22" t="str">
        <f>HYPERLINK("https://app.vivvix.com/360/KMI/IntelliDrive/ApplUI/Pages/CreativePages/CustomReportCreativeDetail.aspx?App=23&amp;ReportView=4&amp;Qid=1711245&amp;Row=174&amp;Col=1","Experience Yours Today")</f>
        <v/>
      </c>
      <c r="B182" s="0" t="s">
        <v>220</v>
      </c>
      <c r="C182" s="0" t="s">
        <v>217</v>
      </c>
      <c r="D182" s="0" t="s">
        <v>217</v>
      </c>
      <c r="E182" s="0" t="s">
        <v>13</v>
      </c>
      <c r="F182" s="0" t="s">
        <v>14</v>
      </c>
      <c r="G182" s="0" t="s">
        <v>15</v>
      </c>
      <c r="H182" s="5">
        <v>10193.000000</v>
      </c>
    </row>
    <row r="183" spans="1:9">
      <c r="A183" s="22" t="str">
        <f>HYPERLINK("https://app.vivvix.com/360/KMI/IntelliDrive/ApplUI/Pages/CreativePages/CustomReportCreativeDetail.aspx?App=23&amp;ReportView=4&amp;Qid=1711245&amp;Row=175&amp;Col=1","Experience Yours Today")</f>
        <v/>
      </c>
      <c r="B183" s="0" t="s">
        <v>216</v>
      </c>
      <c r="C183" s="0" t="s">
        <v>217</v>
      </c>
      <c r="D183" s="0" t="s">
        <v>217</v>
      </c>
      <c r="E183" s="0" t="s">
        <v>13</v>
      </c>
      <c r="F183" s="0" t="s">
        <v>14</v>
      </c>
      <c r="G183" s="0" t="s">
        <v>15</v>
      </c>
      <c r="H183" s="5">
        <v>99895.000000</v>
      </c>
    </row>
    <row r="184" spans="1:9">
      <c r="A184" s="22" t="str">
        <f>HYPERLINK("https://app.vivvix.com/360/KMI/IntelliDrive/ApplUI/Pages/CreativePages/CustomReportCreativeDetail.aspx?App=23&amp;ReportView=4&amp;Qid=1711245&amp;Row=176&amp;Col=1","F. Tiafoe: The Untold Story Of A Superstar")</f>
        <v/>
      </c>
      <c r="B184" s="0" t="s">
        <v>221</v>
      </c>
      <c r="E184" s="0" t="s">
        <v>13</v>
      </c>
      <c r="F184" s="0" t="s">
        <v>118</v>
      </c>
      <c r="G184" s="0" t="s">
        <v>119</v>
      </c>
      <c r="H184" s="5">
        <v>4688.000000</v>
      </c>
    </row>
    <row r="185" spans="1:9">
      <c r="A185" s="22" t="str">
        <f>HYPERLINK("https://app.vivvix.com/360/KMI/IntelliDrive/ApplUI/Pages/CreativePages/CustomReportCreativeDetail.aspx?App=23&amp;ReportView=4&amp;Qid=1711245&amp;Row=177&amp;Col=1","FAST CHARGING CAPABILITY")</f>
        <v/>
      </c>
      <c r="B185" s="0" t="s">
        <v>222</v>
      </c>
      <c r="C185" s="0" t="s">
        <v>223</v>
      </c>
      <c r="D185" s="0" t="s">
        <v>223</v>
      </c>
      <c r="E185" s="0" t="s">
        <v>13</v>
      </c>
      <c r="F185" s="0" t="s">
        <v>14</v>
      </c>
      <c r="G185" s="0" t="s">
        <v>15</v>
      </c>
      <c r="H185" s="5">
        <v>33186.237000</v>
      </c>
    </row>
    <row r="186" spans="1:9">
      <c r="A186" s="22" t="str">
        <f>HYPERLINK("https://app.vivvix.com/360/KMI/IntelliDrive/ApplUI/Pages/CreativePages/CustomReportCreativeDetail.aspx?App=23&amp;ReportView=4&amp;Qid=1711245&amp;Row=178&amp;Col=1","FAST CHARGING CAPABILITY")</f>
        <v/>
      </c>
      <c r="B186" s="0" t="s">
        <v>222</v>
      </c>
      <c r="E186" s="0" t="s">
        <v>13</v>
      </c>
      <c r="F186" s="0" t="s">
        <v>14</v>
      </c>
      <c r="G186" s="0" t="s">
        <v>15</v>
      </c>
      <c r="H186" s="5">
        <v>397226.500000</v>
      </c>
    </row>
    <row r="187" spans="1:9">
      <c r="A187" s="22" t="str">
        <f>HYPERLINK("https://app.vivvix.com/360/KMI/IntelliDrive/ApplUI/Pages/CreativePages/CustomReportCreativeDetail.aspx?App=23&amp;ReportView=4&amp;Qid=1711245&amp;Row=179&amp;Col=1","Fastest Growing EV")</f>
        <v/>
      </c>
      <c r="B187" s="0" t="s">
        <v>224</v>
      </c>
      <c r="C187" s="0" t="s">
        <v>225</v>
      </c>
      <c r="D187" s="0" t="s">
        <v>225</v>
      </c>
      <c r="E187" s="0" t="s">
        <v>13</v>
      </c>
      <c r="F187" s="0" t="s">
        <v>14</v>
      </c>
      <c r="G187" s="0" t="s">
        <v>15</v>
      </c>
      <c r="H187" s="5">
        <v>975.000000</v>
      </c>
    </row>
    <row r="188" spans="1:9">
      <c r="A188" s="22" t="str">
        <f>HYPERLINK("https://app.vivvix.com/360/KMI/IntelliDrive/ApplUI/Pages/CreativePages/CustomReportCreativeDetail.aspx?App=23&amp;ReportView=4&amp;Qid=1711245&amp;Row=180&amp;Col=1","Get $7,500 Ultium Promise Cash")</f>
        <v/>
      </c>
      <c r="B188" s="0" t="s">
        <v>226</v>
      </c>
      <c r="C188" s="0" t="s">
        <v>227</v>
      </c>
      <c r="D188" s="0" t="s">
        <v>227</v>
      </c>
      <c r="E188" s="0" t="s">
        <v>13</v>
      </c>
      <c r="F188" s="0" t="s">
        <v>14</v>
      </c>
      <c r="G188" s="0" t="s">
        <v>15</v>
      </c>
      <c r="H188" s="5">
        <v>185087.000000</v>
      </c>
    </row>
    <row r="189" spans="1:9">
      <c r="A189" s="22" t="str">
        <f>HYPERLINK("https://app.vivvix.com/360/KMI/IntelliDrive/ApplUI/Pages/CreativePages/CustomReportCreativeDetail.aspx?App=23&amp;ReportView=4&amp;Qid=1711245&amp;Row=181&amp;Col=1","Get $7,500 Ultium Promise Cash")</f>
        <v/>
      </c>
      <c r="B189" s="0" t="s">
        <v>226</v>
      </c>
      <c r="C189" s="0" t="s">
        <v>227</v>
      </c>
      <c r="D189" s="0" t="s">
        <v>227</v>
      </c>
      <c r="E189" s="0" t="s">
        <v>13</v>
      </c>
      <c r="F189" s="0" t="s">
        <v>14</v>
      </c>
      <c r="G189" s="0" t="s">
        <v>15</v>
      </c>
      <c r="H189" s="5">
        <v>1168.000000</v>
      </c>
    </row>
    <row r="190" spans="1:9">
      <c r="A190" s="22" t="str">
        <f>HYPERLINK("https://app.vivvix.com/360/KMI/IntelliDrive/ApplUI/Pages/CreativePages/CustomReportCreativeDetail.aspx?App=23&amp;ReportView=4&amp;Qid=1711245&amp;Row=182&amp;Col=1","get 2024 car at $569 a month")</f>
        <v/>
      </c>
      <c r="B190" s="0" t="s">
        <v>228</v>
      </c>
      <c r="C190" s="0" t="s">
        <v>229</v>
      </c>
      <c r="D190" s="0" t="s">
        <v>229</v>
      </c>
      <c r="E190" s="0" t="s">
        <v>13</v>
      </c>
      <c r="F190" s="0" t="s">
        <v>14</v>
      </c>
      <c r="G190" s="0" t="s">
        <v>22</v>
      </c>
      <c r="H190" s="5">
        <v>3023.020000</v>
      </c>
    </row>
    <row r="191" spans="1:9">
      <c r="A191" s="22" t="str">
        <f>HYPERLINK("https://app.vivvix.com/360/KMI/IntelliDrive/ApplUI/Pages/CreativePages/CustomReportCreativeDetail.aspx?App=23&amp;ReportView=4&amp;Qid=1711245&amp;Row=183&amp;Col=1","Get 3.9% APR For 48 Months")</f>
        <v/>
      </c>
      <c r="B191" s="0" t="s">
        <v>230</v>
      </c>
      <c r="C191" s="0" t="s">
        <v>231</v>
      </c>
      <c r="D191" s="0" t="s">
        <v>231</v>
      </c>
      <c r="E191" s="0" t="s">
        <v>13</v>
      </c>
      <c r="F191" s="0" t="s">
        <v>232</v>
      </c>
      <c r="G191" s="0" t="s">
        <v>233</v>
      </c>
      <c r="H191" s="5">
        <v>101628.000000</v>
      </c>
    </row>
    <row r="192" spans="1:9">
      <c r="A192" s="22" t="str">
        <f>HYPERLINK("https://app.vivvix.com/360/KMI/IntelliDrive/ApplUI/Pages/CreativePages/CustomReportCreativeDetail.aspx?App=23&amp;ReportView=4&amp;Qid=1711245&amp;Row=184&amp;Col=1","Get 3.9% APR For 48 Months")</f>
        <v/>
      </c>
      <c r="B192" s="0" t="s">
        <v>230</v>
      </c>
      <c r="C192" s="0" t="s">
        <v>231</v>
      </c>
      <c r="D192" s="0" t="s">
        <v>231</v>
      </c>
      <c r="E192" s="0" t="s">
        <v>13</v>
      </c>
      <c r="F192" s="0" t="s">
        <v>232</v>
      </c>
      <c r="G192" s="0" t="s">
        <v>233</v>
      </c>
      <c r="H192" s="5">
        <v>50.000000</v>
      </c>
    </row>
    <row r="193" spans="1:9">
      <c r="A193" s="22" t="str">
        <f>HYPERLINK("https://app.vivvix.com/360/KMI/IntelliDrive/ApplUI/Pages/CreativePages/CustomReportCreativeDetail.aspx?App=23&amp;ReportView=4&amp;Qid=1711245&amp;Row=185&amp;Col=1","Get 3.9% APR For 48 Months")</f>
        <v/>
      </c>
      <c r="B193" s="0" t="s">
        <v>234</v>
      </c>
      <c r="C193" s="0" t="s">
        <v>235</v>
      </c>
      <c r="D193" s="0" t="s">
        <v>235</v>
      </c>
      <c r="E193" s="0" t="s">
        <v>13</v>
      </c>
      <c r="F193" s="0" t="s">
        <v>28</v>
      </c>
      <c r="G193" s="0" t="s">
        <v>110</v>
      </c>
      <c r="H193" s="5">
        <v>1656.000000</v>
      </c>
    </row>
    <row r="194" spans="1:9">
      <c r="A194" s="22" t="str">
        <f>HYPERLINK("https://app.vivvix.com/360/KMI/IntelliDrive/ApplUI/Pages/CreativePages/CustomReportCreativeDetail.aspx?App=23&amp;ReportView=4&amp;Qid=1711245&amp;Row=186&amp;Col=1","Get 3.9% APR For 48 Months")</f>
        <v/>
      </c>
      <c r="B194" s="0" t="s">
        <v>236</v>
      </c>
      <c r="E194" s="0" t="s">
        <v>13</v>
      </c>
      <c r="F194" s="0" t="s">
        <v>232</v>
      </c>
      <c r="G194" s="0" t="s">
        <v>233</v>
      </c>
      <c r="H194" s="5">
        <v>43517.000000</v>
      </c>
    </row>
    <row r="195" spans="1:9">
      <c r="A195" s="22" t="str">
        <f>HYPERLINK("https://app.vivvix.com/360/KMI/IntelliDrive/ApplUI/Pages/CreativePages/CustomReportCreativeDetail.aspx?App=23&amp;ReportView=4&amp;Qid=1711245&amp;Row=187&amp;Col=1","Get A Great Offer")</f>
        <v/>
      </c>
      <c r="B195" s="0" t="s">
        <v>237</v>
      </c>
      <c r="C195" s="0" t="s">
        <v>238</v>
      </c>
      <c r="D195" s="0" t="s">
        <v>238</v>
      </c>
      <c r="E195" s="0" t="s">
        <v>13</v>
      </c>
      <c r="F195" s="0" t="s">
        <v>17</v>
      </c>
      <c r="G195" s="0" t="s">
        <v>18</v>
      </c>
      <c r="H195" s="5">
        <v>105690.000000</v>
      </c>
    </row>
    <row r="196" spans="1:9">
      <c r="A196" s="22" t="str">
        <f>HYPERLINK("https://app.vivvix.com/360/KMI/IntelliDrive/ApplUI/Pages/CreativePages/CustomReportCreativeDetail.aspx?App=23&amp;ReportView=4&amp;Qid=1711245&amp;Row=188&amp;Col=1","Get A Great Offer Now")</f>
        <v/>
      </c>
      <c r="B196" s="0" t="s">
        <v>239</v>
      </c>
      <c r="C196" s="0" t="s">
        <v>240</v>
      </c>
      <c r="D196" s="0" t="s">
        <v>240</v>
      </c>
      <c r="E196" s="0" t="s">
        <v>13</v>
      </c>
      <c r="F196" s="0" t="s">
        <v>106</v>
      </c>
      <c r="G196" s="0" t="s">
        <v>107</v>
      </c>
      <c r="H196" s="5">
        <v>37829.000000</v>
      </c>
    </row>
    <row r="197" spans="1:9">
      <c r="A197" s="22" t="str">
        <f>HYPERLINK("https://app.vivvix.com/360/KMI/IntelliDrive/ApplUI/Pages/CreativePages/CustomReportCreativeDetail.aspx?App=23&amp;ReportView=4&amp;Qid=1711245&amp;Row=189&amp;Col=1","Get A Great Offer Now")</f>
        <v/>
      </c>
      <c r="B197" s="0" t="s">
        <v>239</v>
      </c>
      <c r="C197" s="0" t="s">
        <v>240</v>
      </c>
      <c r="D197" s="0" t="s">
        <v>240</v>
      </c>
      <c r="E197" s="0" t="s">
        <v>13</v>
      </c>
      <c r="F197" s="0" t="s">
        <v>106</v>
      </c>
      <c r="G197" s="0" t="s">
        <v>107</v>
      </c>
      <c r="H197" s="5">
        <v>1093.000000</v>
      </c>
    </row>
    <row r="198" spans="1:9">
      <c r="A198" s="22" t="str">
        <f>HYPERLINK("https://app.vivvix.com/360/KMI/IntelliDrive/ApplUI/Pages/CreativePages/CustomReportCreativeDetail.aspx?App=23&amp;ReportView=4&amp;Qid=1711245&amp;Row=190&amp;Col=1","Get A Great Offer Now")</f>
        <v/>
      </c>
      <c r="B198" s="0" t="s">
        <v>239</v>
      </c>
      <c r="C198" s="0" t="s">
        <v>240</v>
      </c>
      <c r="D198" s="0" t="s">
        <v>240</v>
      </c>
      <c r="E198" s="0" t="s">
        <v>13</v>
      </c>
      <c r="F198" s="0" t="s">
        <v>106</v>
      </c>
      <c r="G198" s="0" t="s">
        <v>107</v>
      </c>
      <c r="H198" s="5">
        <v>226.000000</v>
      </c>
    </row>
    <row r="199" spans="1:9">
      <c r="A199" s="22" t="str">
        <f>HYPERLINK("https://app.vivvix.com/360/KMI/IntelliDrive/ApplUI/Pages/CreativePages/CustomReportCreativeDetail.aspx?App=23&amp;ReportView=4&amp;Qid=1711245&amp;Row=191&amp;Col=1","Get A Great Offer Now")</f>
        <v/>
      </c>
      <c r="B199" s="0" t="s">
        <v>241</v>
      </c>
      <c r="C199" s="0" t="s">
        <v>242</v>
      </c>
      <c r="D199" s="0" t="s">
        <v>242</v>
      </c>
      <c r="E199" s="0" t="s">
        <v>13</v>
      </c>
      <c r="F199" s="0" t="s">
        <v>106</v>
      </c>
      <c r="G199" s="0" t="s">
        <v>107</v>
      </c>
      <c r="H199" s="5">
        <v>50449.000000</v>
      </c>
    </row>
    <row r="200" spans="1:9">
      <c r="A200" s="22" t="str">
        <f>HYPERLINK("https://app.vivvix.com/360/KMI/IntelliDrive/ApplUI/Pages/CreativePages/CustomReportCreativeDetail.aspx?App=23&amp;ReportView=4&amp;Qid=1711245&amp;Row=192&amp;Col=1","Get All-Electric Cadillac Lyriq")</f>
        <v/>
      </c>
      <c r="B200" s="0" t="s">
        <v>243</v>
      </c>
      <c r="C200" s="0" t="s">
        <v>244</v>
      </c>
      <c r="D200" s="0" t="s">
        <v>244</v>
      </c>
      <c r="E200" s="0" t="s">
        <v>13</v>
      </c>
      <c r="F200" s="0" t="s">
        <v>14</v>
      </c>
      <c r="G200" s="0" t="s">
        <v>15</v>
      </c>
      <c r="H200" s="5">
        <v>585.431000</v>
      </c>
    </row>
    <row r="201" spans="1:9">
      <c r="A201" s="22" t="str">
        <f>HYPERLINK("https://app.vivvix.com/360/KMI/IntelliDrive/ApplUI/Pages/CreativePages/CustomReportCreativeDetail.aspx?App=23&amp;ReportView=4&amp;Qid=1711245&amp;Row=193&amp;Col=1","Get Fearless One")</f>
        <v/>
      </c>
      <c r="B201" s="0" t="s">
        <v>245</v>
      </c>
      <c r="C201" s="0" t="s">
        <v>246</v>
      </c>
      <c r="D201" s="0" t="s">
        <v>246</v>
      </c>
      <c r="E201" s="0" t="s">
        <v>13</v>
      </c>
      <c r="F201" s="0" t="s">
        <v>28</v>
      </c>
      <c r="G201" s="0" t="s">
        <v>29</v>
      </c>
      <c r="H201" s="5">
        <v>805.000000</v>
      </c>
    </row>
    <row r="202" spans="1:9">
      <c r="A202" s="22" t="str">
        <f>HYPERLINK("https://app.vivvix.com/360/KMI/IntelliDrive/ApplUI/Pages/CreativePages/CustomReportCreativeDetail.aspx?App=23&amp;ReportView=4&amp;Qid=1711245&amp;Row=194&amp;Col=1","Get Great Lease Deals/$4,169")</f>
        <v/>
      </c>
      <c r="B202" s="0" t="s">
        <v>247</v>
      </c>
      <c r="C202" s="0" t="s">
        <v>248</v>
      </c>
      <c r="D202" s="0" t="s">
        <v>249</v>
      </c>
      <c r="E202" s="0" t="s">
        <v>13</v>
      </c>
      <c r="F202" s="0" t="s">
        <v>17</v>
      </c>
      <c r="G202" s="0" t="s">
        <v>18</v>
      </c>
      <c r="H202" s="5">
        <v>19903.000000</v>
      </c>
    </row>
    <row r="203" spans="1:9">
      <c r="A203" s="22" t="str">
        <f>HYPERLINK("https://app.vivvix.com/360/KMI/IntelliDrive/ApplUI/Pages/CreativePages/CustomReportCreativeDetail.aspx?App=23&amp;ReportView=4&amp;Qid=1711245&amp;Row=195&amp;Col=1","Get Great Lease Deals/$4,169")</f>
        <v/>
      </c>
      <c r="B203" s="0" t="s">
        <v>250</v>
      </c>
      <c r="C203" s="0" t="s">
        <v>248</v>
      </c>
      <c r="D203" s="0" t="s">
        <v>249</v>
      </c>
      <c r="E203" s="0" t="s">
        <v>13</v>
      </c>
      <c r="F203" s="0" t="s">
        <v>17</v>
      </c>
      <c r="G203" s="0" t="s">
        <v>18</v>
      </c>
      <c r="H203" s="5">
        <v>2906.000000</v>
      </c>
    </row>
    <row r="204" spans="1:9">
      <c r="A204" s="22" t="str">
        <f>HYPERLINK("https://app.vivvix.com/360/KMI/IntelliDrive/ApplUI/Pages/CreativePages/CustomReportCreativeDetail.aspx?App=23&amp;ReportView=4&amp;Qid=1711245&amp;Row=196&amp;Col=1","Get Great Lease Deals/Legalese")</f>
        <v/>
      </c>
      <c r="B204" s="0" t="s">
        <v>251</v>
      </c>
      <c r="C204" s="0" t="s">
        <v>252</v>
      </c>
      <c r="D204" s="0" t="s">
        <v>249</v>
      </c>
      <c r="E204" s="0" t="s">
        <v>13</v>
      </c>
      <c r="F204" s="0" t="s">
        <v>17</v>
      </c>
      <c r="G204" s="0" t="s">
        <v>18</v>
      </c>
      <c r="H204" s="5">
        <v>120.000000</v>
      </c>
    </row>
    <row r="205" spans="1:9">
      <c r="A205" s="22" t="str">
        <f>HYPERLINK("https://app.vivvix.com/360/KMI/IntelliDrive/ApplUI/Pages/CreativePages/CustomReportCreativeDetail.aspx?App=23&amp;ReportView=4&amp;Qid=1711245&amp;Row=197&amp;Col=1","Get Great Lease Deals/Legalese")</f>
        <v/>
      </c>
      <c r="B205" s="0" t="s">
        <v>253</v>
      </c>
      <c r="C205" s="0" t="s">
        <v>252</v>
      </c>
      <c r="D205" s="0" t="s">
        <v>249</v>
      </c>
      <c r="E205" s="0" t="s">
        <v>13</v>
      </c>
      <c r="F205" s="0" t="s">
        <v>17</v>
      </c>
      <c r="G205" s="0" t="s">
        <v>18</v>
      </c>
      <c r="H205" s="5">
        <v>2097.000000</v>
      </c>
    </row>
    <row r="206" spans="1:9">
      <c r="A206" s="22" t="str">
        <f>HYPERLINK("https://app.vivvix.com/360/KMI/IntelliDrive/ApplUI/Pages/CreativePages/CustomReportCreativeDetail.aspx?App=23&amp;ReportView=4&amp;Qid=1711245&amp;Row=198&amp;Col=1","Get Great Lease Offers")</f>
        <v/>
      </c>
      <c r="B206" s="0" t="s">
        <v>254</v>
      </c>
      <c r="C206" s="0" t="s">
        <v>255</v>
      </c>
      <c r="D206" s="0" t="s">
        <v>255</v>
      </c>
      <c r="E206" s="0" t="s">
        <v>13</v>
      </c>
      <c r="F206" s="0" t="s">
        <v>14</v>
      </c>
      <c r="G206" s="0" t="s">
        <v>22</v>
      </c>
      <c r="H206" s="5">
        <v>4377.000000</v>
      </c>
    </row>
    <row r="207" spans="1:9">
      <c r="A207" s="22" t="str">
        <f>HYPERLINK("https://app.vivvix.com/360/KMI/IntelliDrive/ApplUI/Pages/CreativePages/CustomReportCreativeDetail.aspx?App=23&amp;ReportView=4&amp;Qid=1711245&amp;Row=199&amp;Col=1","Get Great Mile Range")</f>
        <v/>
      </c>
      <c r="B207" s="0" t="s">
        <v>256</v>
      </c>
      <c r="C207" s="0" t="s">
        <v>257</v>
      </c>
      <c r="D207" s="0" t="s">
        <v>257</v>
      </c>
      <c r="E207" s="0" t="s">
        <v>13</v>
      </c>
      <c r="F207" s="0" t="s">
        <v>14</v>
      </c>
      <c r="G207" s="0" t="s">
        <v>15</v>
      </c>
      <c r="H207" s="5">
        <v>224283.000000</v>
      </c>
    </row>
    <row r="208" spans="1:9">
      <c r="A208" s="22" t="str">
        <f>HYPERLINK("https://app.vivvix.com/360/KMI/IntelliDrive/ApplUI/Pages/CreativePages/CustomReportCreativeDetail.aspx?App=23&amp;ReportView=4&amp;Qid=1711245&amp;Row=200&amp;Col=1","Get Great Mile Range")</f>
        <v/>
      </c>
      <c r="B208" s="0" t="s">
        <v>256</v>
      </c>
      <c r="C208" s="0" t="s">
        <v>257</v>
      </c>
      <c r="D208" s="0" t="s">
        <v>257</v>
      </c>
      <c r="E208" s="0" t="s">
        <v>13</v>
      </c>
      <c r="F208" s="0" t="s">
        <v>14</v>
      </c>
      <c r="G208" s="0" t="s">
        <v>15</v>
      </c>
      <c r="H208" s="5">
        <v>32935.000000</v>
      </c>
    </row>
    <row r="209" spans="1:9">
      <c r="A209" s="22" t="str">
        <f>HYPERLINK("https://app.vivvix.com/360/KMI/IntelliDrive/ApplUI/Pages/CreativePages/CustomReportCreativeDetail.aspx?App=23&amp;ReportView=4&amp;Qid=1711245&amp;Row=201&amp;Col=1","Get The All-Electric Cadillac Lyriq")</f>
        <v/>
      </c>
      <c r="B209" s="0" t="s">
        <v>258</v>
      </c>
      <c r="C209" s="0" t="s">
        <v>259</v>
      </c>
      <c r="D209" s="0" t="s">
        <v>259</v>
      </c>
      <c r="E209" s="0" t="s">
        <v>13</v>
      </c>
      <c r="F209" s="0" t="s">
        <v>14</v>
      </c>
      <c r="G209" s="0" t="s">
        <v>15</v>
      </c>
      <c r="H209" s="5">
        <v>205974.222000</v>
      </c>
    </row>
    <row r="210" spans="1:9">
      <c r="A210" s="22" t="str">
        <f>HYPERLINK("https://app.vivvix.com/360/KMI/IntelliDrive/ApplUI/Pages/CreativePages/CustomReportCreativeDetail.aspx?App=23&amp;ReportView=4&amp;Qid=1711245&amp;Row=202&amp;Col=1","Get The All-Electric Cadillac Lyriq")</f>
        <v/>
      </c>
      <c r="B210" s="0" t="s">
        <v>258</v>
      </c>
      <c r="E210" s="0" t="s">
        <v>13</v>
      </c>
      <c r="F210" s="0" t="s">
        <v>14</v>
      </c>
      <c r="G210" s="0" t="s">
        <v>15</v>
      </c>
      <c r="H210" s="5">
        <v>6792.816000</v>
      </c>
    </row>
    <row r="211" spans="1:9">
      <c r="A211" s="22" t="str">
        <f>HYPERLINK("https://app.vivvix.com/360/KMI/IntelliDrive/ApplUI/Pages/CreativePages/CustomReportCreativeDetail.aspx?App=23&amp;ReportView=4&amp;Qid=1711245&amp;Row=203&amp;Col=1","Get The All-Electric Cadillac Lyriq")</f>
        <v/>
      </c>
      <c r="B211" s="0" t="s">
        <v>260</v>
      </c>
      <c r="C211" s="0" t="s">
        <v>261</v>
      </c>
      <c r="D211" s="0" t="s">
        <v>261</v>
      </c>
      <c r="E211" s="0" t="s">
        <v>13</v>
      </c>
      <c r="F211" s="0" t="s">
        <v>14</v>
      </c>
      <c r="G211" s="0" t="s">
        <v>15</v>
      </c>
      <c r="H211" s="5">
        <v>30451.831000</v>
      </c>
    </row>
    <row r="212" spans="1:9">
      <c r="A212" s="22" t="str">
        <f>HYPERLINK("https://app.vivvix.com/360/KMI/IntelliDrive/ApplUI/Pages/CreativePages/CustomReportCreativeDetail.aspx?App=23&amp;ReportView=4&amp;Qid=1711245&amp;Row=204&amp;Col=1","Get The All-Electric Cadillac Lyriq")</f>
        <v/>
      </c>
      <c r="B212" s="0" t="s">
        <v>260</v>
      </c>
      <c r="E212" s="0" t="s">
        <v>13</v>
      </c>
      <c r="F212" s="0" t="s">
        <v>14</v>
      </c>
      <c r="G212" s="0" t="s">
        <v>15</v>
      </c>
      <c r="H212" s="5">
        <v>42468.576000</v>
      </c>
    </row>
    <row r="213" spans="1:9">
      <c r="A213" s="22" t="str">
        <f>HYPERLINK("https://app.vivvix.com/360/KMI/IntelliDrive/ApplUI/Pages/CreativePages/CustomReportCreativeDetail.aspx?App=23&amp;ReportView=4&amp;Qid=1711245&amp;Row=205&amp;Col=1","Get the Amazing Lease Offer")</f>
        <v/>
      </c>
      <c r="B213" s="0" t="s">
        <v>262</v>
      </c>
      <c r="C213" s="0" t="s">
        <v>263</v>
      </c>
      <c r="D213" s="0" t="s">
        <v>263</v>
      </c>
      <c r="E213" s="0" t="s">
        <v>13</v>
      </c>
      <c r="F213" s="0" t="s">
        <v>28</v>
      </c>
      <c r="G213" s="0" t="s">
        <v>29</v>
      </c>
      <c r="H213" s="5">
        <v>494.000000</v>
      </c>
    </row>
    <row r="214" spans="1:9">
      <c r="A214" s="22" t="str">
        <f>HYPERLINK("https://app.vivvix.com/360/KMI/IntelliDrive/ApplUI/Pages/CreativePages/CustomReportCreativeDetail.aspx?App=23&amp;ReportView=4&amp;Qid=1711245&amp;Row=206&amp;Col=1","Get The Best Car")</f>
        <v/>
      </c>
      <c r="B214" s="0" t="s">
        <v>264</v>
      </c>
      <c r="C214" s="0" t="s">
        <v>265</v>
      </c>
      <c r="D214" s="0" t="s">
        <v>265</v>
      </c>
      <c r="E214" s="0" t="s">
        <v>13</v>
      </c>
      <c r="F214" s="0" t="s">
        <v>14</v>
      </c>
      <c r="G214" s="0" t="s">
        <v>22</v>
      </c>
      <c r="H214" s="5">
        <v>43714.550000</v>
      </c>
    </row>
    <row r="215" spans="1:9">
      <c r="A215" s="22" t="str">
        <f>HYPERLINK("https://app.vivvix.com/360/KMI/IntelliDrive/ApplUI/Pages/CreativePages/CustomReportCreativeDetail.aspx?App=23&amp;ReportView=4&amp;Qid=1711245&amp;Row=207&amp;Col=1","Get The Best Car")</f>
        <v/>
      </c>
      <c r="B215" s="0" t="s">
        <v>266</v>
      </c>
      <c r="C215" s="0" t="s">
        <v>267</v>
      </c>
      <c r="D215" s="0" t="s">
        <v>267</v>
      </c>
      <c r="E215" s="0" t="s">
        <v>13</v>
      </c>
      <c r="F215" s="0" t="s">
        <v>106</v>
      </c>
      <c r="G215" s="0" t="s">
        <v>268</v>
      </c>
      <c r="H215" s="5">
        <v>107277.000000</v>
      </c>
    </row>
    <row r="216" spans="1:9">
      <c r="A216" s="22" t="str">
        <f>HYPERLINK("https://app.vivvix.com/360/KMI/IntelliDrive/ApplUI/Pages/CreativePages/CustomReportCreativeDetail.aspx?App=23&amp;ReportView=4&amp;Qid=1711245&amp;Row=208&amp;Col=1","Get The Best Deal")</f>
        <v/>
      </c>
      <c r="B216" s="0" t="s">
        <v>269</v>
      </c>
      <c r="C216" s="0" t="s">
        <v>270</v>
      </c>
      <c r="D216" s="0" t="s">
        <v>270</v>
      </c>
      <c r="E216" s="0" t="s">
        <v>13</v>
      </c>
      <c r="F216" s="0" t="s">
        <v>13</v>
      </c>
      <c r="G216" s="0" t="s">
        <v>35</v>
      </c>
      <c r="H216" s="5">
        <v>5339.000000</v>
      </c>
    </row>
    <row r="217" spans="1:9">
      <c r="A217" s="22" t="str">
        <f>HYPERLINK("https://app.vivvix.com/360/KMI/IntelliDrive/ApplUI/Pages/CreativePages/CustomReportCreativeDetail.aspx?App=23&amp;ReportView=4&amp;Qid=1711245&amp;Row=209&amp;Col=1","Get The Best Electric Car")</f>
        <v/>
      </c>
      <c r="B217" s="0" t="s">
        <v>271</v>
      </c>
      <c r="E217" s="0" t="s">
        <v>13</v>
      </c>
      <c r="F217" s="0" t="s">
        <v>14</v>
      </c>
      <c r="G217" s="0" t="s">
        <v>15</v>
      </c>
      <c r="H217" s="5">
        <v>2488.783000</v>
      </c>
    </row>
    <row r="218" spans="1:9">
      <c r="A218" s="22" t="str">
        <f>HYPERLINK("https://app.vivvix.com/360/KMI/IntelliDrive/ApplUI/Pages/CreativePages/CustomReportCreativeDetail.aspx?App=23&amp;ReportView=4&amp;Qid=1711245&amp;Row=210&amp;Col=1","Get The Best Electric Car")</f>
        <v/>
      </c>
      <c r="B218" s="0" t="s">
        <v>271</v>
      </c>
      <c r="C218" s="0" t="s">
        <v>272</v>
      </c>
      <c r="D218" s="0" t="s">
        <v>272</v>
      </c>
      <c r="E218" s="0" t="s">
        <v>13</v>
      </c>
      <c r="F218" s="0" t="s">
        <v>14</v>
      </c>
      <c r="G218" s="0" t="s">
        <v>15</v>
      </c>
      <c r="H218" s="5">
        <v>2888.707000</v>
      </c>
    </row>
    <row r="219" spans="1:9">
      <c r="A219" s="22" t="str">
        <f>HYPERLINK("https://app.vivvix.com/360/KMI/IntelliDrive/ApplUI/Pages/CreativePages/CustomReportCreativeDetail.aspx?App=23&amp;ReportView=4&amp;Qid=1711245&amp;Row=211&amp;Col=1","Get The Best Electric Car")</f>
        <v/>
      </c>
      <c r="B219" s="0" t="s">
        <v>273</v>
      </c>
      <c r="C219" s="0" t="s">
        <v>274</v>
      </c>
      <c r="D219" s="0" t="s">
        <v>274</v>
      </c>
      <c r="E219" s="0" t="s">
        <v>13</v>
      </c>
      <c r="F219" s="0" t="s">
        <v>14</v>
      </c>
      <c r="G219" s="0" t="s">
        <v>15</v>
      </c>
      <c r="H219" s="5">
        <v>3949.568000</v>
      </c>
    </row>
    <row r="220" spans="1:9">
      <c r="A220" s="22" t="str">
        <f>HYPERLINK("https://app.vivvix.com/360/KMI/IntelliDrive/ApplUI/Pages/CreativePages/CustomReportCreativeDetail.aspx?App=23&amp;ReportView=4&amp;Qid=1711245&amp;Row=212&amp;Col=1","Get The Best Electric Car")</f>
        <v/>
      </c>
      <c r="B220" s="0" t="s">
        <v>273</v>
      </c>
      <c r="E220" s="0" t="s">
        <v>13</v>
      </c>
      <c r="F220" s="0" t="s">
        <v>14</v>
      </c>
      <c r="G220" s="0" t="s">
        <v>15</v>
      </c>
      <c r="H220" s="5">
        <v>3681.740000</v>
      </c>
    </row>
    <row r="221" spans="1:9">
      <c r="A221" s="22" t="str">
        <f>HYPERLINK("https://app.vivvix.com/360/KMI/IntelliDrive/ApplUI/Pages/CreativePages/CustomReportCreativeDetail.aspx?App=23&amp;ReportView=4&amp;Qid=1711245&amp;Row=213&amp;Col=1","Get The Best Electric Suv")</f>
        <v/>
      </c>
      <c r="B221" s="0" t="s">
        <v>275</v>
      </c>
      <c r="C221" s="0" t="s">
        <v>276</v>
      </c>
      <c r="D221" s="0" t="s">
        <v>276</v>
      </c>
      <c r="E221" s="0" t="s">
        <v>13</v>
      </c>
      <c r="F221" s="0" t="s">
        <v>14</v>
      </c>
      <c r="G221" s="0" t="s">
        <v>15</v>
      </c>
      <c r="H221" s="5">
        <v>5969.931000</v>
      </c>
    </row>
    <row r="222" spans="1:9">
      <c r="A222" s="22" t="str">
        <f>HYPERLINK("https://app.vivvix.com/360/KMI/IntelliDrive/ApplUI/Pages/CreativePages/CustomReportCreativeDetail.aspx?App=23&amp;ReportView=4&amp;Qid=1711245&amp;Row=214&amp;Col=1","Get The Best Offers")</f>
        <v/>
      </c>
      <c r="B222" s="0" t="s">
        <v>277</v>
      </c>
      <c r="C222" s="0" t="s">
        <v>278</v>
      </c>
      <c r="D222" s="0" t="s">
        <v>278</v>
      </c>
      <c r="E222" s="0" t="s">
        <v>13</v>
      </c>
      <c r="F222" s="0" t="s">
        <v>14</v>
      </c>
      <c r="G222" s="0" t="s">
        <v>103</v>
      </c>
      <c r="H222" s="5">
        <v>156136.000000</v>
      </c>
    </row>
    <row r="223" spans="1:9">
      <c r="A223" s="22" t="str">
        <f>HYPERLINK("https://app.vivvix.com/360/KMI/IntelliDrive/ApplUI/Pages/CreativePages/CustomReportCreativeDetail.aspx?App=23&amp;ReportView=4&amp;Qid=1711245&amp;Row=215&amp;Col=1","Get The Best Vehicle")</f>
        <v/>
      </c>
      <c r="B223" s="0" t="s">
        <v>279</v>
      </c>
      <c r="C223" s="0" t="s">
        <v>280</v>
      </c>
      <c r="D223" s="0" t="s">
        <v>280</v>
      </c>
      <c r="E223" s="0" t="s">
        <v>13</v>
      </c>
      <c r="F223" s="0" t="s">
        <v>13</v>
      </c>
      <c r="G223" s="0" t="s">
        <v>35</v>
      </c>
      <c r="H223" s="5">
        <v>833009.000000</v>
      </c>
    </row>
    <row r="224" spans="1:9">
      <c r="A224" s="22" t="str">
        <f>HYPERLINK("https://app.vivvix.com/360/KMI/IntelliDrive/ApplUI/Pages/CreativePages/CustomReportCreativeDetail.aspx?App=23&amp;ReportView=4&amp;Qid=1711245&amp;Row=216&amp;Col=1","Get The Best Vehicle")</f>
        <v/>
      </c>
      <c r="B224" s="0" t="s">
        <v>281</v>
      </c>
      <c r="C224" s="0" t="s">
        <v>282</v>
      </c>
      <c r="D224" s="0" t="s">
        <v>282</v>
      </c>
      <c r="E224" s="0" t="s">
        <v>13</v>
      </c>
      <c r="F224" s="0" t="s">
        <v>13</v>
      </c>
      <c r="G224" s="0" t="s">
        <v>35</v>
      </c>
      <c r="H224" s="5">
        <v>19972.000000</v>
      </c>
    </row>
    <row r="225" spans="1:9">
      <c r="A225" s="22" t="str">
        <f>HYPERLINK("https://app.vivvix.com/360/KMI/IntelliDrive/ApplUI/Pages/CreativePages/CustomReportCreativeDetail.aspx?App=23&amp;ReportView=4&amp;Qid=1711245&amp;Row=217&amp;Col=1","Get the Drive")</f>
        <v/>
      </c>
      <c r="B225" s="0" t="s">
        <v>283</v>
      </c>
      <c r="C225" s="0" t="s">
        <v>284</v>
      </c>
      <c r="D225" s="0" t="s">
        <v>284</v>
      </c>
      <c r="E225" s="0" t="s">
        <v>13</v>
      </c>
      <c r="F225" s="0" t="s">
        <v>13</v>
      </c>
      <c r="G225" s="0" t="s">
        <v>122</v>
      </c>
      <c r="H225" s="5">
        <v>119670.000000</v>
      </c>
    </row>
    <row r="226" spans="1:9">
      <c r="A226" s="22" t="str">
        <f>HYPERLINK("https://app.vivvix.com/360/KMI/IntelliDrive/ApplUI/Pages/CreativePages/CustomReportCreativeDetail.aspx?App=23&amp;ReportView=4&amp;Qid=1711245&amp;Row=218&amp;Col=1","Get the Drive")</f>
        <v/>
      </c>
      <c r="B226" s="0" t="s">
        <v>285</v>
      </c>
      <c r="C226" s="0" t="s">
        <v>284</v>
      </c>
      <c r="D226" s="0" t="s">
        <v>284</v>
      </c>
      <c r="E226" s="0" t="s">
        <v>13</v>
      </c>
      <c r="F226" s="0" t="s">
        <v>13</v>
      </c>
      <c r="G226" s="0" t="s">
        <v>122</v>
      </c>
      <c r="H226" s="5">
        <v>13962.000000</v>
      </c>
    </row>
    <row r="227" spans="1:9">
      <c r="A227" s="22" t="str">
        <f>HYPERLINK("https://app.vivvix.com/360/KMI/IntelliDrive/ApplUI/Pages/CreativePages/CustomReportCreativeDetail.aspx?App=23&amp;ReportView=4&amp;Qid=1711245&amp;Row=219&amp;Col=1","Get The Electric Car")</f>
        <v/>
      </c>
      <c r="B227" s="0" t="s">
        <v>286</v>
      </c>
      <c r="C227" s="0" t="s">
        <v>287</v>
      </c>
      <c r="D227" s="0" t="s">
        <v>287</v>
      </c>
      <c r="E227" s="0" t="s">
        <v>13</v>
      </c>
      <c r="F227" s="0" t="s">
        <v>14</v>
      </c>
      <c r="G227" s="0" t="s">
        <v>15</v>
      </c>
      <c r="H227" s="5">
        <v>203105.266000</v>
      </c>
    </row>
    <row r="228" spans="1:9">
      <c r="A228" s="22" t="str">
        <f>HYPERLINK("https://app.vivvix.com/360/KMI/IntelliDrive/ApplUI/Pages/CreativePages/CustomReportCreativeDetail.aspx?App=23&amp;ReportView=4&amp;Qid=1711245&amp;Row=220&amp;Col=1","Get the Electric Car ")</f>
        <v/>
      </c>
      <c r="B228" s="0" t="s">
        <v>288</v>
      </c>
      <c r="C228" s="0" t="s">
        <v>289</v>
      </c>
      <c r="D228" s="0" t="s">
        <v>289</v>
      </c>
      <c r="E228" s="0" t="s">
        <v>13</v>
      </c>
      <c r="F228" s="0" t="s">
        <v>14</v>
      </c>
      <c r="G228" s="0" t="s">
        <v>15</v>
      </c>
      <c r="H228" s="5">
        <v>716.000000</v>
      </c>
    </row>
    <row r="229" spans="1:9">
      <c r="A229" s="22" t="str">
        <f>HYPERLINK("https://app.vivvix.com/360/KMI/IntelliDrive/ApplUI/Pages/CreativePages/CustomReportCreativeDetail.aspx?App=23&amp;ReportView=4&amp;Qid=1711245&amp;Row=221&amp;Col=1","Get The Iconic One")</f>
        <v/>
      </c>
      <c r="B229" s="0" t="s">
        <v>290</v>
      </c>
      <c r="C229" s="0" t="s">
        <v>291</v>
      </c>
      <c r="D229" s="0" t="s">
        <v>291</v>
      </c>
      <c r="E229" s="0" t="s">
        <v>13</v>
      </c>
      <c r="F229" s="0" t="s">
        <v>28</v>
      </c>
      <c r="G229" s="0" t="s">
        <v>29</v>
      </c>
      <c r="H229" s="5">
        <v>75669.000000</v>
      </c>
    </row>
    <row r="230" spans="1:9">
      <c r="A230" s="22" t="str">
        <f>HYPERLINK("https://app.vivvix.com/360/KMI/IntelliDrive/ApplUI/Pages/CreativePages/CustomReportCreativeDetail.aspx?App=23&amp;ReportView=4&amp;Qid=1711245&amp;Row=222&amp;Col=1","Get The Luxurious Car")</f>
        <v/>
      </c>
      <c r="B230" s="0" t="s">
        <v>292</v>
      </c>
      <c r="C230" s="0" t="s">
        <v>293</v>
      </c>
      <c r="D230" s="0" t="s">
        <v>294</v>
      </c>
      <c r="E230" s="0" t="s">
        <v>13</v>
      </c>
      <c r="F230" s="0" t="s">
        <v>17</v>
      </c>
      <c r="G230" s="0" t="s">
        <v>18</v>
      </c>
      <c r="H230" s="5">
        <v>137702.000000</v>
      </c>
    </row>
    <row r="231" spans="1:9">
      <c r="A231" s="22" t="str">
        <f>HYPERLINK("https://app.vivvix.com/360/KMI/IntelliDrive/ApplUI/Pages/CreativePages/CustomReportCreativeDetail.aspx?App=23&amp;ReportView=4&amp;Qid=1711245&amp;Row=223&amp;Col=1","Get The Luxurious Car")</f>
        <v/>
      </c>
      <c r="B231" s="0" t="s">
        <v>295</v>
      </c>
      <c r="C231" s="0" t="s">
        <v>296</v>
      </c>
      <c r="D231" s="0" t="s">
        <v>296</v>
      </c>
      <c r="E231" s="0" t="s">
        <v>13</v>
      </c>
      <c r="F231" s="0" t="s">
        <v>17</v>
      </c>
      <c r="G231" s="0" t="s">
        <v>18</v>
      </c>
      <c r="H231" s="5">
        <v>56307.000000</v>
      </c>
    </row>
    <row r="232" spans="1:9">
      <c r="A232" s="22" t="str">
        <f>HYPERLINK("https://app.vivvix.com/360/KMI/IntelliDrive/ApplUI/Pages/CreativePages/CustomReportCreativeDetail.aspx?App=23&amp;ReportView=4&amp;Qid=1711245&amp;Row=224&amp;Col=1","Get The Luxurious Car")</f>
        <v/>
      </c>
      <c r="B232" s="0" t="s">
        <v>295</v>
      </c>
      <c r="C232" s="0" t="s">
        <v>296</v>
      </c>
      <c r="D232" s="0" t="s">
        <v>296</v>
      </c>
      <c r="E232" s="0" t="s">
        <v>13</v>
      </c>
      <c r="F232" s="0" t="s">
        <v>17</v>
      </c>
      <c r="G232" s="0" t="s">
        <v>18</v>
      </c>
      <c r="H232" s="5">
        <v>1550.000000</v>
      </c>
    </row>
    <row r="233" spans="1:9">
      <c r="A233" s="22" t="str">
        <f>HYPERLINK("https://app.vivvix.com/360/KMI/IntelliDrive/ApplUI/Pages/CreativePages/CustomReportCreativeDetail.aspx?App=23&amp;ReportView=4&amp;Qid=1711245&amp;Row=225&amp;Col=1","Get The Luxurious Car")</f>
        <v/>
      </c>
      <c r="B233" s="0" t="s">
        <v>297</v>
      </c>
      <c r="C233" s="0" t="s">
        <v>298</v>
      </c>
      <c r="D233" s="0" t="s">
        <v>298</v>
      </c>
      <c r="E233" s="0" t="s">
        <v>13</v>
      </c>
      <c r="F233" s="0" t="s">
        <v>17</v>
      </c>
      <c r="G233" s="0" t="s">
        <v>18</v>
      </c>
      <c r="H233" s="5">
        <v>3628.000000</v>
      </c>
    </row>
    <row r="234" spans="1:9">
      <c r="A234" s="22" t="str">
        <f>HYPERLINK("https://app.vivvix.com/360/KMI/IntelliDrive/ApplUI/Pages/CreativePages/CustomReportCreativeDetail.aspx?App=23&amp;ReportView=4&amp;Qid=1711245&amp;Row=226&amp;Col=1","Get this Amazing Lease Offer")</f>
        <v/>
      </c>
      <c r="B234" s="0" t="s">
        <v>299</v>
      </c>
      <c r="C234" s="0" t="s">
        <v>300</v>
      </c>
      <c r="D234" s="0" t="s">
        <v>300</v>
      </c>
      <c r="E234" s="0" t="s">
        <v>13</v>
      </c>
      <c r="F234" s="0" t="s">
        <v>28</v>
      </c>
      <c r="G234" s="0" t="s">
        <v>29</v>
      </c>
      <c r="H234" s="5">
        <v>21189.000000</v>
      </c>
    </row>
    <row r="235" spans="1:9">
      <c r="A235" s="22" t="str">
        <f>HYPERLINK("https://app.vivvix.com/360/KMI/IntelliDrive/ApplUI/Pages/CreativePages/CustomReportCreativeDetail.aspx?App=23&amp;ReportView=4&amp;Qid=1711245&amp;Row=227&amp;Col=1","Get This Amazing Offer")</f>
        <v/>
      </c>
      <c r="B235" s="0" t="s">
        <v>301</v>
      </c>
      <c r="C235" s="0" t="s">
        <v>302</v>
      </c>
      <c r="D235" s="0" t="s">
        <v>302</v>
      </c>
      <c r="E235" s="0" t="s">
        <v>13</v>
      </c>
      <c r="F235" s="0" t="s">
        <v>14</v>
      </c>
      <c r="G235" s="0" t="s">
        <v>22</v>
      </c>
      <c r="H235" s="5">
        <v>75533.000000</v>
      </c>
    </row>
    <row r="236" spans="1:9">
      <c r="A236" s="22" t="str">
        <f>HYPERLINK("https://app.vivvix.com/360/KMI/IntelliDrive/ApplUI/Pages/CreativePages/CustomReportCreativeDetail.aspx?App=23&amp;ReportView=4&amp;Qid=1711245&amp;Row=228&amp;Col=1","Get This Amazing Vehicle")</f>
        <v/>
      </c>
      <c r="B236" s="0" t="s">
        <v>303</v>
      </c>
      <c r="C236" s="0" t="s">
        <v>304</v>
      </c>
      <c r="D236" s="0" t="s">
        <v>304</v>
      </c>
      <c r="E236" s="0" t="s">
        <v>13</v>
      </c>
      <c r="F236" s="0" t="s">
        <v>13</v>
      </c>
      <c r="G236" s="0" t="s">
        <v>35</v>
      </c>
      <c r="H236" s="5">
        <v>25160.000000</v>
      </c>
    </row>
    <row r="237" spans="1:9">
      <c r="A237" s="22" t="str">
        <f>HYPERLINK("https://app.vivvix.com/360/KMI/IntelliDrive/ApplUI/Pages/CreativePages/CustomReportCreativeDetail.aspx?App=23&amp;ReportView=4&amp;Qid=1711245&amp;Row=229&amp;Col=1","get this low mileage lease")</f>
        <v/>
      </c>
      <c r="B237" s="0" t="s">
        <v>305</v>
      </c>
      <c r="C237" s="0" t="s">
        <v>306</v>
      </c>
      <c r="D237" s="0" t="s">
        <v>306</v>
      </c>
      <c r="E237" s="0" t="s">
        <v>13</v>
      </c>
      <c r="F237" s="0" t="s">
        <v>128</v>
      </c>
      <c r="G237" s="0" t="s">
        <v>129</v>
      </c>
      <c r="H237" s="5">
        <v>11740.000000</v>
      </c>
    </row>
    <row r="238" spans="1:9">
      <c r="A238" s="22" t="str">
        <f>HYPERLINK("https://app.vivvix.com/360/KMI/IntelliDrive/ApplUI/Pages/CreativePages/CustomReportCreativeDetail.aspx?App=23&amp;ReportView=4&amp;Qid=1711245&amp;Row=230&amp;Col=1","Get Your Dream Car Now")</f>
        <v/>
      </c>
      <c r="B238" s="0" t="s">
        <v>307</v>
      </c>
      <c r="C238" s="0" t="s">
        <v>308</v>
      </c>
      <c r="D238" s="0" t="s">
        <v>308</v>
      </c>
      <c r="E238" s="0" t="s">
        <v>13</v>
      </c>
      <c r="F238" s="0" t="s">
        <v>17</v>
      </c>
      <c r="G238" s="0" t="s">
        <v>18</v>
      </c>
      <c r="H238" s="5">
        <v>90913.000000</v>
      </c>
    </row>
    <row r="239" spans="1:9">
      <c r="A239" s="22" t="str">
        <f>HYPERLINK("https://app.vivvix.com/360/KMI/IntelliDrive/ApplUI/Pages/CreativePages/CustomReportCreativeDetail.aspx?App=23&amp;ReportView=4&amp;Qid=1711245&amp;Row=231&amp;Col=1","Get Your Dream Car Now")</f>
        <v/>
      </c>
      <c r="B239" s="0" t="s">
        <v>309</v>
      </c>
      <c r="C239" s="0" t="s">
        <v>310</v>
      </c>
      <c r="D239" s="0" t="s">
        <v>310</v>
      </c>
      <c r="E239" s="0" t="s">
        <v>13</v>
      </c>
      <c r="F239" s="0" t="s">
        <v>28</v>
      </c>
      <c r="G239" s="0" t="s">
        <v>29</v>
      </c>
      <c r="H239" s="5">
        <v>63476.000000</v>
      </c>
    </row>
    <row r="240" spans="1:9">
      <c r="A240" s="22" t="str">
        <f>HYPERLINK("https://app.vivvix.com/360/KMI/IntelliDrive/ApplUI/Pages/CreativePages/CustomReportCreativeDetail.aspx?App=23&amp;ReportView=4&amp;Qid=1711245&amp;Row=232&amp;Col=1","Get Your Dream Car Now")</f>
        <v/>
      </c>
      <c r="B240" s="0" t="s">
        <v>311</v>
      </c>
      <c r="C240" s="0" t="s">
        <v>312</v>
      </c>
      <c r="D240" s="0" t="s">
        <v>312</v>
      </c>
      <c r="E240" s="0" t="s">
        <v>13</v>
      </c>
      <c r="F240" s="0" t="s">
        <v>17</v>
      </c>
      <c r="G240" s="0" t="s">
        <v>18</v>
      </c>
      <c r="H240" s="5">
        <v>5969.931000</v>
      </c>
    </row>
    <row r="241" spans="1:9">
      <c r="A241" s="22" t="str">
        <f>HYPERLINK("https://app.vivvix.com/360/KMI/IntelliDrive/ApplUI/Pages/CreativePages/CustomReportCreativeDetail.aspx?App=23&amp;ReportView=4&amp;Qid=1711245&amp;Row=233&amp;Col=1","Get Your Dream Car Now")</f>
        <v/>
      </c>
      <c r="B241" s="0" t="s">
        <v>313</v>
      </c>
      <c r="C241" s="0" t="s">
        <v>314</v>
      </c>
      <c r="D241" s="0" t="s">
        <v>314</v>
      </c>
      <c r="E241" s="0" t="s">
        <v>13</v>
      </c>
      <c r="F241" s="0" t="s">
        <v>28</v>
      </c>
      <c r="G241" s="0" t="s">
        <v>110</v>
      </c>
      <c r="H241" s="5">
        <v>49469.000000</v>
      </c>
    </row>
    <row r="242" spans="1:9">
      <c r="A242" s="22" t="str">
        <f>HYPERLINK("https://app.vivvix.com/360/KMI/IntelliDrive/ApplUI/Pages/CreativePages/CustomReportCreativeDetail.aspx?App=23&amp;ReportView=4&amp;Qid=1711245&amp;Row=234&amp;Col=1","Get Your Dream Car Now")</f>
        <v/>
      </c>
      <c r="B242" s="0" t="s">
        <v>315</v>
      </c>
      <c r="C242" s="0" t="s">
        <v>316</v>
      </c>
      <c r="D242" s="0" t="s">
        <v>316</v>
      </c>
      <c r="E242" s="0" t="s">
        <v>13</v>
      </c>
      <c r="F242" s="0" t="s">
        <v>128</v>
      </c>
      <c r="G242" s="0" t="s">
        <v>317</v>
      </c>
      <c r="H242" s="5">
        <v>36835.000000</v>
      </c>
    </row>
    <row r="243" spans="1:9">
      <c r="A243" s="22" t="str">
        <f>HYPERLINK("https://app.vivvix.com/360/KMI/IntelliDrive/ApplUI/Pages/CreativePages/CustomReportCreativeDetail.aspx?App=23&amp;ReportView=4&amp;Qid=1711245&amp;Row=235&amp;Col=1","Get Your Senses Racing")</f>
        <v/>
      </c>
      <c r="B243" s="0" t="s">
        <v>318</v>
      </c>
      <c r="E243" s="0" t="s">
        <v>13</v>
      </c>
      <c r="F243" s="0" t="s">
        <v>13</v>
      </c>
      <c r="G243" s="0" t="s">
        <v>35</v>
      </c>
      <c r="H243" s="5">
        <v>18052.000000</v>
      </c>
    </row>
    <row r="244" spans="1:9">
      <c r="A244" s="22" t="str">
        <f>HYPERLINK("https://app.vivvix.com/360/KMI/IntelliDrive/ApplUI/Pages/CreativePages/CustomReportCreativeDetail.aspx?App=23&amp;ReportView=4&amp;Qid=1711245&amp;Row=236&amp;Col=1","Get Your Senses Racing")</f>
        <v/>
      </c>
      <c r="B244" s="0" t="s">
        <v>318</v>
      </c>
      <c r="E244" s="0" t="s">
        <v>13</v>
      </c>
      <c r="F244" s="0" t="s">
        <v>13</v>
      </c>
      <c r="G244" s="0" t="s">
        <v>35</v>
      </c>
      <c r="H244" s="5">
        <v>28415.000000</v>
      </c>
    </row>
    <row r="245" spans="1:9">
      <c r="A245" s="22" t="str">
        <f>HYPERLINK("https://app.vivvix.com/360/KMI/IntelliDrive/ApplUI/Pages/CreativePages/CustomReportCreativeDetail.aspx?App=23&amp;ReportView=4&amp;Qid=1711245&amp;Row=237&amp;Col=1","Go Electric Now")</f>
        <v/>
      </c>
      <c r="B245" s="0" t="s">
        <v>319</v>
      </c>
      <c r="C245" s="0" t="s">
        <v>320</v>
      </c>
      <c r="D245" s="0" t="s">
        <v>320</v>
      </c>
      <c r="E245" s="0" t="s">
        <v>13</v>
      </c>
      <c r="F245" s="0" t="s">
        <v>14</v>
      </c>
      <c r="G245" s="0" t="s">
        <v>15</v>
      </c>
      <c r="H245" s="5">
        <v>90436.000000</v>
      </c>
    </row>
    <row r="246" spans="1:9">
      <c r="A246" s="22" t="str">
        <f>HYPERLINK("https://app.vivvix.com/360/KMI/IntelliDrive/ApplUI/Pages/CreativePages/CustomReportCreativeDetail.aspx?App=23&amp;ReportView=4&amp;Qid=1711245&amp;Row=238&amp;Col=1","Go Electric Now")</f>
        <v/>
      </c>
      <c r="B246" s="0" t="s">
        <v>319</v>
      </c>
      <c r="C246" s="0" t="s">
        <v>320</v>
      </c>
      <c r="D246" s="0" t="s">
        <v>320</v>
      </c>
      <c r="E246" s="0" t="s">
        <v>13</v>
      </c>
      <c r="F246" s="0" t="s">
        <v>14</v>
      </c>
      <c r="G246" s="0" t="s">
        <v>15</v>
      </c>
      <c r="H246" s="5">
        <v>4166.000000</v>
      </c>
    </row>
    <row r="247" spans="1:9">
      <c r="A247" s="22" t="str">
        <f>HYPERLINK("https://app.vivvix.com/360/KMI/IntelliDrive/ApplUI/Pages/CreativePages/CustomReportCreativeDetail.aspx?App=23&amp;ReportView=4&amp;Qid=1711245&amp;Row=239&amp;Col=1","Go Electric Now")</f>
        <v/>
      </c>
      <c r="B247" s="0" t="s">
        <v>321</v>
      </c>
      <c r="C247" s="0" t="s">
        <v>322</v>
      </c>
      <c r="D247" s="0" t="s">
        <v>322</v>
      </c>
      <c r="E247" s="0" t="s">
        <v>13</v>
      </c>
      <c r="F247" s="0" t="s">
        <v>14</v>
      </c>
      <c r="G247" s="0" t="s">
        <v>22</v>
      </c>
      <c r="H247" s="5">
        <v>0.000000</v>
      </c>
    </row>
    <row r="248" spans="1:9">
      <c r="A248" s="22" t="str">
        <f>HYPERLINK("https://app.vivvix.com/360/KMI/IntelliDrive/ApplUI/Pages/CreativePages/CustomReportCreativeDetail.aspx?App=23&amp;ReportView=4&amp;Qid=1711245&amp;Row=240&amp;Col=1","Google To Lookout")</f>
        <v/>
      </c>
      <c r="B248" s="0" t="s">
        <v>323</v>
      </c>
      <c r="C248" s="0" t="s">
        <v>324</v>
      </c>
      <c r="D248" s="0" t="s">
        <v>324</v>
      </c>
      <c r="E248" s="0" t="s">
        <v>13</v>
      </c>
      <c r="F248" s="0" t="s">
        <v>17</v>
      </c>
      <c r="G248" s="0" t="s">
        <v>18</v>
      </c>
      <c r="H248" s="5">
        <v>10750.000000</v>
      </c>
    </row>
    <row r="249" spans="1:9">
      <c r="A249" s="22" t="str">
        <f>HYPERLINK("https://app.vivvix.com/360/KMI/IntelliDrive/ApplUI/Pages/CreativePages/CustomReportCreativeDetail.aspx?App=23&amp;ReportView=4&amp;Qid=1711245&amp;Row=241&amp;Col=1","Google To Lookout")</f>
        <v/>
      </c>
      <c r="B249" s="0" t="s">
        <v>325</v>
      </c>
      <c r="C249" s="0" t="s">
        <v>21</v>
      </c>
      <c r="D249" s="0" t="s">
        <v>21</v>
      </c>
      <c r="E249" s="0" t="s">
        <v>13</v>
      </c>
      <c r="F249" s="0" t="s">
        <v>14</v>
      </c>
      <c r="G249" s="0" t="s">
        <v>22</v>
      </c>
      <c r="H249" s="5">
        <v>356010.000000</v>
      </c>
    </row>
    <row r="250" spans="1:9">
      <c r="A250" s="22" t="str">
        <f>HYPERLINK("https://app.vivvix.com/360/KMI/IntelliDrive/ApplUI/Pages/CreativePages/CustomReportCreativeDetail.aspx?App=23&amp;ReportView=4&amp;Qid=1711245&amp;Row=242&amp;Col=1","Grab Season's Best Sales Event")</f>
        <v/>
      </c>
      <c r="B250" s="0" t="s">
        <v>326</v>
      </c>
      <c r="C250" s="0" t="s">
        <v>327</v>
      </c>
      <c r="D250" s="0" t="s">
        <v>327</v>
      </c>
      <c r="E250" s="0" t="s">
        <v>13</v>
      </c>
      <c r="F250" s="0" t="s">
        <v>14</v>
      </c>
      <c r="G250" s="0" t="s">
        <v>62</v>
      </c>
      <c r="H250" s="5">
        <v>768861.000000</v>
      </c>
    </row>
    <row r="251" spans="1:9">
      <c r="A251" s="22" t="str">
        <f>HYPERLINK("https://app.vivvix.com/360/KMI/IntelliDrive/ApplUI/Pages/CreativePages/CustomReportCreativeDetail.aspx?App=23&amp;ReportView=4&amp;Qid=1711245&amp;Row=243&amp;Col=1","Grab Season's Best Sales Event")</f>
        <v/>
      </c>
      <c r="B251" s="0" t="s">
        <v>326</v>
      </c>
      <c r="C251" s="0" t="s">
        <v>327</v>
      </c>
      <c r="D251" s="0" t="s">
        <v>327</v>
      </c>
      <c r="E251" s="0" t="s">
        <v>13</v>
      </c>
      <c r="F251" s="0" t="s">
        <v>14</v>
      </c>
      <c r="G251" s="0" t="s">
        <v>62</v>
      </c>
      <c r="H251" s="5">
        <v>291088.000000</v>
      </c>
    </row>
    <row r="252" spans="1:9">
      <c r="A252" s="22" t="str">
        <f>HYPERLINK("https://app.vivvix.com/360/KMI/IntelliDrive/ApplUI/Pages/CreativePages/CustomReportCreativeDetail.aspx?App=23&amp;ReportView=4&amp;Qid=1711245&amp;Row=244&amp;Col=1","Grab Season's Best Sales Event")</f>
        <v/>
      </c>
      <c r="B252" s="0" t="s">
        <v>326</v>
      </c>
      <c r="C252" s="0" t="s">
        <v>327</v>
      </c>
      <c r="D252" s="0" t="s">
        <v>327</v>
      </c>
      <c r="E252" s="0" t="s">
        <v>13</v>
      </c>
      <c r="F252" s="0" t="s">
        <v>14</v>
      </c>
      <c r="G252" s="0" t="s">
        <v>62</v>
      </c>
      <c r="H252" s="5">
        <v>172825.000000</v>
      </c>
    </row>
    <row r="253" spans="1:9">
      <c r="A253" s="22" t="str">
        <f>HYPERLINK("https://app.vivvix.com/360/KMI/IntelliDrive/ApplUI/Pages/CreativePages/CustomReportCreativeDetail.aspx?App=23&amp;ReportView=4&amp;Qid=1711245&amp;Row=245&amp;Col=1","Grab Season's Best Sales Event")</f>
        <v/>
      </c>
      <c r="B253" s="0" t="s">
        <v>326</v>
      </c>
      <c r="C253" s="0" t="s">
        <v>327</v>
      </c>
      <c r="D253" s="0" t="s">
        <v>327</v>
      </c>
      <c r="E253" s="0" t="s">
        <v>13</v>
      </c>
      <c r="F253" s="0" t="s">
        <v>14</v>
      </c>
      <c r="G253" s="0" t="s">
        <v>62</v>
      </c>
      <c r="H253" s="5">
        <v>1278509.000000</v>
      </c>
    </row>
    <row r="254" spans="1:9">
      <c r="A254" s="22" t="str">
        <f>HYPERLINK("https://app.vivvix.com/360/KMI/IntelliDrive/ApplUI/Pages/CreativePages/CustomReportCreativeDetail.aspx?App=23&amp;ReportView=4&amp;Qid=1711245&amp;Row=246&amp;Col=1","Grab Season's Best Sales Event")</f>
        <v/>
      </c>
      <c r="B254" s="0" t="s">
        <v>328</v>
      </c>
      <c r="C254" s="0" t="s">
        <v>329</v>
      </c>
      <c r="D254" s="0" t="s">
        <v>329</v>
      </c>
      <c r="E254" s="0" t="s">
        <v>13</v>
      </c>
      <c r="F254" s="0" t="s">
        <v>330</v>
      </c>
      <c r="G254" s="0" t="s">
        <v>331</v>
      </c>
      <c r="H254" s="5">
        <v>61164.000000</v>
      </c>
    </row>
    <row r="255" spans="1:9">
      <c r="A255" s="22" t="str">
        <f>HYPERLINK("https://app.vivvix.com/360/KMI/IntelliDrive/ApplUI/Pages/CreativePages/CustomReportCreativeDetail.aspx?App=23&amp;ReportView=4&amp;Qid=1711245&amp;Row=247&amp;Col=1","Grab Season's Best Sales Event")</f>
        <v/>
      </c>
      <c r="B255" s="0" t="s">
        <v>332</v>
      </c>
      <c r="C255" s="0" t="s">
        <v>333</v>
      </c>
      <c r="D255" s="0" t="s">
        <v>333</v>
      </c>
      <c r="E255" s="0" t="s">
        <v>13</v>
      </c>
      <c r="F255" s="0" t="s">
        <v>330</v>
      </c>
      <c r="G255" s="0" t="s">
        <v>331</v>
      </c>
      <c r="H255" s="5">
        <v>16780.000000</v>
      </c>
    </row>
    <row r="256" spans="1:9">
      <c r="A256" s="22" t="str">
        <f>HYPERLINK("https://app.vivvix.com/360/KMI/IntelliDrive/ApplUI/Pages/CreativePages/CustomReportCreativeDetail.aspx?App=23&amp;ReportView=4&amp;Qid=1711245&amp;Row=248&amp;Col=1","Grab Seasons Best Sales Event")</f>
        <v/>
      </c>
      <c r="B256" s="0" t="s">
        <v>334</v>
      </c>
      <c r="C256" s="0" t="s">
        <v>335</v>
      </c>
      <c r="D256" s="0" t="s">
        <v>335</v>
      </c>
      <c r="E256" s="0" t="s">
        <v>13</v>
      </c>
      <c r="F256" s="0" t="s">
        <v>14</v>
      </c>
      <c r="G256" s="0" t="s">
        <v>103</v>
      </c>
      <c r="H256" s="5">
        <v>20005.923000</v>
      </c>
    </row>
    <row r="257" spans="1:9">
      <c r="A257" s="22" t="str">
        <f>HYPERLINK("https://app.vivvix.com/360/KMI/IntelliDrive/ApplUI/Pages/CreativePages/CustomReportCreativeDetail.aspx?App=23&amp;ReportView=4&amp;Qid=1711245&amp;Row=249&amp;Col=1","Grab The Car With Mile Range Over 300")</f>
        <v/>
      </c>
      <c r="B257" s="0" t="s">
        <v>336</v>
      </c>
      <c r="C257" s="0" t="s">
        <v>337</v>
      </c>
      <c r="D257" s="0" t="s">
        <v>337</v>
      </c>
      <c r="E257" s="0" t="s">
        <v>13</v>
      </c>
      <c r="F257" s="0" t="s">
        <v>14</v>
      </c>
      <c r="G257" s="0" t="s">
        <v>15</v>
      </c>
      <c r="H257" s="5">
        <v>253294.280000</v>
      </c>
    </row>
    <row r="258" spans="1:9">
      <c r="A258" s="22" t="str">
        <f>HYPERLINK("https://app.vivvix.com/360/KMI/IntelliDrive/ApplUI/Pages/CreativePages/CustomReportCreativeDetail.aspx?App=23&amp;ReportView=4&amp;Qid=1711245&amp;Row=250&amp;Col=1","Grab The Car With Mile Range Over 300")</f>
        <v/>
      </c>
      <c r="B258" s="0" t="s">
        <v>336</v>
      </c>
      <c r="E258" s="0" t="s">
        <v>13</v>
      </c>
      <c r="F258" s="0" t="s">
        <v>14</v>
      </c>
      <c r="G258" s="0" t="s">
        <v>15</v>
      </c>
      <c r="H258" s="5">
        <v>648507.918000</v>
      </c>
    </row>
    <row r="259" spans="1:9">
      <c r="A259" s="22" t="str">
        <f>HYPERLINK("https://app.vivvix.com/360/KMI/IntelliDrive/ApplUI/Pages/CreativePages/CustomReportCreativeDetail.aspx?App=23&amp;ReportView=4&amp;Qid=1711245&amp;Row=251&amp;Col=1","Great Mile Range With Electrifying One")</f>
        <v/>
      </c>
      <c r="B259" s="0" t="s">
        <v>338</v>
      </c>
      <c r="C259" s="0" t="s">
        <v>339</v>
      </c>
      <c r="D259" s="0" t="s">
        <v>339</v>
      </c>
      <c r="E259" s="0" t="s">
        <v>13</v>
      </c>
      <c r="F259" s="0" t="s">
        <v>14</v>
      </c>
      <c r="G259" s="0" t="s">
        <v>22</v>
      </c>
      <c r="H259" s="5">
        <v>47443.000000</v>
      </c>
    </row>
    <row r="260" spans="1:9">
      <c r="A260" s="22" t="str">
        <f>HYPERLINK("https://app.vivvix.com/360/KMI/IntelliDrive/ApplUI/Pages/CreativePages/CustomReportCreativeDetail.aspx?App=23&amp;ReportView=4&amp;Qid=1711245&amp;Row=252&amp;Col=1","Holiday Season Deal/$509")</f>
        <v/>
      </c>
      <c r="B260" s="0" t="s">
        <v>340</v>
      </c>
      <c r="C260" s="0" t="s">
        <v>341</v>
      </c>
      <c r="D260" s="0" t="s">
        <v>342</v>
      </c>
      <c r="E260" s="0" t="s">
        <v>13</v>
      </c>
      <c r="F260" s="0" t="s">
        <v>28</v>
      </c>
      <c r="G260" s="0" t="s">
        <v>29</v>
      </c>
      <c r="H260" s="5">
        <v>175.000000</v>
      </c>
    </row>
    <row r="261" spans="1:9">
      <c r="A261" s="22" t="str">
        <f>HYPERLINK("https://app.vivvix.com/360/KMI/IntelliDrive/ApplUI/Pages/CreativePages/CustomReportCreativeDetail.aspx?App=23&amp;ReportView=4&amp;Qid=1711245&amp;Row=253&amp;Col=1","HOW TO CONNECT YOUR PHONE WITH BLUE TOOTH")</f>
        <v/>
      </c>
      <c r="B261" s="0" t="s">
        <v>343</v>
      </c>
      <c r="C261" s="0" t="s">
        <v>344</v>
      </c>
      <c r="D261" s="0" t="s">
        <v>344</v>
      </c>
      <c r="E261" s="0" t="s">
        <v>13</v>
      </c>
      <c r="F261" s="0" t="s">
        <v>13</v>
      </c>
      <c r="G261" s="0" t="s">
        <v>35</v>
      </c>
      <c r="H261" s="5">
        <v>2662.541000</v>
      </c>
    </row>
    <row r="262" spans="1:9">
      <c r="A262" s="22" t="str">
        <f>HYPERLINK("https://app.vivvix.com/360/KMI/IntelliDrive/ApplUI/Pages/CreativePages/CustomReportCreativeDetail.aspx?App=23&amp;ReportView=4&amp;Qid=1711245&amp;Row=254&amp;Col=1","HOW TO CONNECT YOUR PHONE WITH BLUE TOOTH")</f>
        <v/>
      </c>
      <c r="B262" s="0" t="s">
        <v>343</v>
      </c>
      <c r="E262" s="0" t="s">
        <v>13</v>
      </c>
      <c r="F262" s="0" t="s">
        <v>13</v>
      </c>
      <c r="G262" s="0" t="s">
        <v>35</v>
      </c>
      <c r="H262" s="5">
        <v>185673.563000</v>
      </c>
    </row>
    <row r="263" spans="1:9">
      <c r="A263" s="22" t="str">
        <f>HYPERLINK("https://app.vivvix.com/360/KMI/IntelliDrive/ApplUI/Pages/CreativePages/CustomReportCreativeDetail.aspx?App=23&amp;ReportView=4&amp;Qid=1711245&amp;Row=255&amp;Col=1","Iconic All-Electric")</f>
        <v/>
      </c>
      <c r="B263" s="0" t="s">
        <v>345</v>
      </c>
      <c r="C263" s="0" t="s">
        <v>346</v>
      </c>
      <c r="D263" s="0" t="s">
        <v>346</v>
      </c>
      <c r="E263" s="0" t="s">
        <v>13</v>
      </c>
      <c r="F263" s="0" t="s">
        <v>14</v>
      </c>
      <c r="G263" s="0" t="s">
        <v>15</v>
      </c>
      <c r="H263" s="5">
        <v>5614.000000</v>
      </c>
    </row>
    <row r="264" spans="1:9">
      <c r="A264" s="22" t="str">
        <f>HYPERLINK("https://app.vivvix.com/360/KMI/IntelliDrive/ApplUI/Pages/CreativePages/CustomReportCreativeDetail.aspx?App=23&amp;ReportView=4&amp;Qid=1711245&amp;Row=256&amp;Col=1","Iconic All-Electric")</f>
        <v/>
      </c>
      <c r="B264" s="0" t="s">
        <v>345</v>
      </c>
      <c r="C264" s="0" t="s">
        <v>346</v>
      </c>
      <c r="D264" s="0" t="s">
        <v>346</v>
      </c>
      <c r="E264" s="0" t="s">
        <v>13</v>
      </c>
      <c r="F264" s="0" t="s">
        <v>14</v>
      </c>
      <c r="G264" s="0" t="s">
        <v>15</v>
      </c>
      <c r="H264" s="5">
        <v>254614.000000</v>
      </c>
    </row>
    <row r="265" spans="1:9">
      <c r="A265" s="22" t="str">
        <f>HYPERLINK("https://app.vivvix.com/360/KMI/IntelliDrive/ApplUI/Pages/CreativePages/CustomReportCreativeDetail.aspx?App=23&amp;ReportView=4&amp;Qid=1711245&amp;Row=257&amp;Col=1","Iconic All-Electric")</f>
        <v/>
      </c>
      <c r="B265" s="0" t="s">
        <v>345</v>
      </c>
      <c r="C265" s="0" t="s">
        <v>346</v>
      </c>
      <c r="D265" s="0" t="s">
        <v>346</v>
      </c>
      <c r="E265" s="0" t="s">
        <v>13</v>
      </c>
      <c r="F265" s="0" t="s">
        <v>14</v>
      </c>
      <c r="G265" s="0" t="s">
        <v>15</v>
      </c>
      <c r="H265" s="5">
        <v>194830.000000</v>
      </c>
    </row>
    <row r="266" spans="1:9">
      <c r="A266" s="22" t="str">
        <f>HYPERLINK("https://app.vivvix.com/360/KMI/IntelliDrive/ApplUI/Pages/CreativePages/CustomReportCreativeDetail.aspx?App=23&amp;ReportView=4&amp;Qid=1711245&amp;Row=258&amp;Col=1","Iconic To Go Electric SUV")</f>
        <v/>
      </c>
      <c r="B266" s="0" t="s">
        <v>347</v>
      </c>
      <c r="C266" s="0" t="s">
        <v>348</v>
      </c>
      <c r="D266" s="0" t="s">
        <v>349</v>
      </c>
      <c r="E266" s="0" t="s">
        <v>13</v>
      </c>
      <c r="F266" s="0" t="s">
        <v>14</v>
      </c>
      <c r="G266" s="0" t="s">
        <v>15</v>
      </c>
      <c r="H266" s="5">
        <v>664.000000</v>
      </c>
    </row>
    <row r="267" spans="1:9">
      <c r="A267" s="22" t="str">
        <f>HYPERLINK("https://app.vivvix.com/360/KMI/IntelliDrive/ApplUI/Pages/CreativePages/CustomReportCreativeDetail.aspx?App=23&amp;ReportView=4&amp;Qid=1711245&amp;Row=259&amp;Col=1","Iconic To Go Electric SUV")</f>
        <v/>
      </c>
      <c r="B267" s="0" t="s">
        <v>347</v>
      </c>
      <c r="C267" s="0" t="s">
        <v>348</v>
      </c>
      <c r="D267" s="0" t="s">
        <v>349</v>
      </c>
      <c r="E267" s="0" t="s">
        <v>13</v>
      </c>
      <c r="F267" s="0" t="s">
        <v>14</v>
      </c>
      <c r="G267" s="0" t="s">
        <v>15</v>
      </c>
      <c r="H267" s="5">
        <v>4240.000000</v>
      </c>
    </row>
    <row r="268" spans="1:9">
      <c r="A268" s="22" t="str">
        <f>HYPERLINK("https://app.vivvix.com/360/KMI/IntelliDrive/ApplUI/Pages/CreativePages/CustomReportCreativeDetail.aspx?App=23&amp;ReportView=4&amp;Qid=1711245&amp;Row=260&amp;Col=1","Iconic To Go Electric SUV")</f>
        <v/>
      </c>
      <c r="B268" s="0" t="s">
        <v>347</v>
      </c>
      <c r="C268" s="0" t="s">
        <v>348</v>
      </c>
      <c r="D268" s="0" t="s">
        <v>349</v>
      </c>
      <c r="E268" s="0" t="s">
        <v>13</v>
      </c>
      <c r="F268" s="0" t="s">
        <v>14</v>
      </c>
      <c r="G268" s="0" t="s">
        <v>15</v>
      </c>
      <c r="H268" s="5">
        <v>9306.000000</v>
      </c>
    </row>
    <row r="269" spans="1:9">
      <c r="A269" s="22" t="str">
        <f>HYPERLINK("https://app.vivvix.com/360/KMI/IntelliDrive/ApplUI/Pages/CreativePages/CustomReportCreativeDetail.aspx?App=23&amp;ReportView=4&amp;Qid=1711245&amp;Row=261&amp;Col=1","Iconic To Go Electric SUV")</f>
        <v/>
      </c>
      <c r="B269" s="0" t="s">
        <v>350</v>
      </c>
      <c r="C269" s="0" t="s">
        <v>351</v>
      </c>
      <c r="D269" s="0" t="s">
        <v>351</v>
      </c>
      <c r="E269" s="0" t="s">
        <v>13</v>
      </c>
      <c r="F269" s="0" t="s">
        <v>14</v>
      </c>
      <c r="G269" s="0" t="s">
        <v>15</v>
      </c>
      <c r="H269" s="5">
        <v>559255.000000</v>
      </c>
    </row>
    <row r="270" spans="1:9">
      <c r="A270" s="22" t="str">
        <f>HYPERLINK("https://app.vivvix.com/360/KMI/IntelliDrive/ApplUI/Pages/CreativePages/CustomReportCreativeDetail.aspx?App=23&amp;ReportView=4&amp;Qid=1711245&amp;Row=262&amp;Col=1","Iconic To Go Electric SUV")</f>
        <v/>
      </c>
      <c r="B270" s="0" t="s">
        <v>350</v>
      </c>
      <c r="C270" s="0" t="s">
        <v>351</v>
      </c>
      <c r="D270" s="0" t="s">
        <v>351</v>
      </c>
      <c r="E270" s="0" t="s">
        <v>13</v>
      </c>
      <c r="F270" s="0" t="s">
        <v>14</v>
      </c>
      <c r="G270" s="0" t="s">
        <v>15</v>
      </c>
      <c r="H270" s="5">
        <v>2430.000000</v>
      </c>
    </row>
    <row r="271" spans="1:9">
      <c r="A271" s="22" t="str">
        <f>HYPERLINK("https://app.vivvix.com/360/KMI/IntelliDrive/ApplUI/Pages/CreativePages/CustomReportCreativeDetail.aspx?App=23&amp;ReportView=4&amp;Qid=1711245&amp;Row=263&amp;Col=1","Iconic To Go Electric SUV")</f>
        <v/>
      </c>
      <c r="B271" s="0" t="s">
        <v>350</v>
      </c>
      <c r="C271" s="0" t="s">
        <v>351</v>
      </c>
      <c r="D271" s="0" t="s">
        <v>351</v>
      </c>
      <c r="E271" s="0" t="s">
        <v>13</v>
      </c>
      <c r="F271" s="0" t="s">
        <v>14</v>
      </c>
      <c r="G271" s="0" t="s">
        <v>15</v>
      </c>
      <c r="H271" s="5">
        <v>119590.000000</v>
      </c>
    </row>
    <row r="272" spans="1:9">
      <c r="A272" s="22" t="str">
        <f>HYPERLINK("https://app.vivvix.com/360/KMI/IntelliDrive/ApplUI/Pages/CreativePages/CustomReportCreativeDetail.aspx?App=23&amp;ReportView=4&amp;Qid=1711245&amp;Row=264&amp;Col=1","IT IS THE FASTEST GROWING EV")</f>
        <v/>
      </c>
      <c r="B272" s="0" t="s">
        <v>352</v>
      </c>
      <c r="C272" s="0" t="s">
        <v>353</v>
      </c>
      <c r="D272" s="0" t="s">
        <v>353</v>
      </c>
      <c r="E272" s="0" t="s">
        <v>13</v>
      </c>
      <c r="F272" s="0" t="s">
        <v>14</v>
      </c>
      <c r="G272" s="0" t="s">
        <v>15</v>
      </c>
      <c r="H272" s="5">
        <v>7691.262000</v>
      </c>
    </row>
    <row r="273" spans="1:9">
      <c r="A273" s="22" t="str">
        <f>HYPERLINK("https://app.vivvix.com/360/KMI/IntelliDrive/ApplUI/Pages/CreativePages/CustomReportCreativeDetail.aspx?App=23&amp;ReportView=4&amp;Qid=1711245&amp;Row=265&amp;Col=1","It's Jeep 4x4 Season 17")</f>
        <v/>
      </c>
      <c r="B273" s="0" t="s">
        <v>354</v>
      </c>
      <c r="C273" s="0" t="s">
        <v>355</v>
      </c>
      <c r="D273" s="0" t="s">
        <v>356</v>
      </c>
      <c r="E273" s="0" t="s">
        <v>13</v>
      </c>
      <c r="F273" s="0" t="s">
        <v>14</v>
      </c>
      <c r="G273" s="0" t="s">
        <v>22</v>
      </c>
      <c r="H273" s="5">
        <v>771.000000</v>
      </c>
    </row>
    <row r="274" spans="1:9">
      <c r="A274" s="22" t="str">
        <f>HYPERLINK("https://app.vivvix.com/360/KMI/IntelliDrive/ApplUI/Pages/CreativePages/CustomReportCreativeDetail.aspx?App=23&amp;ReportView=4&amp;Qid=1711245&amp;Row=266&amp;Col=1","It's Jeep 4x4 Season 17")</f>
        <v/>
      </c>
      <c r="B274" s="0" t="s">
        <v>354</v>
      </c>
      <c r="C274" s="0" t="s">
        <v>355</v>
      </c>
      <c r="D274" s="0" t="s">
        <v>356</v>
      </c>
      <c r="E274" s="0" t="s">
        <v>13</v>
      </c>
      <c r="F274" s="0" t="s">
        <v>14</v>
      </c>
      <c r="G274" s="0" t="s">
        <v>22</v>
      </c>
      <c r="H274" s="5">
        <v>10.000000</v>
      </c>
    </row>
    <row r="275" spans="1:9">
      <c r="A275" s="22" t="str">
        <f>HYPERLINK("https://app.vivvix.com/360/KMI/IntelliDrive/ApplUI/Pages/CreativePages/CustomReportCreativeDetail.aspx?App=23&amp;ReportView=4&amp;Qid=1711245&amp;Row=267&amp;Col=1","J. Venson: Be Electric Now")</f>
        <v/>
      </c>
      <c r="B275" s="0" t="s">
        <v>357</v>
      </c>
      <c r="C275" s="0" t="s">
        <v>358</v>
      </c>
      <c r="D275" s="0" t="s">
        <v>358</v>
      </c>
      <c r="E275" s="0" t="s">
        <v>13</v>
      </c>
      <c r="F275" s="0" t="s">
        <v>14</v>
      </c>
      <c r="G275" s="0" t="s">
        <v>15</v>
      </c>
      <c r="H275" s="5">
        <v>7339.000000</v>
      </c>
    </row>
    <row r="276" spans="1:9">
      <c r="A276" s="22" t="str">
        <f>HYPERLINK("https://app.vivvix.com/360/KMI/IntelliDrive/ApplUI/Pages/CreativePages/CustomReportCreativeDetail.aspx?App=23&amp;ReportView=4&amp;Qid=1711245&amp;Row=268&amp;Col=1","Just Drive")</f>
        <v/>
      </c>
      <c r="B276" s="0" t="s">
        <v>359</v>
      </c>
      <c r="C276" s="0" t="s">
        <v>360</v>
      </c>
      <c r="D276" s="0" t="s">
        <v>360</v>
      </c>
      <c r="E276" s="0" t="s">
        <v>13</v>
      </c>
      <c r="F276" s="0" t="s">
        <v>14</v>
      </c>
      <c r="G276" s="0" t="s">
        <v>15</v>
      </c>
      <c r="H276" s="5">
        <v>5268.879000</v>
      </c>
    </row>
    <row r="277" spans="1:9">
      <c r="A277" s="22" t="str">
        <f>HYPERLINK("https://app.vivvix.com/360/KMI/IntelliDrive/ApplUI/Pages/CreativePages/CustomReportCreativeDetail.aspx?App=23&amp;ReportView=4&amp;Qid=1711245&amp;Row=269&amp;Col=1","just the collection of people")</f>
        <v/>
      </c>
      <c r="B277" s="0" t="s">
        <v>361</v>
      </c>
      <c r="E277" s="0" t="s">
        <v>13</v>
      </c>
      <c r="F277" s="0" t="s">
        <v>118</v>
      </c>
      <c r="G277" s="0" t="s">
        <v>119</v>
      </c>
      <c r="H277" s="5">
        <v>376.000000</v>
      </c>
    </row>
    <row r="278" spans="1:9">
      <c r="A278" s="22" t="str">
        <f>HYPERLINK("https://app.vivvix.com/360/KMI/IntelliDrive/ApplUI/Pages/CreativePages/CustomReportCreativeDetail.aspx?App=23&amp;ReportView=4&amp;Qid=1711245&amp;Row=270&amp;Col=1","Know More")</f>
        <v/>
      </c>
      <c r="B278" s="0" t="s">
        <v>362</v>
      </c>
      <c r="E278" s="0" t="s">
        <v>13</v>
      </c>
      <c r="F278" s="0" t="s">
        <v>13</v>
      </c>
      <c r="G278" s="0" t="s">
        <v>54</v>
      </c>
      <c r="H278" s="5">
        <v>36187.051000</v>
      </c>
    </row>
    <row r="279" spans="1:9">
      <c r="A279" s="22" t="str">
        <f>HYPERLINK("https://app.vivvix.com/360/KMI/IntelliDrive/ApplUI/Pages/CreativePages/CustomReportCreativeDetail.aspx?App=23&amp;ReportView=4&amp;Qid=1711245&amp;Row=271&amp;Col=1","Know More")</f>
        <v/>
      </c>
      <c r="B279" s="0" t="s">
        <v>362</v>
      </c>
      <c r="E279" s="0" t="s">
        <v>13</v>
      </c>
      <c r="F279" s="0" t="s">
        <v>13</v>
      </c>
      <c r="G279" s="0" t="s">
        <v>54</v>
      </c>
      <c r="H279" s="5">
        <v>5173.000000</v>
      </c>
    </row>
    <row r="280" spans="1:9">
      <c r="A280" s="22" t="str">
        <f>HYPERLINK("https://app.vivvix.com/360/KMI/IntelliDrive/ApplUI/Pages/CreativePages/CustomReportCreativeDetail.aspx?App=23&amp;ReportView=4&amp;Qid=1711245&amp;Row=272&amp;Col=1","Lease $589 Per Month For 24 Months")</f>
        <v/>
      </c>
      <c r="B280" s="0" t="s">
        <v>363</v>
      </c>
      <c r="C280" s="0" t="s">
        <v>364</v>
      </c>
      <c r="D280" s="0" t="s">
        <v>365</v>
      </c>
      <c r="E280" s="0" t="s">
        <v>13</v>
      </c>
      <c r="F280" s="0" t="s">
        <v>14</v>
      </c>
      <c r="G280" s="0" t="s">
        <v>22</v>
      </c>
      <c r="H280" s="5">
        <v>6064.000000</v>
      </c>
    </row>
    <row r="281" spans="1:9">
      <c r="A281" s="22" t="str">
        <f>HYPERLINK("https://app.vivvix.com/360/KMI/IntelliDrive/ApplUI/Pages/CreativePages/CustomReportCreativeDetail.aspx?App=23&amp;ReportView=4&amp;Qid=1711245&amp;Row=273&amp;Col=1","Lease Car For $679 Per Month For 24 Months")</f>
        <v/>
      </c>
      <c r="B281" s="0" t="s">
        <v>366</v>
      </c>
      <c r="C281" s="0" t="s">
        <v>365</v>
      </c>
      <c r="D281" s="0" t="s">
        <v>365</v>
      </c>
      <c r="E281" s="0" t="s">
        <v>13</v>
      </c>
      <c r="F281" s="0" t="s">
        <v>14</v>
      </c>
      <c r="G281" s="0" t="s">
        <v>22</v>
      </c>
      <c r="H281" s="5">
        <v>127553.000000</v>
      </c>
    </row>
    <row r="282" spans="1:9">
      <c r="A282" s="22" t="str">
        <f>HYPERLINK("https://app.vivvix.com/360/KMI/IntelliDrive/ApplUI/Pages/CreativePages/CustomReportCreativeDetail.aspx?App=23&amp;ReportView=4&amp;Qid=1711245&amp;Row=274&amp;Col=1","Lease For $569 For 24 Months")</f>
        <v/>
      </c>
      <c r="B282" s="0" t="s">
        <v>367</v>
      </c>
      <c r="C282" s="0" t="s">
        <v>368</v>
      </c>
      <c r="D282" s="0" t="s">
        <v>368</v>
      </c>
      <c r="E282" s="0" t="s">
        <v>13</v>
      </c>
      <c r="F282" s="0" t="s">
        <v>14</v>
      </c>
      <c r="G282" s="0" t="s">
        <v>22</v>
      </c>
      <c r="H282" s="5">
        <v>19380.876000</v>
      </c>
    </row>
    <row r="283" spans="1:9">
      <c r="A283" s="22" t="str">
        <f>HYPERLINK("https://app.vivvix.com/360/KMI/IntelliDrive/ApplUI/Pages/CreativePages/CustomReportCreativeDetail.aspx?App=23&amp;ReportView=4&amp;Qid=1711245&amp;Row=275&amp;Col=1","Low Millage Lease Deal")</f>
        <v/>
      </c>
      <c r="B283" s="0" t="s">
        <v>369</v>
      </c>
      <c r="C283" s="0" t="s">
        <v>370</v>
      </c>
      <c r="D283" s="0" t="s">
        <v>370</v>
      </c>
      <c r="E283" s="0" t="s">
        <v>13</v>
      </c>
      <c r="F283" s="0" t="s">
        <v>28</v>
      </c>
      <c r="G283" s="0" t="s">
        <v>29</v>
      </c>
      <c r="H283" s="5">
        <v>1355.000000</v>
      </c>
    </row>
    <row r="284" spans="1:9">
      <c r="A284" s="22" t="str">
        <f>HYPERLINK("https://app.vivvix.com/360/KMI/IntelliDrive/ApplUI/Pages/CreativePages/CustomReportCreativeDetail.aspx?App=23&amp;ReportView=4&amp;Qid=1711245&amp;Row=276&amp;Col=1","Luxury")</f>
        <v/>
      </c>
      <c r="B284" s="0" t="s">
        <v>371</v>
      </c>
      <c r="E284" s="0" t="s">
        <v>13</v>
      </c>
      <c r="F284" s="0" t="s">
        <v>13</v>
      </c>
      <c r="G284" s="0" t="s">
        <v>54</v>
      </c>
      <c r="H284" s="5">
        <v>1686.723000</v>
      </c>
    </row>
    <row r="285" spans="1:9">
      <c r="A285" s="22" t="str">
        <f>HYPERLINK("https://app.vivvix.com/360/KMI/IntelliDrive/ApplUI/Pages/CreativePages/CustomReportCreativeDetail.aspx?App=23&amp;ReportView=4&amp;Qid=1711245&amp;Row=277&amp;Col=1","Luxury In Mind ($7,500, National)")</f>
        <v/>
      </c>
      <c r="B285" s="0" t="s">
        <v>372</v>
      </c>
      <c r="C285" s="0" t="s">
        <v>373</v>
      </c>
      <c r="D285" s="0" t="s">
        <v>373</v>
      </c>
      <c r="E285" s="0" t="s">
        <v>13</v>
      </c>
      <c r="F285" s="0" t="s">
        <v>13</v>
      </c>
      <c r="G285" s="0" t="s">
        <v>54</v>
      </c>
      <c r="H285" s="5">
        <v>3046.646000</v>
      </c>
    </row>
    <row r="286" spans="1:9">
      <c r="A286" s="22" t="str">
        <f>HYPERLINK("https://app.vivvix.com/360/KMI/IntelliDrive/ApplUI/Pages/CreativePages/CustomReportCreativeDetail.aspx?App=23&amp;ReportView=4&amp;Qid=1711245&amp;Row=278&amp;Col=1","LYRIQ")</f>
        <v/>
      </c>
      <c r="B286" s="0" t="s">
        <v>374</v>
      </c>
      <c r="C286" s="0" t="s">
        <v>375</v>
      </c>
      <c r="D286" s="0" t="s">
        <v>375</v>
      </c>
      <c r="E286" s="0" t="s">
        <v>13</v>
      </c>
      <c r="F286" s="0" t="s">
        <v>14</v>
      </c>
      <c r="G286" s="0" t="s">
        <v>15</v>
      </c>
      <c r="H286" s="5">
        <v>71831.000000</v>
      </c>
    </row>
    <row r="287" spans="1:9">
      <c r="A287" s="22" t="str">
        <f>HYPERLINK("https://app.vivvix.com/360/KMI/IntelliDrive/ApplUI/Pages/CreativePages/CustomReportCreativeDetail.aspx?App=23&amp;ReportView=4&amp;Qid=1711245&amp;Row=279&amp;Col=1","Made To Be Bold")</f>
        <v/>
      </c>
      <c r="B287" s="0" t="s">
        <v>376</v>
      </c>
      <c r="C287" s="0" t="s">
        <v>377</v>
      </c>
      <c r="D287" s="0" t="s">
        <v>377</v>
      </c>
      <c r="E287" s="0" t="s">
        <v>13</v>
      </c>
      <c r="F287" s="0" t="s">
        <v>14</v>
      </c>
      <c r="G287" s="0" t="s">
        <v>15</v>
      </c>
      <c r="H287" s="5">
        <v>497411.000000</v>
      </c>
    </row>
    <row r="288" spans="1:9">
      <c r="A288" s="22" t="str">
        <f>HYPERLINK("https://app.vivvix.com/360/KMI/IntelliDrive/ApplUI/Pages/CreativePages/CustomReportCreativeDetail.aspx?App=23&amp;ReportView=4&amp;Qid=1711245&amp;Row=280&amp;Col=1","Made To Be Bold")</f>
        <v/>
      </c>
      <c r="B288" s="0" t="s">
        <v>376</v>
      </c>
      <c r="C288" s="0" t="s">
        <v>377</v>
      </c>
      <c r="D288" s="0" t="s">
        <v>377</v>
      </c>
      <c r="E288" s="0" t="s">
        <v>13</v>
      </c>
      <c r="F288" s="0" t="s">
        <v>14</v>
      </c>
      <c r="G288" s="0" t="s">
        <v>15</v>
      </c>
      <c r="H288" s="5">
        <v>171.000000</v>
      </c>
    </row>
    <row r="289" spans="1:9">
      <c r="A289" s="22" t="str">
        <f>HYPERLINK("https://app.vivvix.com/360/KMI/IntelliDrive/ApplUI/Pages/CreativePages/CustomReportCreativeDetail.aspx?App=23&amp;ReportView=4&amp;Qid=1711245&amp;Row=281&amp;Col=1","Made To Be Bold")</f>
        <v/>
      </c>
      <c r="B289" s="0" t="s">
        <v>378</v>
      </c>
      <c r="C289" s="0" t="s">
        <v>379</v>
      </c>
      <c r="D289" s="0" t="s">
        <v>379</v>
      </c>
      <c r="E289" s="0" t="s">
        <v>13</v>
      </c>
      <c r="F289" s="0" t="s">
        <v>17</v>
      </c>
      <c r="G289" s="0" t="s">
        <v>18</v>
      </c>
      <c r="H289" s="5">
        <v>9595.576000</v>
      </c>
    </row>
    <row r="290" spans="1:9">
      <c r="A290" s="22" t="str">
        <f>HYPERLINK("https://app.vivvix.com/360/KMI/IntelliDrive/ApplUI/Pages/CreativePages/CustomReportCreativeDetail.aspx?App=23&amp;ReportView=4&amp;Qid=1711245&amp;Row=282&amp;Col=1","Made To Be Bold")</f>
        <v/>
      </c>
      <c r="B290" s="0" t="s">
        <v>380</v>
      </c>
      <c r="C290" s="0" t="s">
        <v>381</v>
      </c>
      <c r="D290" s="0" t="s">
        <v>381</v>
      </c>
      <c r="E290" s="0" t="s">
        <v>13</v>
      </c>
      <c r="F290" s="0" t="s">
        <v>232</v>
      </c>
      <c r="G290" s="0" t="s">
        <v>233</v>
      </c>
      <c r="H290" s="5">
        <v>11030.000000</v>
      </c>
    </row>
    <row r="291" spans="1:9">
      <c r="A291" s="22" t="str">
        <f>HYPERLINK("https://app.vivvix.com/360/KMI/IntelliDrive/ApplUI/Pages/CreativePages/CustomReportCreativeDetail.aspx?App=23&amp;ReportView=4&amp;Qid=1711245&amp;Row=283&amp;Col=1","Made To Be Bold And Iconic")</f>
        <v/>
      </c>
      <c r="B291" s="0" t="s">
        <v>382</v>
      </c>
      <c r="C291" s="0" t="s">
        <v>383</v>
      </c>
      <c r="D291" s="0" t="s">
        <v>383</v>
      </c>
      <c r="E291" s="0" t="s">
        <v>13</v>
      </c>
      <c r="F291" s="0" t="s">
        <v>28</v>
      </c>
      <c r="G291" s="0" t="s">
        <v>29</v>
      </c>
      <c r="H291" s="5">
        <v>35809.000000</v>
      </c>
    </row>
    <row r="292" spans="1:9">
      <c r="A292" s="22" t="str">
        <f>HYPERLINK("https://app.vivvix.com/360/KMI/IntelliDrive/ApplUI/Pages/CreativePages/CustomReportCreativeDetail.aspx?App=23&amp;ReportView=4&amp;Qid=1711245&amp;Row=284&amp;Col=1","Made To Be Confident")</f>
        <v/>
      </c>
      <c r="B292" s="0" t="s">
        <v>384</v>
      </c>
      <c r="C292" s="0" t="s">
        <v>385</v>
      </c>
      <c r="D292" s="0" t="s">
        <v>385</v>
      </c>
      <c r="E292" s="0" t="s">
        <v>13</v>
      </c>
      <c r="F292" s="0" t="s">
        <v>128</v>
      </c>
      <c r="G292" s="0" t="s">
        <v>129</v>
      </c>
      <c r="H292" s="5">
        <v>138604.000000</v>
      </c>
    </row>
    <row r="293" spans="1:9">
      <c r="A293" s="22" t="str">
        <f>HYPERLINK("https://app.vivvix.com/360/KMI/IntelliDrive/ApplUI/Pages/CreativePages/CustomReportCreativeDetail.aspx?App=23&amp;ReportView=4&amp;Qid=1711245&amp;Row=285&amp;Col=1","Made To Be Confident")</f>
        <v/>
      </c>
      <c r="B293" s="0" t="s">
        <v>384</v>
      </c>
      <c r="C293" s="0" t="s">
        <v>385</v>
      </c>
      <c r="D293" s="0" t="s">
        <v>385</v>
      </c>
      <c r="E293" s="0" t="s">
        <v>13</v>
      </c>
      <c r="F293" s="0" t="s">
        <v>128</v>
      </c>
      <c r="G293" s="0" t="s">
        <v>129</v>
      </c>
      <c r="H293" s="5">
        <v>92.000000</v>
      </c>
    </row>
    <row r="294" spans="1:9">
      <c r="A294" s="22" t="str">
        <f>HYPERLINK("https://app.vivvix.com/360/KMI/IntelliDrive/ApplUI/Pages/CreativePages/CustomReportCreativeDetail.aspx?App=23&amp;ReportView=4&amp;Qid=1711245&amp;Row=286&amp;Col=1","Made To Be Confident")</f>
        <v/>
      </c>
      <c r="B294" s="0" t="s">
        <v>386</v>
      </c>
      <c r="C294" s="0" t="s">
        <v>294</v>
      </c>
      <c r="D294" s="0" t="s">
        <v>294</v>
      </c>
      <c r="E294" s="0" t="s">
        <v>13</v>
      </c>
      <c r="F294" s="0" t="s">
        <v>17</v>
      </c>
      <c r="G294" s="0" t="s">
        <v>18</v>
      </c>
      <c r="H294" s="5">
        <v>46087.000000</v>
      </c>
    </row>
    <row r="295" spans="1:9">
      <c r="A295" s="22" t="str">
        <f>HYPERLINK("https://app.vivvix.com/360/KMI/IntelliDrive/ApplUI/Pages/CreativePages/CustomReportCreativeDetail.aspx?App=23&amp;ReportView=4&amp;Qid=1711245&amp;Row=287&amp;Col=1","Made To Be Confident")</f>
        <v/>
      </c>
      <c r="B295" s="0" t="s">
        <v>386</v>
      </c>
      <c r="C295" s="0" t="s">
        <v>294</v>
      </c>
      <c r="D295" s="0" t="s">
        <v>294</v>
      </c>
      <c r="E295" s="0" t="s">
        <v>13</v>
      </c>
      <c r="F295" s="0" t="s">
        <v>17</v>
      </c>
      <c r="G295" s="0" t="s">
        <v>18</v>
      </c>
      <c r="H295" s="5">
        <v>601.000000</v>
      </c>
    </row>
    <row r="296" spans="1:9">
      <c r="A296" s="22" t="str">
        <f>HYPERLINK("https://app.vivvix.com/360/KMI/IntelliDrive/ApplUI/Pages/CreativePages/CustomReportCreativeDetail.aspx?App=23&amp;ReportView=4&amp;Qid=1711245&amp;Row=288&amp;Col=1","Made To Be Confident")</f>
        <v/>
      </c>
      <c r="B296" s="0" t="s">
        <v>387</v>
      </c>
      <c r="C296" s="0" t="s">
        <v>388</v>
      </c>
      <c r="D296" s="0" t="s">
        <v>388</v>
      </c>
      <c r="E296" s="0" t="s">
        <v>13</v>
      </c>
      <c r="F296" s="0" t="s">
        <v>232</v>
      </c>
      <c r="G296" s="0" t="s">
        <v>389</v>
      </c>
      <c r="H296" s="5">
        <v>108644.000000</v>
      </c>
    </row>
    <row r="297" spans="1:9">
      <c r="A297" s="22" t="str">
        <f>HYPERLINK("https://app.vivvix.com/360/KMI/IntelliDrive/ApplUI/Pages/CreativePages/CustomReportCreativeDetail.aspx?App=23&amp;ReportView=4&amp;Qid=1711245&amp;Row=289&amp;Col=1","Made To Be Confident")</f>
        <v/>
      </c>
      <c r="B297" s="0" t="s">
        <v>390</v>
      </c>
      <c r="C297" s="0" t="s">
        <v>391</v>
      </c>
      <c r="D297" s="0" t="s">
        <v>391</v>
      </c>
      <c r="E297" s="0" t="s">
        <v>13</v>
      </c>
      <c r="F297" s="0" t="s">
        <v>17</v>
      </c>
      <c r="G297" s="0" t="s">
        <v>18</v>
      </c>
      <c r="H297" s="5">
        <v>15614.000000</v>
      </c>
    </row>
    <row r="298" spans="1:9">
      <c r="A298" s="22" t="str">
        <f>HYPERLINK("https://app.vivvix.com/360/KMI/IntelliDrive/ApplUI/Pages/CreativePages/CustomReportCreativeDetail.aspx?App=23&amp;ReportView=4&amp;Qid=1711245&amp;Row=290&amp;Col=1","Made To Be Confident")</f>
        <v/>
      </c>
      <c r="B298" s="0" t="s">
        <v>392</v>
      </c>
      <c r="C298" s="0" t="s">
        <v>393</v>
      </c>
      <c r="D298" s="0" t="s">
        <v>385</v>
      </c>
      <c r="E298" s="0" t="s">
        <v>13</v>
      </c>
      <c r="F298" s="0" t="s">
        <v>128</v>
      </c>
      <c r="G298" s="0" t="s">
        <v>129</v>
      </c>
      <c r="H298" s="5">
        <v>10190.000000</v>
      </c>
    </row>
    <row r="299" spans="1:9">
      <c r="A299" s="22" t="str">
        <f>HYPERLINK("https://app.vivvix.com/360/KMI/IntelliDrive/ApplUI/Pages/CreativePages/CustomReportCreativeDetail.aspx?App=23&amp;ReportView=4&amp;Qid=1711245&amp;Row=291&amp;Col=1","Made To Be Confident")</f>
        <v/>
      </c>
      <c r="B299" s="0" t="s">
        <v>394</v>
      </c>
      <c r="C299" s="0" t="s">
        <v>395</v>
      </c>
      <c r="D299" s="0" t="s">
        <v>395</v>
      </c>
      <c r="E299" s="0" t="s">
        <v>13</v>
      </c>
      <c r="F299" s="0" t="s">
        <v>106</v>
      </c>
      <c r="G299" s="0" t="s">
        <v>107</v>
      </c>
      <c r="H299" s="5">
        <v>60188.000000</v>
      </c>
    </row>
    <row r="300" spans="1:9">
      <c r="A300" s="22" t="str">
        <f>HYPERLINK("https://app.vivvix.com/360/KMI/IntelliDrive/ApplUI/Pages/CreativePages/CustomReportCreativeDetail.aspx?App=23&amp;ReportView=4&amp;Qid=1711245&amp;Row=292&amp;Col=1","Made To Be Confident And Iconic")</f>
        <v/>
      </c>
      <c r="B300" s="0" t="s">
        <v>396</v>
      </c>
      <c r="C300" s="0" t="s">
        <v>397</v>
      </c>
      <c r="D300" s="0" t="s">
        <v>397</v>
      </c>
      <c r="E300" s="0" t="s">
        <v>13</v>
      </c>
      <c r="F300" s="0" t="s">
        <v>28</v>
      </c>
      <c r="G300" s="0" t="s">
        <v>29</v>
      </c>
      <c r="H300" s="5">
        <v>528.000000</v>
      </c>
    </row>
    <row r="301" spans="1:9">
      <c r="A301" s="22" t="str">
        <f>HYPERLINK("https://app.vivvix.com/360/KMI/IntelliDrive/ApplUI/Pages/CreativePages/CustomReportCreativeDetail.aspx?App=23&amp;ReportView=4&amp;Qid=1711245&amp;Row=293&amp;Col=1","Made To Be Confident And Iconic")</f>
        <v/>
      </c>
      <c r="B301" s="0" t="s">
        <v>398</v>
      </c>
      <c r="C301" s="0" t="s">
        <v>399</v>
      </c>
      <c r="D301" s="0" t="s">
        <v>399</v>
      </c>
      <c r="E301" s="0" t="s">
        <v>13</v>
      </c>
      <c r="F301" s="0" t="s">
        <v>232</v>
      </c>
      <c r="G301" s="0" t="s">
        <v>233</v>
      </c>
      <c r="H301" s="5">
        <v>7580.000000</v>
      </c>
    </row>
    <row r="302" spans="1:9">
      <c r="A302" s="22" t="str">
        <f>HYPERLINK("https://app.vivvix.com/360/KMI/IntelliDrive/ApplUI/Pages/CreativePages/CustomReportCreativeDetail.aspx?App=23&amp;ReportView=4&amp;Qid=1711245&amp;Row=294&amp;Col=1","Made To Be Electrifying")</f>
        <v/>
      </c>
      <c r="B302" s="0" t="s">
        <v>400</v>
      </c>
      <c r="C302" s="0" t="s">
        <v>356</v>
      </c>
      <c r="D302" s="0" t="s">
        <v>356</v>
      </c>
      <c r="E302" s="0" t="s">
        <v>13</v>
      </c>
      <c r="F302" s="0" t="s">
        <v>14</v>
      </c>
      <c r="G302" s="0" t="s">
        <v>22</v>
      </c>
      <c r="H302" s="5">
        <v>55217.000000</v>
      </c>
    </row>
    <row r="303" spans="1:9">
      <c r="A303" s="22" t="str">
        <f>HYPERLINK("https://app.vivvix.com/360/KMI/IntelliDrive/ApplUI/Pages/CreativePages/CustomReportCreativeDetail.aspx?App=23&amp;ReportView=4&amp;Qid=1711245&amp;Row=295&amp;Col=1","Made To Be Electrifying")</f>
        <v/>
      </c>
      <c r="B303" s="0" t="s">
        <v>401</v>
      </c>
      <c r="C303" s="0" t="s">
        <v>402</v>
      </c>
      <c r="D303" s="0" t="s">
        <v>402</v>
      </c>
      <c r="E303" s="0" t="s">
        <v>13</v>
      </c>
      <c r="F303" s="0" t="s">
        <v>14</v>
      </c>
      <c r="G303" s="0" t="s">
        <v>15</v>
      </c>
      <c r="H303" s="5">
        <v>36789.000000</v>
      </c>
    </row>
    <row r="304" spans="1:9">
      <c r="A304" s="22" t="str">
        <f>HYPERLINK("https://app.vivvix.com/360/KMI/IntelliDrive/ApplUI/Pages/CreativePages/CustomReportCreativeDetail.aspx?App=23&amp;ReportView=4&amp;Qid=1711245&amp;Row=296&amp;Col=1","Made To Be Electrifying")</f>
        <v/>
      </c>
      <c r="B304" s="0" t="s">
        <v>403</v>
      </c>
      <c r="C304" s="0" t="s">
        <v>404</v>
      </c>
      <c r="D304" s="0" t="s">
        <v>404</v>
      </c>
      <c r="E304" s="0" t="s">
        <v>13</v>
      </c>
      <c r="F304" s="0" t="s">
        <v>14</v>
      </c>
      <c r="G304" s="0" t="s">
        <v>22</v>
      </c>
      <c r="H304" s="5">
        <v>25815.000000</v>
      </c>
    </row>
    <row r="305" spans="1:9">
      <c r="A305" s="22" t="str">
        <f>HYPERLINK("https://app.vivvix.com/360/KMI/IntelliDrive/ApplUI/Pages/CreativePages/CustomReportCreativeDetail.aspx?App=23&amp;ReportView=4&amp;Qid=1711245&amp;Row=297&amp;Col=1","Made To Be Electrifying")</f>
        <v/>
      </c>
      <c r="B305" s="0" t="s">
        <v>405</v>
      </c>
      <c r="C305" s="0" t="s">
        <v>406</v>
      </c>
      <c r="D305" s="0" t="s">
        <v>406</v>
      </c>
      <c r="E305" s="0" t="s">
        <v>13</v>
      </c>
      <c r="F305" s="0" t="s">
        <v>14</v>
      </c>
      <c r="G305" s="0" t="s">
        <v>15</v>
      </c>
      <c r="H305" s="5">
        <v>133669.000000</v>
      </c>
    </row>
    <row r="306" spans="1:9">
      <c r="A306" s="22" t="str">
        <f>HYPERLINK("https://app.vivvix.com/360/KMI/IntelliDrive/ApplUI/Pages/CreativePages/CustomReportCreativeDetail.aspx?App=23&amp;ReportView=4&amp;Qid=1711245&amp;Row=298&amp;Col=1","Made To Be Electrifying")</f>
        <v/>
      </c>
      <c r="B306" s="0" t="s">
        <v>405</v>
      </c>
      <c r="C306" s="0" t="s">
        <v>406</v>
      </c>
      <c r="D306" s="0" t="s">
        <v>406</v>
      </c>
      <c r="E306" s="0" t="s">
        <v>13</v>
      </c>
      <c r="F306" s="0" t="s">
        <v>14</v>
      </c>
      <c r="G306" s="0" t="s">
        <v>15</v>
      </c>
      <c r="H306" s="5">
        <v>107.000000</v>
      </c>
    </row>
    <row r="307" spans="1:9">
      <c r="A307" s="22" t="str">
        <f>HYPERLINK("https://app.vivvix.com/360/KMI/IntelliDrive/ApplUI/Pages/CreativePages/CustomReportCreativeDetail.aspx?App=23&amp;ReportView=4&amp;Qid=1711245&amp;Row=299&amp;Col=1","Made To Be Electrifying")</f>
        <v/>
      </c>
      <c r="B307" s="0" t="s">
        <v>407</v>
      </c>
      <c r="C307" s="0" t="s">
        <v>408</v>
      </c>
      <c r="D307" s="0" t="s">
        <v>408</v>
      </c>
      <c r="E307" s="0" t="s">
        <v>13</v>
      </c>
      <c r="F307" s="0" t="s">
        <v>14</v>
      </c>
      <c r="G307" s="0" t="s">
        <v>15</v>
      </c>
      <c r="H307" s="5">
        <v>141765.429000</v>
      </c>
    </row>
    <row r="308" spans="1:9">
      <c r="A308" s="22" t="str">
        <f>HYPERLINK("https://app.vivvix.com/360/KMI/IntelliDrive/ApplUI/Pages/CreativePages/CustomReportCreativeDetail.aspx?App=23&amp;ReportView=4&amp;Qid=1711245&amp;Row=300&amp;Col=1","Made To Be Electrifying")</f>
        <v/>
      </c>
      <c r="B308" s="0" t="s">
        <v>409</v>
      </c>
      <c r="E308" s="0" t="s">
        <v>13</v>
      </c>
      <c r="F308" s="0" t="s">
        <v>14</v>
      </c>
      <c r="G308" s="0" t="s">
        <v>15</v>
      </c>
      <c r="H308" s="5">
        <v>11515.000000</v>
      </c>
    </row>
    <row r="309" spans="1:9">
      <c r="A309" s="22" t="str">
        <f>HYPERLINK("https://app.vivvix.com/360/KMI/IntelliDrive/ApplUI/Pages/CreativePages/CustomReportCreativeDetail.aspx?App=23&amp;ReportView=4&amp;Qid=1711245&amp;Row=301&amp;Col=1","Made To Be Electrifying")</f>
        <v/>
      </c>
      <c r="B309" s="0" t="s">
        <v>410</v>
      </c>
      <c r="C309" s="0" t="s">
        <v>411</v>
      </c>
      <c r="D309" s="0" t="s">
        <v>411</v>
      </c>
      <c r="E309" s="0" t="s">
        <v>13</v>
      </c>
      <c r="F309" s="0" t="s">
        <v>14</v>
      </c>
      <c r="G309" s="0" t="s">
        <v>22</v>
      </c>
      <c r="H309" s="5">
        <v>906.000000</v>
      </c>
    </row>
    <row r="310" spans="1:9">
      <c r="A310" s="22" t="str">
        <f>HYPERLINK("https://app.vivvix.com/360/KMI/IntelliDrive/ApplUI/Pages/CreativePages/CustomReportCreativeDetail.aspx?App=23&amp;ReportView=4&amp;Qid=1711245&amp;Row=302&amp;Col=1","Made To Be Iconic")</f>
        <v/>
      </c>
      <c r="B310" s="0" t="s">
        <v>412</v>
      </c>
      <c r="C310" s="0" t="s">
        <v>413</v>
      </c>
      <c r="D310" s="0" t="s">
        <v>413</v>
      </c>
      <c r="E310" s="0" t="s">
        <v>13</v>
      </c>
      <c r="F310" s="0" t="s">
        <v>14</v>
      </c>
      <c r="G310" s="0" t="s">
        <v>15</v>
      </c>
      <c r="H310" s="5">
        <v>50212.591000</v>
      </c>
    </row>
    <row r="311" spans="1:9">
      <c r="A311" s="22" t="str">
        <f>HYPERLINK("https://app.vivvix.com/360/KMI/IntelliDrive/ApplUI/Pages/CreativePages/CustomReportCreativeDetail.aspx?App=23&amp;ReportView=4&amp;Qid=1711245&amp;Row=303&amp;Col=1","Made To Be Iconic")</f>
        <v/>
      </c>
      <c r="B311" s="0" t="s">
        <v>414</v>
      </c>
      <c r="C311" s="0" t="s">
        <v>415</v>
      </c>
      <c r="D311" s="0" t="s">
        <v>415</v>
      </c>
      <c r="E311" s="0" t="s">
        <v>13</v>
      </c>
      <c r="F311" s="0" t="s">
        <v>17</v>
      </c>
      <c r="G311" s="0" t="s">
        <v>18</v>
      </c>
      <c r="H311" s="5">
        <v>20020.000000</v>
      </c>
    </row>
    <row r="312" spans="1:9">
      <c r="A312" s="22" t="str">
        <f>HYPERLINK("https://app.vivvix.com/360/KMI/IntelliDrive/ApplUI/Pages/CreativePages/CustomReportCreativeDetail.aspx?App=23&amp;ReportView=4&amp;Qid=1711245&amp;Row=304&amp;Col=1","Made To Be Iconic")</f>
        <v/>
      </c>
      <c r="B312" s="0" t="s">
        <v>416</v>
      </c>
      <c r="C312" s="0" t="s">
        <v>417</v>
      </c>
      <c r="D312" s="0" t="s">
        <v>417</v>
      </c>
      <c r="E312" s="0" t="s">
        <v>13</v>
      </c>
      <c r="F312" s="0" t="s">
        <v>106</v>
      </c>
      <c r="G312" s="0" t="s">
        <v>107</v>
      </c>
      <c r="H312" s="5">
        <v>3728.000000</v>
      </c>
    </row>
    <row r="313" spans="1:9">
      <c r="A313" s="22" t="str">
        <f>HYPERLINK("https://app.vivvix.com/360/KMI/IntelliDrive/ApplUI/Pages/CreativePages/CustomReportCreativeDetail.aspx?App=23&amp;ReportView=4&amp;Qid=1711245&amp;Row=305&amp;Col=1","Move Up Offers")</f>
        <v/>
      </c>
      <c r="B313" s="0" t="s">
        <v>418</v>
      </c>
      <c r="C313" s="0" t="s">
        <v>419</v>
      </c>
      <c r="D313" s="0" t="s">
        <v>419</v>
      </c>
      <c r="E313" s="0" t="s">
        <v>13</v>
      </c>
      <c r="F313" s="0" t="s">
        <v>28</v>
      </c>
      <c r="G313" s="0" t="s">
        <v>137</v>
      </c>
      <c r="H313" s="5">
        <v>79116.000000</v>
      </c>
    </row>
    <row r="314" spans="1:9">
      <c r="A314" s="22" t="str">
        <f>HYPERLINK("https://app.vivvix.com/360/KMI/IntelliDrive/ApplUI/Pages/CreativePages/CustomReportCreativeDetail.aspx?App=23&amp;ReportView=4&amp;Qid=1711245&amp;Row=306&amp;Col=1","MOVE UP SALES EVENT")</f>
        <v/>
      </c>
      <c r="B314" s="0" t="s">
        <v>420</v>
      </c>
      <c r="C314" s="0" t="s">
        <v>421</v>
      </c>
      <c r="D314" s="0" t="s">
        <v>421</v>
      </c>
      <c r="E314" s="0" t="s">
        <v>13</v>
      </c>
      <c r="F314" s="0" t="s">
        <v>232</v>
      </c>
      <c r="G314" s="0" t="s">
        <v>389</v>
      </c>
      <c r="H314" s="5">
        <v>29785.000000</v>
      </c>
    </row>
    <row r="315" spans="1:9">
      <c r="A315" s="22" t="str">
        <f>HYPERLINK("https://app.vivvix.com/360/KMI/IntelliDrive/ApplUI/Pages/CreativePages/CustomReportCreativeDetail.aspx?App=23&amp;ReportView=4&amp;Qid=1711245&amp;Row=307&amp;Col=1","MOVE UP SALES EVENT")</f>
        <v/>
      </c>
      <c r="B315" s="0" t="s">
        <v>422</v>
      </c>
      <c r="C315" s="0" t="s">
        <v>423</v>
      </c>
      <c r="D315" s="0" t="s">
        <v>421</v>
      </c>
      <c r="E315" s="0" t="s">
        <v>13</v>
      </c>
      <c r="F315" s="0" t="s">
        <v>232</v>
      </c>
      <c r="G315" s="0" t="s">
        <v>389</v>
      </c>
      <c r="H315" s="5">
        <v>1466.000000</v>
      </c>
    </row>
    <row r="316" spans="1:9">
      <c r="A316" s="22" t="str">
        <f>HYPERLINK("https://app.vivvix.com/360/KMI/IntelliDrive/ApplUI/Pages/CreativePages/CustomReportCreativeDetail.aspx?App=23&amp;ReportView=4&amp;Qid=1711245&amp;Row=308&amp;Col=1","Move Up Sales Event")</f>
        <v/>
      </c>
      <c r="B316" s="0" t="s">
        <v>424</v>
      </c>
      <c r="C316" s="0" t="s">
        <v>425</v>
      </c>
      <c r="D316" s="0" t="s">
        <v>425</v>
      </c>
      <c r="E316" s="0" t="s">
        <v>13</v>
      </c>
      <c r="F316" s="0" t="s">
        <v>232</v>
      </c>
      <c r="G316" s="0" t="s">
        <v>389</v>
      </c>
      <c r="H316" s="5">
        <v>84.000000</v>
      </c>
    </row>
    <row r="317" spans="1:9">
      <c r="A317" s="22" t="str">
        <f>HYPERLINK("https://app.vivvix.com/360/KMI/IntelliDrive/ApplUI/Pages/CreativePages/CustomReportCreativeDetail.aspx?App=23&amp;ReportView=4&amp;Qid=1711245&amp;Row=309&amp;Col=1","Move up Sales Event")</f>
        <v/>
      </c>
      <c r="B317" s="0" t="s">
        <v>426</v>
      </c>
      <c r="C317" s="0" t="s">
        <v>427</v>
      </c>
      <c r="D317" s="0" t="s">
        <v>427</v>
      </c>
      <c r="E317" s="0" t="s">
        <v>13</v>
      </c>
      <c r="F317" s="0" t="s">
        <v>17</v>
      </c>
      <c r="G317" s="0" t="s">
        <v>428</v>
      </c>
      <c r="H317" s="5">
        <v>37689.000000</v>
      </c>
    </row>
    <row r="318" spans="1:9">
      <c r="A318" s="22" t="str">
        <f>HYPERLINK("https://app.vivvix.com/360/KMI/IntelliDrive/ApplUI/Pages/CreativePages/CustomReportCreativeDetail.aspx?App=23&amp;ReportView=4&amp;Qid=1711245&amp;Row=310&amp;Col=1","Navigate of Your Choice")</f>
        <v/>
      </c>
      <c r="B318" s="0" t="s">
        <v>429</v>
      </c>
      <c r="C318" s="0" t="s">
        <v>430</v>
      </c>
      <c r="D318" s="0" t="s">
        <v>430</v>
      </c>
      <c r="E318" s="0" t="s">
        <v>13</v>
      </c>
      <c r="F318" s="0" t="s">
        <v>14</v>
      </c>
      <c r="G318" s="0" t="s">
        <v>22</v>
      </c>
      <c r="H318" s="5">
        <v>732179.000000</v>
      </c>
    </row>
    <row r="319" spans="1:9">
      <c r="A319" s="22" t="str">
        <f>HYPERLINK("https://app.vivvix.com/360/KMI/IntelliDrive/ApplUI/Pages/CreativePages/CustomReportCreativeDetail.aspx?App=23&amp;ReportView=4&amp;Qid=1711245&amp;Row=311&amp;Col=1","Navigate of Your Choice")</f>
        <v/>
      </c>
      <c r="B319" s="0" t="s">
        <v>429</v>
      </c>
      <c r="C319" s="0" t="s">
        <v>430</v>
      </c>
      <c r="D319" s="0" t="s">
        <v>430</v>
      </c>
      <c r="E319" s="0" t="s">
        <v>13</v>
      </c>
      <c r="F319" s="0" t="s">
        <v>14</v>
      </c>
      <c r="G319" s="0" t="s">
        <v>22</v>
      </c>
      <c r="H319" s="5">
        <v>903.000000</v>
      </c>
    </row>
    <row r="320" spans="1:9">
      <c r="A320" s="22" t="str">
        <f>HYPERLINK("https://app.vivvix.com/360/KMI/IntelliDrive/ApplUI/Pages/CreativePages/CustomReportCreativeDetail.aspx?App=23&amp;ReportView=4&amp;Qid=1711245&amp;Row=312&amp;Col=1","Navigate of Your Choice/$4,649 &amp;24 months")</f>
        <v/>
      </c>
      <c r="B320" s="0" t="s">
        <v>431</v>
      </c>
      <c r="C320" s="0" t="s">
        <v>432</v>
      </c>
      <c r="D320" s="0" t="s">
        <v>430</v>
      </c>
      <c r="E320" s="0" t="s">
        <v>13</v>
      </c>
      <c r="F320" s="0" t="s">
        <v>14</v>
      </c>
      <c r="G320" s="0" t="s">
        <v>22</v>
      </c>
      <c r="H320" s="5">
        <v>92125.000000</v>
      </c>
    </row>
    <row r="321" spans="1:9">
      <c r="A321" s="22" t="str">
        <f>HYPERLINK("https://app.vivvix.com/360/KMI/IntelliDrive/ApplUI/Pages/CreativePages/CustomReportCreativeDetail.aspx?App=23&amp;ReportView=4&amp;Qid=1711245&amp;Row=313&amp;Col=1","Navigate of Your Choice/$4,649 &amp;24 months")</f>
        <v/>
      </c>
      <c r="B321" s="0" t="s">
        <v>431</v>
      </c>
      <c r="C321" s="0" t="s">
        <v>432</v>
      </c>
      <c r="D321" s="0" t="s">
        <v>430</v>
      </c>
      <c r="E321" s="0" t="s">
        <v>13</v>
      </c>
      <c r="F321" s="0" t="s">
        <v>14</v>
      </c>
      <c r="G321" s="0" t="s">
        <v>22</v>
      </c>
      <c r="H321" s="5">
        <v>1515.000000</v>
      </c>
    </row>
    <row r="322" spans="1:9">
      <c r="A322" s="22" t="str">
        <f>HYPERLINK("https://app.vivvix.com/360/KMI/IntelliDrive/ApplUI/Pages/CreativePages/CustomReportCreativeDetail.aspx?App=23&amp;ReportView=4&amp;Qid=1711245&amp;Row=314&amp;Col=1","Navigate of Your Choice/$569")</f>
        <v/>
      </c>
      <c r="B322" s="0" t="s">
        <v>433</v>
      </c>
      <c r="C322" s="0" t="s">
        <v>434</v>
      </c>
      <c r="D322" s="0" t="s">
        <v>430</v>
      </c>
      <c r="E322" s="0" t="s">
        <v>13</v>
      </c>
      <c r="F322" s="0" t="s">
        <v>14</v>
      </c>
      <c r="G322" s="0" t="s">
        <v>22</v>
      </c>
      <c r="H322" s="5">
        <v>58517.000000</v>
      </c>
    </row>
    <row r="323" spans="1:9">
      <c r="A323" s="22" t="str">
        <f>HYPERLINK("https://app.vivvix.com/360/KMI/IntelliDrive/ApplUI/Pages/CreativePages/CustomReportCreativeDetail.aspx?App=23&amp;ReportView=4&amp;Qid=1711245&amp;Row=315&amp;Col=1","Navigate of Your Choice/$569")</f>
        <v/>
      </c>
      <c r="B323" s="0" t="s">
        <v>433</v>
      </c>
      <c r="C323" s="0" t="s">
        <v>434</v>
      </c>
      <c r="D323" s="0" t="s">
        <v>430</v>
      </c>
      <c r="E323" s="0" t="s">
        <v>13</v>
      </c>
      <c r="F323" s="0" t="s">
        <v>14</v>
      </c>
      <c r="G323" s="0" t="s">
        <v>22</v>
      </c>
      <c r="H323" s="5">
        <v>2492.000000</v>
      </c>
    </row>
    <row r="324" spans="1:9">
      <c r="A324" s="22" t="str">
        <f>HYPERLINK("https://app.vivvix.com/360/KMI/IntelliDrive/ApplUI/Pages/CreativePages/CustomReportCreativeDetail.aspx?App=23&amp;ReportView=4&amp;Qid=1711245&amp;Row=316&amp;Col=1","No Title Assigned - #15215760019")</f>
        <v/>
      </c>
      <c r="B324" s="0" t="s">
        <v>435</v>
      </c>
      <c r="C324" s="0" t="s">
        <v>436</v>
      </c>
      <c r="D324" s="0" t="s">
        <v>436</v>
      </c>
      <c r="E324" s="0" t="s">
        <v>13</v>
      </c>
      <c r="F324" s="0" t="s">
        <v>13</v>
      </c>
      <c r="G324" s="0" t="s">
        <v>54</v>
      </c>
      <c r="H324" s="5">
        <v>1244.211500</v>
      </c>
    </row>
    <row r="325" spans="1:9">
      <c r="A325" s="22" t="str">
        <f>HYPERLINK("https://app.vivvix.com/360/KMI/IntelliDrive/ApplUI/Pages/CreativePages/CustomReportCreativeDetail.aspx?App=23&amp;ReportView=4&amp;Qid=1711245&amp;Row=317&amp;Col=1","No Title Assigned - #15218855333")</f>
        <v/>
      </c>
      <c r="B325" s="0" t="s">
        <v>437</v>
      </c>
      <c r="E325" s="0" t="s">
        <v>13</v>
      </c>
      <c r="F325" s="0" t="s">
        <v>13</v>
      </c>
      <c r="G325" s="0" t="s">
        <v>35</v>
      </c>
      <c r="H325" s="5">
        <v>7201.982400</v>
      </c>
    </row>
    <row r="326" spans="1:9">
      <c r="A326" s="22" t="str">
        <f>HYPERLINK("https://app.vivvix.com/360/KMI/IntelliDrive/ApplUI/Pages/CreativePages/CustomReportCreativeDetail.aspx?App=23&amp;ReportView=4&amp;Qid=1711245&amp;Row=318&amp;Col=1","No Title Assigned - #15218855333")</f>
        <v/>
      </c>
      <c r="B326" s="0" t="s">
        <v>437</v>
      </c>
      <c r="E326" s="0" t="s">
        <v>13</v>
      </c>
      <c r="F326" s="0" t="s">
        <v>13</v>
      </c>
      <c r="G326" s="0" t="s">
        <v>35</v>
      </c>
      <c r="H326" s="5">
        <v>100723.555000</v>
      </c>
    </row>
    <row r="327" spans="1:9">
      <c r="A327" s="22" t="str">
        <f>HYPERLINK("https://app.vivvix.com/360/KMI/IntelliDrive/ApplUI/Pages/CreativePages/CustomReportCreativeDetail.aspx?App=23&amp;ReportView=4&amp;Qid=1711245&amp;Row=319&amp;Col=1","No Title Assigned - #15236989266")</f>
        <v/>
      </c>
      <c r="B327" s="0" t="s">
        <v>438</v>
      </c>
      <c r="C327" s="0" t="s">
        <v>439</v>
      </c>
      <c r="D327" s="0" t="s">
        <v>439</v>
      </c>
      <c r="E327" s="0" t="s">
        <v>13</v>
      </c>
      <c r="F327" s="0" t="s">
        <v>14</v>
      </c>
      <c r="G327" s="0" t="s">
        <v>15</v>
      </c>
      <c r="H327" s="5">
        <v>12538.028400</v>
      </c>
    </row>
    <row r="328" spans="1:9">
      <c r="A328" s="22" t="str">
        <f>HYPERLINK("https://app.vivvix.com/360/KMI/IntelliDrive/ApplUI/Pages/CreativePages/CustomReportCreativeDetail.aspx?App=23&amp;ReportView=4&amp;Qid=1711245&amp;Row=320&amp;Col=1","No Title Assigned - #15242532002")</f>
        <v/>
      </c>
      <c r="B328" s="0" t="s">
        <v>440</v>
      </c>
      <c r="C328" s="0" t="s">
        <v>441</v>
      </c>
      <c r="D328" s="0" t="s">
        <v>441</v>
      </c>
      <c r="E328" s="0" t="s">
        <v>13</v>
      </c>
      <c r="F328" s="0" t="s">
        <v>14</v>
      </c>
      <c r="G328" s="0" t="s">
        <v>15</v>
      </c>
      <c r="H328" s="5">
        <v>590306.313000</v>
      </c>
    </row>
    <row r="329" spans="1:9">
      <c r="A329" s="22" t="str">
        <f>HYPERLINK("https://app.vivvix.com/360/KMI/IntelliDrive/ApplUI/Pages/CreativePages/CustomReportCreativeDetail.aspx?App=23&amp;ReportView=4&amp;Qid=1711245&amp;Row=321&amp;Col=1","No Title Assigned - #15242532002")</f>
        <v/>
      </c>
      <c r="B329" s="0" t="s">
        <v>440</v>
      </c>
      <c r="E329" s="0" t="s">
        <v>13</v>
      </c>
      <c r="F329" s="0" t="s">
        <v>14</v>
      </c>
      <c r="G329" s="0" t="s">
        <v>15</v>
      </c>
      <c r="H329" s="5">
        <v>7278.324800</v>
      </c>
    </row>
    <row r="330" spans="1:9">
      <c r="A330" s="22" t="str">
        <f>HYPERLINK("https://app.vivvix.com/360/KMI/IntelliDrive/ApplUI/Pages/CreativePages/CustomReportCreativeDetail.aspx?App=23&amp;ReportView=4&amp;Qid=1711245&amp;Row=322&amp;Col=1","No Title Assigned - #15245827437")</f>
        <v/>
      </c>
      <c r="B330" s="0" t="s">
        <v>442</v>
      </c>
      <c r="C330" s="0" t="s">
        <v>443</v>
      </c>
      <c r="D330" s="0" t="s">
        <v>443</v>
      </c>
      <c r="E330" s="0" t="s">
        <v>13</v>
      </c>
      <c r="F330" s="0" t="s">
        <v>14</v>
      </c>
      <c r="G330" s="0" t="s">
        <v>15</v>
      </c>
      <c r="H330" s="5">
        <v>688.274900</v>
      </c>
    </row>
    <row r="331" spans="1:9">
      <c r="A331" s="22" t="str">
        <f>HYPERLINK("https://app.vivvix.com/360/KMI/IntelliDrive/ApplUI/Pages/CreativePages/CustomReportCreativeDetail.aspx?App=23&amp;ReportView=4&amp;Qid=1711245&amp;Row=323&amp;Col=1","No Title Assigned - #15251204413")</f>
        <v/>
      </c>
      <c r="B331" s="0" t="s">
        <v>444</v>
      </c>
      <c r="C331" s="0" t="s">
        <v>445</v>
      </c>
      <c r="D331" s="0" t="s">
        <v>445</v>
      </c>
      <c r="E331" s="0" t="s">
        <v>13</v>
      </c>
      <c r="F331" s="0" t="s">
        <v>17</v>
      </c>
      <c r="G331" s="0" t="s">
        <v>446</v>
      </c>
      <c r="H331" s="5">
        <v>2601.679100</v>
      </c>
    </row>
    <row r="332" spans="1:9">
      <c r="A332" s="22" t="str">
        <f>HYPERLINK("https://app.vivvix.com/360/KMI/IntelliDrive/ApplUI/Pages/CreativePages/CustomReportCreativeDetail.aspx?App=23&amp;ReportView=4&amp;Qid=1711245&amp;Row=324&amp;Col=1","No Title Assigned - #15251262070")</f>
        <v/>
      </c>
      <c r="B332" s="0" t="s">
        <v>447</v>
      </c>
      <c r="C332" s="0" t="s">
        <v>448</v>
      </c>
      <c r="D332" s="0" t="s">
        <v>448</v>
      </c>
      <c r="E332" s="0" t="s">
        <v>13</v>
      </c>
      <c r="F332" s="0" t="s">
        <v>17</v>
      </c>
      <c r="G332" s="0" t="s">
        <v>446</v>
      </c>
      <c r="H332" s="5">
        <v>6191.168100</v>
      </c>
    </row>
    <row r="333" spans="1:9">
      <c r="A333" s="22" t="str">
        <f>HYPERLINK("https://app.vivvix.com/360/KMI/IntelliDrive/ApplUI/Pages/CreativePages/CustomReportCreativeDetail.aspx?App=23&amp;ReportView=4&amp;Qid=1711245&amp;Row=325&amp;Col=1","No Title Assigned - #15251358505")</f>
        <v/>
      </c>
      <c r="B333" s="0" t="s">
        <v>449</v>
      </c>
      <c r="C333" s="0" t="s">
        <v>450</v>
      </c>
      <c r="D333" s="0" t="s">
        <v>450</v>
      </c>
      <c r="E333" s="0" t="s">
        <v>13</v>
      </c>
      <c r="F333" s="0" t="s">
        <v>17</v>
      </c>
      <c r="G333" s="0" t="s">
        <v>446</v>
      </c>
      <c r="H333" s="5">
        <v>537.983600</v>
      </c>
    </row>
    <row r="334" spans="1:9">
      <c r="A334" s="22" t="str">
        <f>HYPERLINK("https://app.vivvix.com/360/KMI/IntelliDrive/ApplUI/Pages/CreativePages/CustomReportCreativeDetail.aspx?App=23&amp;ReportView=4&amp;Qid=1711245&amp;Row=326&amp;Col=1","No Title Assigned - #15251370353")</f>
        <v/>
      </c>
      <c r="B334" s="0" t="s">
        <v>451</v>
      </c>
      <c r="C334" s="0" t="s">
        <v>452</v>
      </c>
      <c r="D334" s="0" t="s">
        <v>452</v>
      </c>
      <c r="E334" s="0" t="s">
        <v>13</v>
      </c>
      <c r="F334" s="0" t="s">
        <v>28</v>
      </c>
      <c r="G334" s="0" t="s">
        <v>453</v>
      </c>
      <c r="H334" s="5">
        <v>409.272000</v>
      </c>
    </row>
    <row r="335" spans="1:9">
      <c r="A335" s="22" t="str">
        <f>HYPERLINK("https://app.vivvix.com/360/KMI/IntelliDrive/ApplUI/Pages/CreativePages/CustomReportCreativeDetail.aspx?App=23&amp;ReportView=4&amp;Qid=1711245&amp;Row=327&amp;Col=1","No Title Assigned - #15252823432")</f>
        <v/>
      </c>
      <c r="B335" s="0" t="s">
        <v>454</v>
      </c>
      <c r="C335" s="0" t="s">
        <v>455</v>
      </c>
      <c r="D335" s="0" t="s">
        <v>455</v>
      </c>
      <c r="E335" s="0" t="s">
        <v>13</v>
      </c>
      <c r="F335" s="0" t="s">
        <v>128</v>
      </c>
      <c r="G335" s="0" t="s">
        <v>456</v>
      </c>
      <c r="H335" s="5">
        <v>530492.382600</v>
      </c>
    </row>
    <row r="336" spans="1:9">
      <c r="A336" s="22" t="str">
        <f>HYPERLINK("https://app.vivvix.com/360/KMI/IntelliDrive/ApplUI/Pages/CreativePages/CustomReportCreativeDetail.aspx?App=23&amp;ReportView=4&amp;Qid=1711245&amp;Row=328&amp;Col=1","No Title Assigned - #15252823432")</f>
        <v/>
      </c>
      <c r="B336" s="0" t="s">
        <v>454</v>
      </c>
      <c r="E336" s="0" t="s">
        <v>13</v>
      </c>
      <c r="F336" s="0" t="s">
        <v>128</v>
      </c>
      <c r="G336" s="0" t="s">
        <v>456</v>
      </c>
      <c r="H336" s="5">
        <v>5840.132300</v>
      </c>
    </row>
    <row r="337" spans="1:9">
      <c r="A337" s="22" t="str">
        <f>HYPERLINK("https://app.vivvix.com/360/KMI/IntelliDrive/ApplUI/Pages/CreativePages/CustomReportCreativeDetail.aspx?App=23&amp;ReportView=4&amp;Qid=1711245&amp;Row=329&amp;Col=1","No Title Assigned - #15252837619")</f>
        <v/>
      </c>
      <c r="B337" s="0" t="s">
        <v>457</v>
      </c>
      <c r="E337" s="0" t="s">
        <v>13</v>
      </c>
      <c r="F337" s="0" t="s">
        <v>13</v>
      </c>
      <c r="G337" s="0" t="s">
        <v>54</v>
      </c>
    </row>
    <row r="338" spans="1:9">
      <c r="A338" s="22" t="str">
        <f>HYPERLINK("https://app.vivvix.com/360/KMI/IntelliDrive/ApplUI/Pages/CreativePages/CustomReportCreativeDetail.aspx?App=23&amp;ReportView=4&amp;Qid=1711245&amp;Row=330&amp;Col=1","No Title Assigned - #15252837940")</f>
        <v/>
      </c>
      <c r="B338" s="0" t="s">
        <v>458</v>
      </c>
      <c r="E338" s="0" t="s">
        <v>13</v>
      </c>
      <c r="F338" s="0" t="s">
        <v>13</v>
      </c>
      <c r="G338" s="0" t="s">
        <v>54</v>
      </c>
    </row>
    <row r="339" spans="1:9">
      <c r="A339" s="22" t="str">
        <f>HYPERLINK("https://app.vivvix.com/360/KMI/IntelliDrive/ApplUI/Pages/CreativePages/CustomReportCreativeDetail.aspx?App=23&amp;ReportView=4&amp;Qid=1711245&amp;Row=331&amp;Col=1","No Title Assigned - #15253002706")</f>
        <v/>
      </c>
      <c r="B339" s="0" t="s">
        <v>459</v>
      </c>
      <c r="C339" s="0" t="s">
        <v>460</v>
      </c>
      <c r="D339" s="0" t="s">
        <v>460</v>
      </c>
      <c r="E339" s="0" t="s">
        <v>13</v>
      </c>
      <c r="F339" s="0" t="s">
        <v>128</v>
      </c>
      <c r="G339" s="0" t="s">
        <v>456</v>
      </c>
      <c r="H339" s="5">
        <v>29483.130600</v>
      </c>
    </row>
    <row r="340" spans="1:9">
      <c r="A340" s="22" t="str">
        <f>HYPERLINK("https://app.vivvix.com/360/KMI/IntelliDrive/ApplUI/Pages/CreativePages/CustomReportCreativeDetail.aspx?App=23&amp;ReportView=4&amp;Qid=1711245&amp;Row=332&amp;Col=1","No Title Assigned - #15253168963")</f>
        <v/>
      </c>
      <c r="B340" s="0" t="s">
        <v>461</v>
      </c>
      <c r="C340" s="0" t="s">
        <v>462</v>
      </c>
      <c r="D340" s="0" t="s">
        <v>462</v>
      </c>
      <c r="E340" s="0" t="s">
        <v>13</v>
      </c>
      <c r="F340" s="0" t="s">
        <v>28</v>
      </c>
      <c r="G340" s="0" t="s">
        <v>453</v>
      </c>
      <c r="H340" s="5">
        <v>1845.532900</v>
      </c>
    </row>
    <row r="341" spans="1:9">
      <c r="A341" s="22" t="str">
        <f>HYPERLINK("https://app.vivvix.com/360/KMI/IntelliDrive/ApplUI/Pages/CreativePages/CustomReportCreativeDetail.aspx?App=23&amp;ReportView=4&amp;Qid=1711245&amp;Row=333&amp;Col=1","No Title Assigned - #15253233207")</f>
        <v/>
      </c>
      <c r="B341" s="0" t="s">
        <v>463</v>
      </c>
      <c r="C341" s="0" t="s">
        <v>464</v>
      </c>
      <c r="D341" s="0" t="s">
        <v>464</v>
      </c>
      <c r="E341" s="0" t="s">
        <v>13</v>
      </c>
      <c r="F341" s="0" t="s">
        <v>128</v>
      </c>
      <c r="G341" s="0" t="s">
        <v>456</v>
      </c>
      <c r="H341" s="5">
        <v>411.477600</v>
      </c>
    </row>
    <row r="342" spans="1:9">
      <c r="A342" s="22" t="str">
        <f>HYPERLINK("https://app.vivvix.com/360/KMI/IntelliDrive/ApplUI/Pages/CreativePages/CustomReportCreativeDetail.aspx?App=23&amp;ReportView=4&amp;Qid=1711245&amp;Row=334&amp;Col=1","No Title Assigned - #15253233395")</f>
        <v/>
      </c>
      <c r="B342" s="0" t="s">
        <v>465</v>
      </c>
      <c r="C342" s="0" t="s">
        <v>466</v>
      </c>
      <c r="D342" s="0" t="s">
        <v>466</v>
      </c>
      <c r="E342" s="0" t="s">
        <v>13</v>
      </c>
      <c r="F342" s="0" t="s">
        <v>28</v>
      </c>
      <c r="G342" s="0" t="s">
        <v>453</v>
      </c>
      <c r="H342" s="5">
        <v>25010.361200</v>
      </c>
    </row>
    <row r="343" spans="1:9">
      <c r="A343" s="22" t="str">
        <f>HYPERLINK("https://app.vivvix.com/360/KMI/IntelliDrive/ApplUI/Pages/CreativePages/CustomReportCreativeDetail.aspx?App=23&amp;ReportView=4&amp;Qid=1711245&amp;Row=335&amp;Col=1","No Title Assigned - #15253385822")</f>
        <v/>
      </c>
      <c r="B343" s="0" t="s">
        <v>467</v>
      </c>
      <c r="C343" s="0" t="s">
        <v>468</v>
      </c>
      <c r="D343" s="0" t="s">
        <v>468</v>
      </c>
      <c r="E343" s="0" t="s">
        <v>13</v>
      </c>
      <c r="F343" s="0" t="s">
        <v>28</v>
      </c>
      <c r="G343" s="0" t="s">
        <v>453</v>
      </c>
      <c r="H343" s="5">
        <v>4491.092000</v>
      </c>
    </row>
    <row r="344" spans="1:9">
      <c r="A344" s="22" t="str">
        <f>HYPERLINK("https://app.vivvix.com/360/KMI/IntelliDrive/ApplUI/Pages/CreativePages/CustomReportCreativeDetail.aspx?App=23&amp;ReportView=4&amp;Qid=1711245&amp;Row=336&amp;Col=1","No Title Assigned - #15253394952")</f>
        <v/>
      </c>
      <c r="B344" s="0" t="s">
        <v>469</v>
      </c>
      <c r="C344" s="0" t="s">
        <v>470</v>
      </c>
      <c r="D344" s="0" t="s">
        <v>470</v>
      </c>
      <c r="E344" s="0" t="s">
        <v>13</v>
      </c>
      <c r="F344" s="0" t="s">
        <v>128</v>
      </c>
      <c r="G344" s="0" t="s">
        <v>456</v>
      </c>
      <c r="H344" s="5">
        <v>3299.677500</v>
      </c>
    </row>
    <row r="345" spans="1:9">
      <c r="A345" s="22" t="str">
        <f>HYPERLINK("https://app.vivvix.com/360/KMI/IntelliDrive/ApplUI/Pages/CreativePages/CustomReportCreativeDetail.aspx?App=23&amp;ReportView=4&amp;Qid=1711245&amp;Row=337&amp;Col=1","No Title Assigned - #15253403569")</f>
        <v/>
      </c>
      <c r="B345" s="0" t="s">
        <v>471</v>
      </c>
      <c r="E345" s="0" t="s">
        <v>13</v>
      </c>
      <c r="F345" s="0" t="s">
        <v>13</v>
      </c>
      <c r="G345" s="0" t="s">
        <v>54</v>
      </c>
      <c r="H345" s="5">
        <v>1348.518500</v>
      </c>
    </row>
    <row r="346" spans="1:9">
      <c r="A346" s="22" t="str">
        <f>HYPERLINK("https://app.vivvix.com/360/KMI/IntelliDrive/ApplUI/Pages/CreativePages/CustomReportCreativeDetail.aspx?App=23&amp;ReportView=4&amp;Qid=1711245&amp;Row=338&amp;Col=1","No Title Assigned - #15253520925")</f>
        <v/>
      </c>
      <c r="B346" s="0" t="s">
        <v>472</v>
      </c>
      <c r="C346" s="0" t="s">
        <v>473</v>
      </c>
      <c r="D346" s="0" t="s">
        <v>473</v>
      </c>
      <c r="E346" s="0" t="s">
        <v>13</v>
      </c>
      <c r="F346" s="0" t="s">
        <v>106</v>
      </c>
      <c r="G346" s="0" t="s">
        <v>107</v>
      </c>
      <c r="H346" s="5">
        <v>561.029800</v>
      </c>
    </row>
    <row r="347" spans="1:9">
      <c r="A347" s="22" t="str">
        <f>HYPERLINK("https://app.vivvix.com/360/KMI/IntelliDrive/ApplUI/Pages/CreativePages/CustomReportCreativeDetail.aspx?App=23&amp;ReportView=4&amp;Qid=1711245&amp;Row=339&amp;Col=1","No Title Assigned - #15253533871")</f>
        <v/>
      </c>
      <c r="B347" s="0" t="s">
        <v>474</v>
      </c>
      <c r="C347" s="0" t="s">
        <v>475</v>
      </c>
      <c r="D347" s="0" t="s">
        <v>475</v>
      </c>
      <c r="E347" s="0" t="s">
        <v>13</v>
      </c>
      <c r="F347" s="0" t="s">
        <v>13</v>
      </c>
      <c r="G347" s="0" t="s">
        <v>35</v>
      </c>
      <c r="H347" s="5">
        <v>7929.234900</v>
      </c>
    </row>
    <row r="348" spans="1:9">
      <c r="A348" s="22" t="str">
        <f>HYPERLINK("https://app.vivvix.com/360/KMI/IntelliDrive/ApplUI/Pages/CreativePages/CustomReportCreativeDetail.aspx?App=23&amp;ReportView=4&amp;Qid=1711245&amp;Row=340&amp;Col=1","No Title Assigned - #15253682175")</f>
        <v/>
      </c>
      <c r="B348" s="0" t="s">
        <v>476</v>
      </c>
      <c r="E348" s="0" t="s">
        <v>13</v>
      </c>
      <c r="F348" s="0" t="s">
        <v>106</v>
      </c>
      <c r="G348" s="0" t="s">
        <v>107</v>
      </c>
      <c r="H348" s="5">
        <v>617.214200</v>
      </c>
    </row>
    <row r="349" spans="1:9">
      <c r="A349" s="22" t="str">
        <f>HYPERLINK("https://app.vivvix.com/360/KMI/IntelliDrive/ApplUI/Pages/CreativePages/CustomReportCreativeDetail.aspx?App=23&amp;ReportView=4&amp;Qid=1711245&amp;Row=341&amp;Col=1","No Title Assigned - #15253902002")</f>
        <v/>
      </c>
      <c r="B349" s="0" t="s">
        <v>477</v>
      </c>
      <c r="E349" s="0" t="s">
        <v>13</v>
      </c>
      <c r="F349" s="0" t="s">
        <v>128</v>
      </c>
      <c r="G349" s="0" t="s">
        <v>456</v>
      </c>
      <c r="H349" s="5">
        <v>1011.392100</v>
      </c>
    </row>
    <row r="350" spans="1:9">
      <c r="A350" s="22" t="str">
        <f>HYPERLINK("https://app.vivvix.com/360/KMI/IntelliDrive/ApplUI/Pages/CreativePages/CustomReportCreativeDetail.aspx?App=23&amp;ReportView=4&amp;Qid=1711245&amp;Row=342&amp;Col=1","No Title Assigned - #15253960850")</f>
        <v/>
      </c>
      <c r="B350" s="0" t="s">
        <v>478</v>
      </c>
      <c r="E350" s="0" t="s">
        <v>13</v>
      </c>
      <c r="F350" s="0" t="s">
        <v>28</v>
      </c>
      <c r="G350" s="0" t="s">
        <v>453</v>
      </c>
      <c r="H350" s="5">
        <v>3745.802700</v>
      </c>
    </row>
    <row r="351" spans="1:9">
      <c r="A351" s="22" t="str">
        <f>HYPERLINK("https://app.vivvix.com/360/KMI/IntelliDrive/ApplUI/Pages/CreativePages/CustomReportCreativeDetail.aspx?App=23&amp;ReportView=4&amp;Qid=1711245&amp;Row=343&amp;Col=1","No Title Assigned - #15254014166")</f>
        <v/>
      </c>
      <c r="B351" s="0" t="s">
        <v>479</v>
      </c>
      <c r="C351" s="0" t="s">
        <v>480</v>
      </c>
      <c r="D351" s="0" t="s">
        <v>480</v>
      </c>
      <c r="E351" s="0" t="s">
        <v>13</v>
      </c>
      <c r="F351" s="0" t="s">
        <v>28</v>
      </c>
      <c r="G351" s="0" t="s">
        <v>453</v>
      </c>
      <c r="H351" s="5">
        <v>31060.940000</v>
      </c>
    </row>
    <row r="352" spans="1:9">
      <c r="A352" s="22" t="str">
        <f>HYPERLINK("https://app.vivvix.com/360/KMI/IntelliDrive/ApplUI/Pages/CreativePages/CustomReportCreativeDetail.aspx?App=23&amp;ReportView=4&amp;Qid=1711245&amp;Row=344&amp;Col=1","No Title Assigned - #15254017862")</f>
        <v/>
      </c>
      <c r="B352" s="0" t="s">
        <v>481</v>
      </c>
      <c r="C352" s="0" t="s">
        <v>482</v>
      </c>
      <c r="D352" s="0" t="s">
        <v>482</v>
      </c>
      <c r="E352" s="0" t="s">
        <v>13</v>
      </c>
      <c r="F352" s="0" t="s">
        <v>128</v>
      </c>
      <c r="G352" s="0" t="s">
        <v>456</v>
      </c>
      <c r="H352" s="5">
        <v>1555.010500</v>
      </c>
    </row>
    <row r="353" spans="1:9">
      <c r="A353" s="22" t="str">
        <f>HYPERLINK("https://app.vivvix.com/360/KMI/IntelliDrive/ApplUI/Pages/CreativePages/CustomReportCreativeDetail.aspx?App=23&amp;ReportView=4&amp;Qid=1711245&amp;Row=345&amp;Col=1","No Title Assigned - #15254022130")</f>
        <v/>
      </c>
      <c r="B353" s="0" t="s">
        <v>483</v>
      </c>
      <c r="E353" s="0" t="s">
        <v>13</v>
      </c>
      <c r="F353" s="0" t="s">
        <v>128</v>
      </c>
      <c r="G353" s="0" t="s">
        <v>456</v>
      </c>
      <c r="H353" s="5">
        <v>7113.151400</v>
      </c>
    </row>
    <row r="354" spans="1:9">
      <c r="A354" s="22" t="str">
        <f>HYPERLINK("https://app.vivvix.com/360/KMI/IntelliDrive/ApplUI/Pages/CreativePages/CustomReportCreativeDetail.aspx?App=23&amp;ReportView=4&amp;Qid=1711245&amp;Row=346&amp;Col=1","No Title Assigned - #15254022130")</f>
        <v/>
      </c>
      <c r="B354" s="0" t="s">
        <v>483</v>
      </c>
      <c r="C354" s="0" t="s">
        <v>484</v>
      </c>
      <c r="D354" s="0" t="s">
        <v>484</v>
      </c>
      <c r="E354" s="0" t="s">
        <v>13</v>
      </c>
      <c r="F354" s="0" t="s">
        <v>128</v>
      </c>
      <c r="G354" s="0" t="s">
        <v>456</v>
      </c>
      <c r="H354" s="5">
        <v>771.038200</v>
      </c>
    </row>
    <row r="355" spans="1:9">
      <c r="A355" s="22" t="str">
        <f>HYPERLINK("https://app.vivvix.com/360/KMI/IntelliDrive/ApplUI/Pages/CreativePages/CustomReportCreativeDetail.aspx?App=23&amp;ReportView=4&amp;Qid=1711245&amp;Row=347&amp;Col=1","No Title Assigned - #15254024299")</f>
        <v/>
      </c>
      <c r="B355" s="0" t="s">
        <v>485</v>
      </c>
      <c r="C355" s="0" t="s">
        <v>486</v>
      </c>
      <c r="D355" s="0" t="s">
        <v>486</v>
      </c>
      <c r="E355" s="0" t="s">
        <v>13</v>
      </c>
      <c r="F355" s="0" t="s">
        <v>17</v>
      </c>
      <c r="G355" s="0" t="s">
        <v>446</v>
      </c>
      <c r="H355" s="5">
        <v>7887.871100</v>
      </c>
    </row>
    <row r="356" spans="1:9">
      <c r="A356" s="22" t="str">
        <f>HYPERLINK("https://app.vivvix.com/360/KMI/IntelliDrive/ApplUI/Pages/CreativePages/CustomReportCreativeDetail.aspx?App=23&amp;ReportView=4&amp;Qid=1711245&amp;Row=348&amp;Col=1","No Title Assigned - #15254026332")</f>
        <v/>
      </c>
      <c r="B356" s="0" t="s">
        <v>487</v>
      </c>
      <c r="C356" s="0" t="s">
        <v>488</v>
      </c>
      <c r="D356" s="0" t="s">
        <v>488</v>
      </c>
      <c r="E356" s="0" t="s">
        <v>13</v>
      </c>
      <c r="F356" s="0" t="s">
        <v>17</v>
      </c>
      <c r="G356" s="0" t="s">
        <v>446</v>
      </c>
      <c r="H356" s="5">
        <v>563540.019500</v>
      </c>
    </row>
    <row r="357" spans="1:9">
      <c r="A357" s="22" t="str">
        <f>HYPERLINK("https://app.vivvix.com/360/KMI/IntelliDrive/ApplUI/Pages/CreativePages/CustomReportCreativeDetail.aspx?App=23&amp;ReportView=4&amp;Qid=1711245&amp;Row=349&amp;Col=1","No Title Assigned - #15254026332")</f>
        <v/>
      </c>
      <c r="B357" s="0" t="s">
        <v>487</v>
      </c>
      <c r="E357" s="0" t="s">
        <v>13</v>
      </c>
      <c r="F357" s="0" t="s">
        <v>17</v>
      </c>
      <c r="G357" s="0" t="s">
        <v>446</v>
      </c>
      <c r="H357" s="5">
        <v>2357.137100</v>
      </c>
    </row>
    <row r="358" spans="1:9">
      <c r="A358" s="22" t="str">
        <f>HYPERLINK("https://app.vivvix.com/360/KMI/IntelliDrive/ApplUI/Pages/CreativePages/CustomReportCreativeDetail.aspx?App=23&amp;ReportView=4&amp;Qid=1711245&amp;Row=350&amp;Col=1","No Title Assigned - #15254453233")</f>
        <v/>
      </c>
      <c r="B358" s="0" t="s">
        <v>489</v>
      </c>
      <c r="C358" s="0" t="s">
        <v>490</v>
      </c>
      <c r="D358" s="0" t="s">
        <v>490</v>
      </c>
      <c r="E358" s="0" t="s">
        <v>13</v>
      </c>
      <c r="F358" s="0" t="s">
        <v>28</v>
      </c>
      <c r="G358" s="0" t="s">
        <v>453</v>
      </c>
      <c r="H358" s="5">
        <v>42983.716900</v>
      </c>
    </row>
    <row r="359" spans="1:9">
      <c r="A359" s="22" t="str">
        <f>HYPERLINK("https://app.vivvix.com/360/KMI/IntelliDrive/ApplUI/Pages/CreativePages/CustomReportCreativeDetail.aspx?App=23&amp;ReportView=4&amp;Qid=1711245&amp;Row=351&amp;Col=1","No Title Assigned - #15254568491")</f>
        <v/>
      </c>
      <c r="B359" s="0" t="s">
        <v>491</v>
      </c>
      <c r="C359" s="0" t="s">
        <v>492</v>
      </c>
      <c r="D359" s="0" t="s">
        <v>492</v>
      </c>
      <c r="E359" s="0" t="s">
        <v>13</v>
      </c>
      <c r="F359" s="0" t="s">
        <v>28</v>
      </c>
      <c r="G359" s="0" t="s">
        <v>453</v>
      </c>
      <c r="H359" s="5">
        <v>12788.667700</v>
      </c>
    </row>
    <row r="360" spans="1:9">
      <c r="A360" s="22" t="str">
        <f>HYPERLINK("https://app.vivvix.com/360/KMI/IntelliDrive/ApplUI/Pages/CreativePages/CustomReportCreativeDetail.aspx?App=23&amp;ReportView=4&amp;Qid=1711245&amp;Row=352&amp;Col=1","No Title Assigned - #15254573394")</f>
        <v/>
      </c>
      <c r="B360" s="0" t="s">
        <v>493</v>
      </c>
      <c r="C360" s="0" t="s">
        <v>492</v>
      </c>
      <c r="D360" s="0" t="s">
        <v>492</v>
      </c>
      <c r="E360" s="0" t="s">
        <v>13</v>
      </c>
      <c r="F360" s="0" t="s">
        <v>28</v>
      </c>
      <c r="G360" s="0" t="s">
        <v>453</v>
      </c>
      <c r="H360" s="5">
        <v>9930.852400</v>
      </c>
    </row>
    <row r="361" spans="1:9">
      <c r="A361" s="22" t="str">
        <f>HYPERLINK("https://app.vivvix.com/360/KMI/IntelliDrive/ApplUI/Pages/CreativePages/CustomReportCreativeDetail.aspx?App=23&amp;ReportView=4&amp;Qid=1711245&amp;Row=353&amp;Col=1","No Title Assigned - #15255106951")</f>
        <v/>
      </c>
      <c r="B361" s="0" t="s">
        <v>494</v>
      </c>
      <c r="C361" s="0" t="s">
        <v>495</v>
      </c>
      <c r="D361" s="0" t="s">
        <v>495</v>
      </c>
      <c r="E361" s="0" t="s">
        <v>13</v>
      </c>
      <c r="F361" s="0" t="s">
        <v>28</v>
      </c>
      <c r="G361" s="0" t="s">
        <v>453</v>
      </c>
      <c r="H361" s="5">
        <v>39747.870800</v>
      </c>
    </row>
    <row r="362" spans="1:9">
      <c r="A362" s="22" t="str">
        <f>HYPERLINK("https://app.vivvix.com/360/KMI/IntelliDrive/ApplUI/Pages/CreativePages/CustomReportCreativeDetail.aspx?App=23&amp;ReportView=4&amp;Qid=1711245&amp;Row=354&amp;Col=1","No Title Assigned - #15255425158")</f>
        <v/>
      </c>
      <c r="B362" s="0" t="s">
        <v>496</v>
      </c>
      <c r="C362" s="0" t="s">
        <v>497</v>
      </c>
      <c r="D362" s="0" t="s">
        <v>497</v>
      </c>
      <c r="E362" s="0" t="s">
        <v>13</v>
      </c>
      <c r="F362" s="0" t="s">
        <v>128</v>
      </c>
      <c r="G362" s="0" t="s">
        <v>456</v>
      </c>
      <c r="H362" s="5">
        <v>3103.461100</v>
      </c>
    </row>
    <row r="363" spans="1:9">
      <c r="A363" s="22" t="str">
        <f>HYPERLINK("https://app.vivvix.com/360/KMI/IntelliDrive/ApplUI/Pages/CreativePages/CustomReportCreativeDetail.aspx?App=23&amp;ReportView=4&amp;Qid=1711245&amp;Row=355&amp;Col=1","No Title Assigned - #15255810361")</f>
        <v/>
      </c>
      <c r="B363" s="0" t="s">
        <v>498</v>
      </c>
      <c r="C363" s="0" t="s">
        <v>499</v>
      </c>
      <c r="D363" s="0" t="s">
        <v>499</v>
      </c>
      <c r="E363" s="0" t="s">
        <v>13</v>
      </c>
      <c r="F363" s="0" t="s">
        <v>128</v>
      </c>
      <c r="G363" s="0" t="s">
        <v>456</v>
      </c>
      <c r="H363" s="5">
        <v>228.162600</v>
      </c>
    </row>
    <row r="364" spans="1:9">
      <c r="A364" s="22" t="str">
        <f>HYPERLINK("https://app.vivvix.com/360/KMI/IntelliDrive/ApplUI/Pages/CreativePages/CustomReportCreativeDetail.aspx?App=23&amp;ReportView=4&amp;Qid=1711245&amp;Row=356&amp;Col=1","No Title Assigned - #15255918263")</f>
        <v/>
      </c>
      <c r="B364" s="0" t="s">
        <v>500</v>
      </c>
      <c r="C364" s="0" t="s">
        <v>501</v>
      </c>
      <c r="D364" s="0" t="s">
        <v>501</v>
      </c>
      <c r="E364" s="0" t="s">
        <v>13</v>
      </c>
      <c r="F364" s="0" t="s">
        <v>128</v>
      </c>
      <c r="G364" s="0" t="s">
        <v>456</v>
      </c>
      <c r="H364" s="5">
        <v>931.960600</v>
      </c>
    </row>
    <row r="365" spans="1:9">
      <c r="A365" s="22" t="str">
        <f>HYPERLINK("https://app.vivvix.com/360/KMI/IntelliDrive/ApplUI/Pages/CreativePages/CustomReportCreativeDetail.aspx?App=23&amp;ReportView=4&amp;Qid=1711245&amp;Row=357&amp;Col=1","No Title Assigned - #15255971143")</f>
        <v/>
      </c>
      <c r="B365" s="0" t="s">
        <v>502</v>
      </c>
      <c r="C365" s="0" t="s">
        <v>503</v>
      </c>
      <c r="D365" s="0" t="s">
        <v>503</v>
      </c>
      <c r="E365" s="0" t="s">
        <v>13</v>
      </c>
      <c r="F365" s="0" t="s">
        <v>28</v>
      </c>
      <c r="G365" s="0" t="s">
        <v>453</v>
      </c>
      <c r="H365" s="5">
        <v>17690.499300</v>
      </c>
    </row>
    <row r="366" spans="1:9">
      <c r="A366" s="22" t="str">
        <f>HYPERLINK("https://app.vivvix.com/360/KMI/IntelliDrive/ApplUI/Pages/CreativePages/CustomReportCreativeDetail.aspx?App=23&amp;ReportView=4&amp;Qid=1711245&amp;Row=358&amp;Col=1","No Title Assigned - #15256036071")</f>
        <v/>
      </c>
      <c r="B366" s="0" t="s">
        <v>504</v>
      </c>
      <c r="C366" s="0" t="s">
        <v>505</v>
      </c>
      <c r="D366" s="0" t="s">
        <v>505</v>
      </c>
      <c r="E366" s="0" t="s">
        <v>13</v>
      </c>
      <c r="F366" s="0" t="s">
        <v>128</v>
      </c>
      <c r="G366" s="0" t="s">
        <v>456</v>
      </c>
      <c r="H366" s="5">
        <v>449.726500</v>
      </c>
    </row>
    <row r="367" spans="1:9">
      <c r="A367" s="22" t="str">
        <f>HYPERLINK("https://app.vivvix.com/360/KMI/IntelliDrive/ApplUI/Pages/CreativePages/CustomReportCreativeDetail.aspx?App=23&amp;ReportView=4&amp;Qid=1711245&amp;Row=359&amp;Col=1","No Title Assigned - #15256038463")</f>
        <v/>
      </c>
      <c r="B367" s="0" t="s">
        <v>506</v>
      </c>
      <c r="C367" s="0" t="s">
        <v>507</v>
      </c>
      <c r="D367" s="0" t="s">
        <v>507</v>
      </c>
      <c r="E367" s="0" t="s">
        <v>13</v>
      </c>
      <c r="F367" s="0" t="s">
        <v>128</v>
      </c>
      <c r="G367" s="0" t="s">
        <v>456</v>
      </c>
      <c r="H367" s="5">
        <v>2083.887600</v>
      </c>
    </row>
    <row r="368" spans="1:9">
      <c r="A368" s="22" t="str">
        <f>HYPERLINK("https://app.vivvix.com/360/KMI/IntelliDrive/ApplUI/Pages/CreativePages/CustomReportCreativeDetail.aspx?App=23&amp;ReportView=4&amp;Qid=1711245&amp;Row=360&amp;Col=1","No Title Assigned - #15256392508")</f>
        <v/>
      </c>
      <c r="B368" s="0" t="s">
        <v>508</v>
      </c>
      <c r="C368" s="0" t="s">
        <v>509</v>
      </c>
      <c r="D368" s="0" t="s">
        <v>509</v>
      </c>
      <c r="E368" s="0" t="s">
        <v>13</v>
      </c>
      <c r="F368" s="0" t="s">
        <v>128</v>
      </c>
      <c r="G368" s="0" t="s">
        <v>456</v>
      </c>
      <c r="H368" s="5">
        <v>17455.383100</v>
      </c>
    </row>
    <row r="369" spans="1:9">
      <c r="A369" s="22" t="str">
        <f>HYPERLINK("https://app.vivvix.com/360/KMI/IntelliDrive/ApplUI/Pages/CreativePages/CustomReportCreativeDetail.aspx?App=23&amp;ReportView=4&amp;Qid=1711245&amp;Row=361&amp;Col=1","No Title Assigned - #15256471387")</f>
        <v/>
      </c>
      <c r="B369" s="0" t="s">
        <v>510</v>
      </c>
      <c r="E369" s="0" t="s">
        <v>13</v>
      </c>
      <c r="F369" s="0" t="s">
        <v>13</v>
      </c>
      <c r="G369" s="0" t="s">
        <v>54</v>
      </c>
      <c r="H369" s="5">
        <v>22627.497400</v>
      </c>
    </row>
    <row r="370" spans="1:9">
      <c r="A370" s="22" t="str">
        <f>HYPERLINK("https://app.vivvix.com/360/KMI/IntelliDrive/ApplUI/Pages/CreativePages/CustomReportCreativeDetail.aspx?App=23&amp;ReportView=4&amp;Qid=1711245&amp;Row=362&amp;Col=1","No Title Assigned - #15256486717")</f>
        <v/>
      </c>
      <c r="B370" s="0" t="s">
        <v>511</v>
      </c>
      <c r="C370" s="0" t="s">
        <v>512</v>
      </c>
      <c r="D370" s="0" t="s">
        <v>512</v>
      </c>
      <c r="E370" s="0" t="s">
        <v>13</v>
      </c>
      <c r="F370" s="0" t="s">
        <v>128</v>
      </c>
      <c r="G370" s="0" t="s">
        <v>456</v>
      </c>
      <c r="H370" s="5">
        <v>89.417000</v>
      </c>
    </row>
    <row r="371" spans="1:9">
      <c r="A371" s="22" t="str">
        <f>HYPERLINK("https://app.vivvix.com/360/KMI/IntelliDrive/ApplUI/Pages/CreativePages/CustomReportCreativeDetail.aspx?App=23&amp;ReportView=4&amp;Qid=1711245&amp;Row=363&amp;Col=1","No Title Assigned - #15256821974")</f>
        <v/>
      </c>
      <c r="B371" s="0" t="s">
        <v>513</v>
      </c>
      <c r="C371" s="0" t="s">
        <v>514</v>
      </c>
      <c r="D371" s="0" t="s">
        <v>514</v>
      </c>
      <c r="E371" s="0" t="s">
        <v>13</v>
      </c>
      <c r="F371" s="0" t="s">
        <v>28</v>
      </c>
      <c r="G371" s="0" t="s">
        <v>453</v>
      </c>
      <c r="H371" s="5">
        <v>7315.322600</v>
      </c>
    </row>
    <row r="372" spans="1:9">
      <c r="A372" s="22" t="str">
        <f>HYPERLINK("https://app.vivvix.com/360/KMI/IntelliDrive/ApplUI/Pages/CreativePages/CustomReportCreativeDetail.aspx?App=23&amp;ReportView=4&amp;Qid=1711245&amp;Row=364&amp;Col=1","No Title Assigned - #15256897386")</f>
        <v/>
      </c>
      <c r="B372" s="0" t="s">
        <v>515</v>
      </c>
      <c r="C372" s="0" t="s">
        <v>516</v>
      </c>
      <c r="D372" s="0" t="s">
        <v>516</v>
      </c>
      <c r="E372" s="0" t="s">
        <v>13</v>
      </c>
      <c r="F372" s="0" t="s">
        <v>128</v>
      </c>
      <c r="G372" s="0" t="s">
        <v>456</v>
      </c>
      <c r="H372" s="5">
        <v>8419.440600</v>
      </c>
    </row>
    <row r="373" spans="1:9">
      <c r="A373" s="22" t="str">
        <f>HYPERLINK("https://app.vivvix.com/360/KMI/IntelliDrive/ApplUI/Pages/CreativePages/CustomReportCreativeDetail.aspx?App=23&amp;ReportView=4&amp;Qid=1711245&amp;Row=365&amp;Col=1","No Title Assigned - #15257036718")</f>
        <v/>
      </c>
      <c r="B373" s="0" t="s">
        <v>517</v>
      </c>
      <c r="C373" s="0" t="s">
        <v>518</v>
      </c>
      <c r="D373" s="0" t="s">
        <v>518</v>
      </c>
      <c r="E373" s="0" t="s">
        <v>13</v>
      </c>
      <c r="F373" s="0" t="s">
        <v>128</v>
      </c>
      <c r="G373" s="0" t="s">
        <v>456</v>
      </c>
      <c r="H373" s="5">
        <v>2353.927300</v>
      </c>
    </row>
    <row r="374" spans="1:9">
      <c r="A374" s="22" t="str">
        <f>HYPERLINK("https://app.vivvix.com/360/KMI/IntelliDrive/ApplUI/Pages/CreativePages/CustomReportCreativeDetail.aspx?App=23&amp;ReportView=4&amp;Qid=1711245&amp;Row=366&amp;Col=1","No Title Assigned - #15257085121")</f>
        <v/>
      </c>
      <c r="B374" s="0" t="s">
        <v>519</v>
      </c>
      <c r="C374" s="0" t="s">
        <v>520</v>
      </c>
      <c r="D374" s="0" t="s">
        <v>520</v>
      </c>
      <c r="E374" s="0" t="s">
        <v>13</v>
      </c>
      <c r="F374" s="0" t="s">
        <v>28</v>
      </c>
      <c r="G374" s="0" t="s">
        <v>453</v>
      </c>
      <c r="H374" s="5">
        <v>484.209900</v>
      </c>
    </row>
    <row r="375" spans="1:9">
      <c r="A375" s="22" t="str">
        <f>HYPERLINK("https://app.vivvix.com/360/KMI/IntelliDrive/ApplUI/Pages/CreativePages/CustomReportCreativeDetail.aspx?App=23&amp;ReportView=4&amp;Qid=1711245&amp;Row=367&amp;Col=1","No Title Assigned - #15257409350")</f>
        <v/>
      </c>
      <c r="B375" s="0" t="s">
        <v>521</v>
      </c>
      <c r="C375" s="0" t="s">
        <v>522</v>
      </c>
      <c r="D375" s="0" t="s">
        <v>522</v>
      </c>
      <c r="E375" s="0" t="s">
        <v>13</v>
      </c>
      <c r="F375" s="0" t="s">
        <v>28</v>
      </c>
      <c r="G375" s="0" t="s">
        <v>453</v>
      </c>
      <c r="H375" s="5">
        <v>6590.141500</v>
      </c>
    </row>
    <row r="376" spans="1:9">
      <c r="A376" s="22" t="str">
        <f>HYPERLINK("https://app.vivvix.com/360/KMI/IntelliDrive/ApplUI/Pages/CreativePages/CustomReportCreativeDetail.aspx?App=23&amp;ReportView=4&amp;Qid=1711245&amp;Row=368&amp;Col=1","No Title Assigned - #15257452486")</f>
        <v/>
      </c>
      <c r="B376" s="0" t="s">
        <v>523</v>
      </c>
      <c r="C376" s="0" t="s">
        <v>524</v>
      </c>
      <c r="D376" s="0" t="s">
        <v>524</v>
      </c>
      <c r="E376" s="0" t="s">
        <v>13</v>
      </c>
      <c r="F376" s="0" t="s">
        <v>128</v>
      </c>
      <c r="G376" s="0" t="s">
        <v>456</v>
      </c>
      <c r="H376" s="5">
        <v>17211.008200</v>
      </c>
    </row>
    <row r="377" spans="1:9">
      <c r="A377" s="22" t="str">
        <f>HYPERLINK("https://app.vivvix.com/360/KMI/IntelliDrive/ApplUI/Pages/CreativePages/CustomReportCreativeDetail.aspx?App=23&amp;ReportView=4&amp;Qid=1711245&amp;Row=369&amp;Col=1","No Title Assigned - #15258113577")</f>
        <v/>
      </c>
      <c r="B377" s="0" t="s">
        <v>525</v>
      </c>
      <c r="C377" s="0" t="s">
        <v>526</v>
      </c>
      <c r="D377" s="0" t="s">
        <v>526</v>
      </c>
      <c r="E377" s="0" t="s">
        <v>13</v>
      </c>
      <c r="F377" s="0" t="s">
        <v>28</v>
      </c>
      <c r="G377" s="0" t="s">
        <v>453</v>
      </c>
      <c r="H377" s="5">
        <v>653.212300</v>
      </c>
    </row>
    <row r="378" spans="1:9">
      <c r="A378" s="22" t="str">
        <f>HYPERLINK("https://app.vivvix.com/360/KMI/IntelliDrive/ApplUI/Pages/CreativePages/CustomReportCreativeDetail.aspx?App=23&amp;ReportView=4&amp;Qid=1711245&amp;Row=370&amp;Col=1","No Title Assigned - #15258174504")</f>
        <v/>
      </c>
      <c r="B378" s="0" t="s">
        <v>527</v>
      </c>
      <c r="E378" s="0" t="s">
        <v>13</v>
      </c>
      <c r="F378" s="0" t="s">
        <v>13</v>
      </c>
      <c r="G378" s="0" t="s">
        <v>54</v>
      </c>
    </row>
    <row r="379" spans="1:9">
      <c r="A379" s="22" t="str">
        <f>HYPERLINK("https://app.vivvix.com/360/KMI/IntelliDrive/ApplUI/Pages/CreativePages/CustomReportCreativeDetail.aspx?App=23&amp;ReportView=4&amp;Qid=1711245&amp;Row=371&amp;Col=1","No Title Assigned - #15258441046")</f>
        <v/>
      </c>
      <c r="B379" s="0" t="s">
        <v>528</v>
      </c>
      <c r="C379" s="0" t="s">
        <v>529</v>
      </c>
      <c r="D379" s="0" t="s">
        <v>529</v>
      </c>
      <c r="E379" s="0" t="s">
        <v>13</v>
      </c>
      <c r="F379" s="0" t="s">
        <v>530</v>
      </c>
      <c r="G379" s="0" t="s">
        <v>531</v>
      </c>
      <c r="H379" s="5">
        <v>461.847000</v>
      </c>
    </row>
    <row r="380" spans="1:9">
      <c r="A380" s="22" t="str">
        <f>HYPERLINK("https://app.vivvix.com/360/KMI/IntelliDrive/ApplUI/Pages/CreativePages/CustomReportCreativeDetail.aspx?App=23&amp;ReportView=4&amp;Qid=1711245&amp;Row=372&amp;Col=1","No Title Assigned - #15258487398")</f>
        <v/>
      </c>
      <c r="B380" s="0" t="s">
        <v>532</v>
      </c>
      <c r="C380" s="0" t="s">
        <v>533</v>
      </c>
      <c r="D380" s="0" t="s">
        <v>533</v>
      </c>
      <c r="E380" s="0" t="s">
        <v>13</v>
      </c>
      <c r="F380" s="0" t="s">
        <v>28</v>
      </c>
      <c r="G380" s="0" t="s">
        <v>453</v>
      </c>
      <c r="H380" s="5">
        <v>402.724700</v>
      </c>
    </row>
    <row r="381" spans="1:9">
      <c r="A381" s="22" t="str">
        <f>HYPERLINK("https://app.vivvix.com/360/KMI/IntelliDrive/ApplUI/Pages/CreativePages/CustomReportCreativeDetail.aspx?App=23&amp;ReportView=4&amp;Qid=1711245&amp;Row=373&amp;Col=1","No Title Assigned - #15258507404")</f>
        <v/>
      </c>
      <c r="B381" s="0" t="s">
        <v>534</v>
      </c>
      <c r="E381" s="0" t="s">
        <v>13</v>
      </c>
      <c r="F381" s="0" t="s">
        <v>128</v>
      </c>
      <c r="G381" s="0" t="s">
        <v>456</v>
      </c>
      <c r="H381" s="5">
        <v>591.463500</v>
      </c>
    </row>
    <row r="382" spans="1:9">
      <c r="A382" s="22" t="str">
        <f>HYPERLINK("https://app.vivvix.com/360/KMI/IntelliDrive/ApplUI/Pages/CreativePages/CustomReportCreativeDetail.aspx?App=23&amp;ReportView=4&amp;Qid=1711245&amp;Row=374&amp;Col=1","No Title Assigned - #15258510725")</f>
        <v/>
      </c>
      <c r="B382" s="0" t="s">
        <v>535</v>
      </c>
      <c r="E382" s="0" t="s">
        <v>13</v>
      </c>
      <c r="F382" s="0" t="s">
        <v>13</v>
      </c>
      <c r="G382" s="0" t="s">
        <v>54</v>
      </c>
      <c r="H382" s="5">
        <v>149.668600</v>
      </c>
    </row>
    <row r="383" spans="1:9">
      <c r="A383" s="22" t="str">
        <f>HYPERLINK("https://app.vivvix.com/360/KMI/IntelliDrive/ApplUI/Pages/CreativePages/CustomReportCreativeDetail.aspx?App=23&amp;ReportView=4&amp;Qid=1711245&amp;Row=375&amp;Col=1","No Title Assigned - #15258528904")</f>
        <v/>
      </c>
      <c r="B383" s="0" t="s">
        <v>536</v>
      </c>
      <c r="C383" s="0" t="s">
        <v>537</v>
      </c>
      <c r="D383" s="0" t="s">
        <v>537</v>
      </c>
      <c r="E383" s="0" t="s">
        <v>13</v>
      </c>
      <c r="F383" s="0" t="s">
        <v>530</v>
      </c>
      <c r="G383" s="0" t="s">
        <v>531</v>
      </c>
      <c r="H383" s="5">
        <v>5931.461600</v>
      </c>
    </row>
    <row r="384" spans="1:9">
      <c r="A384" s="22" t="str">
        <f>HYPERLINK("https://app.vivvix.com/360/KMI/IntelliDrive/ApplUI/Pages/CreativePages/CustomReportCreativeDetail.aspx?App=23&amp;ReportView=4&amp;Qid=1711245&amp;Row=376&amp;Col=1","No Title Assigned - #15258563199")</f>
        <v/>
      </c>
      <c r="B384" s="0" t="s">
        <v>538</v>
      </c>
      <c r="C384" s="0" t="s">
        <v>539</v>
      </c>
      <c r="D384" s="0" t="s">
        <v>539</v>
      </c>
      <c r="E384" s="0" t="s">
        <v>13</v>
      </c>
      <c r="F384" s="0" t="s">
        <v>540</v>
      </c>
      <c r="G384" s="0" t="s">
        <v>541</v>
      </c>
      <c r="H384" s="5">
        <v>23994.401600</v>
      </c>
    </row>
    <row r="385" spans="1:9">
      <c r="A385" s="22" t="str">
        <f>HYPERLINK("https://app.vivvix.com/360/KMI/IntelliDrive/ApplUI/Pages/CreativePages/CustomReportCreativeDetail.aspx?App=23&amp;ReportView=4&amp;Qid=1711245&amp;Row=377&amp;Col=1","No Title Assigned - #15258706503")</f>
        <v/>
      </c>
      <c r="B385" s="0" t="s">
        <v>542</v>
      </c>
      <c r="C385" s="0" t="s">
        <v>543</v>
      </c>
      <c r="D385" s="0" t="s">
        <v>543</v>
      </c>
      <c r="E385" s="0" t="s">
        <v>13</v>
      </c>
      <c r="F385" s="0" t="s">
        <v>540</v>
      </c>
      <c r="G385" s="0" t="s">
        <v>541</v>
      </c>
      <c r="H385" s="5">
        <v>21.083700</v>
      </c>
    </row>
    <row r="386" spans="1:9">
      <c r="A386" s="22" t="str">
        <f>HYPERLINK("https://app.vivvix.com/360/KMI/IntelliDrive/ApplUI/Pages/CreativePages/CustomReportCreativeDetail.aspx?App=23&amp;ReportView=4&amp;Qid=1711245&amp;Row=378&amp;Col=1","No Title Assigned - #15258709463")</f>
        <v/>
      </c>
      <c r="B386" s="0" t="s">
        <v>544</v>
      </c>
      <c r="C386" s="0" t="s">
        <v>545</v>
      </c>
      <c r="D386" s="0" t="s">
        <v>545</v>
      </c>
      <c r="E386" s="0" t="s">
        <v>13</v>
      </c>
      <c r="F386" s="0" t="s">
        <v>28</v>
      </c>
      <c r="G386" s="0" t="s">
        <v>453</v>
      </c>
      <c r="H386" s="5">
        <v>19.588400</v>
      </c>
    </row>
    <row r="387" spans="1:9">
      <c r="A387" s="22" t="str">
        <f>HYPERLINK("https://app.vivvix.com/360/KMI/IntelliDrive/ApplUI/Pages/CreativePages/CustomReportCreativeDetail.aspx?App=23&amp;ReportView=4&amp;Qid=1711245&amp;Row=379&amp;Col=1","No Title Assigned - #15258763812")</f>
        <v/>
      </c>
      <c r="B387" s="0" t="s">
        <v>546</v>
      </c>
      <c r="E387" s="0" t="s">
        <v>13</v>
      </c>
      <c r="F387" s="0" t="s">
        <v>540</v>
      </c>
      <c r="G387" s="0" t="s">
        <v>541</v>
      </c>
      <c r="H387" s="5">
        <v>3940.365000</v>
      </c>
    </row>
    <row r="388" spans="1:9">
      <c r="A388" s="22" t="str">
        <f>HYPERLINK("https://app.vivvix.com/360/KMI/IntelliDrive/ApplUI/Pages/CreativePages/CustomReportCreativeDetail.aspx?App=23&amp;ReportView=4&amp;Qid=1711245&amp;Row=380&amp;Col=1","No Title Assigned - #15258810668")</f>
        <v/>
      </c>
      <c r="B388" s="0" t="s">
        <v>547</v>
      </c>
      <c r="C388" s="0" t="s">
        <v>548</v>
      </c>
      <c r="D388" s="0" t="s">
        <v>548</v>
      </c>
      <c r="E388" s="0" t="s">
        <v>13</v>
      </c>
      <c r="F388" s="0" t="s">
        <v>530</v>
      </c>
      <c r="G388" s="0" t="s">
        <v>531</v>
      </c>
      <c r="H388" s="5">
        <v>137.725600</v>
      </c>
    </row>
    <row r="389" spans="1:9">
      <c r="A389" s="22" t="str">
        <f>HYPERLINK("https://app.vivvix.com/360/KMI/IntelliDrive/ApplUI/Pages/CreativePages/CustomReportCreativeDetail.aspx?App=23&amp;ReportView=4&amp;Qid=1711245&amp;Row=381&amp;Col=1","No Title Assigned - #15258879912")</f>
        <v/>
      </c>
      <c r="B389" s="0" t="s">
        <v>549</v>
      </c>
      <c r="C389" s="0" t="s">
        <v>550</v>
      </c>
      <c r="D389" s="0" t="s">
        <v>550</v>
      </c>
      <c r="E389" s="0" t="s">
        <v>13</v>
      </c>
      <c r="F389" s="0" t="s">
        <v>14</v>
      </c>
      <c r="G389" s="0" t="s">
        <v>15</v>
      </c>
      <c r="H389" s="5">
        <v>6926.210100</v>
      </c>
    </row>
    <row r="390" spans="1:9">
      <c r="A390" s="22" t="str">
        <f>HYPERLINK("https://app.vivvix.com/360/KMI/IntelliDrive/ApplUI/Pages/CreativePages/CustomReportCreativeDetail.aspx?App=23&amp;ReportView=4&amp;Qid=1711245&amp;Row=382&amp;Col=1","No Title Assigned - #15258882206")</f>
        <v/>
      </c>
      <c r="B390" s="0" t="s">
        <v>551</v>
      </c>
      <c r="C390" s="0" t="s">
        <v>552</v>
      </c>
      <c r="D390" s="0" t="s">
        <v>552</v>
      </c>
      <c r="E390" s="0" t="s">
        <v>13</v>
      </c>
      <c r="F390" s="0" t="s">
        <v>28</v>
      </c>
      <c r="G390" s="0" t="s">
        <v>453</v>
      </c>
      <c r="H390" s="5">
        <v>2878.455000</v>
      </c>
    </row>
    <row r="391" spans="1:9">
      <c r="A391" s="22" t="str">
        <f>HYPERLINK("https://app.vivvix.com/360/KMI/IntelliDrive/ApplUI/Pages/CreativePages/CustomReportCreativeDetail.aspx?App=23&amp;ReportView=4&amp;Qid=1711245&amp;Row=383&amp;Col=1","No Title Assigned - #15258919939")</f>
        <v/>
      </c>
      <c r="B391" s="0" t="s">
        <v>553</v>
      </c>
      <c r="E391" s="0" t="s">
        <v>13</v>
      </c>
      <c r="F391" s="0" t="s">
        <v>13</v>
      </c>
      <c r="G391" s="0" t="s">
        <v>54</v>
      </c>
    </row>
    <row r="392" spans="1:9">
      <c r="A392" s="22" t="str">
        <f>HYPERLINK("https://app.vivvix.com/360/KMI/IntelliDrive/ApplUI/Pages/CreativePages/CustomReportCreativeDetail.aspx?App=23&amp;ReportView=4&amp;Qid=1711245&amp;Row=384&amp;Col=1","No Title Assigned - #15258938139")</f>
        <v/>
      </c>
      <c r="B392" s="0" t="s">
        <v>554</v>
      </c>
      <c r="C392" s="0" t="s">
        <v>555</v>
      </c>
      <c r="D392" s="0" t="s">
        <v>555</v>
      </c>
      <c r="E392" s="0" t="s">
        <v>13</v>
      </c>
      <c r="F392" s="0" t="s">
        <v>28</v>
      </c>
      <c r="G392" s="0" t="s">
        <v>453</v>
      </c>
      <c r="H392" s="5">
        <v>78.353600</v>
      </c>
    </row>
    <row r="393" spans="1:9">
      <c r="A393" s="22" t="str">
        <f>HYPERLINK("https://app.vivvix.com/360/KMI/IntelliDrive/ApplUI/Pages/CreativePages/CustomReportCreativeDetail.aspx?App=23&amp;ReportView=4&amp;Qid=1711245&amp;Row=385&amp;Col=1","No Title Assigned - #15258938207")</f>
        <v/>
      </c>
      <c r="B393" s="0" t="s">
        <v>556</v>
      </c>
      <c r="C393" s="0" t="s">
        <v>557</v>
      </c>
      <c r="D393" s="0" t="s">
        <v>557</v>
      </c>
      <c r="E393" s="0" t="s">
        <v>13</v>
      </c>
      <c r="F393" s="0" t="s">
        <v>28</v>
      </c>
      <c r="G393" s="0" t="s">
        <v>453</v>
      </c>
      <c r="H393" s="5">
        <v>719.464800</v>
      </c>
    </row>
    <row r="394" spans="1:9">
      <c r="A394" s="22" t="str">
        <f>HYPERLINK("https://app.vivvix.com/360/KMI/IntelliDrive/ApplUI/Pages/CreativePages/CustomReportCreativeDetail.aspx?App=23&amp;ReportView=4&amp;Qid=1711245&amp;Row=386&amp;Col=1","No Title Assigned - #15258995167")</f>
        <v/>
      </c>
      <c r="B394" s="0" t="s">
        <v>558</v>
      </c>
      <c r="C394" s="0" t="s">
        <v>559</v>
      </c>
      <c r="D394" s="0" t="s">
        <v>559</v>
      </c>
      <c r="E394" s="0" t="s">
        <v>13</v>
      </c>
      <c r="F394" s="0" t="s">
        <v>530</v>
      </c>
      <c r="G394" s="0" t="s">
        <v>531</v>
      </c>
      <c r="H394" s="5">
        <v>69.957800</v>
      </c>
    </row>
    <row r="395" spans="1:9">
      <c r="A395" s="22" t="str">
        <f>HYPERLINK("https://app.vivvix.com/360/KMI/IntelliDrive/ApplUI/Pages/CreativePages/CustomReportCreativeDetail.aspx?App=23&amp;ReportView=4&amp;Qid=1711245&amp;Row=387&amp;Col=1","No Title Assigned - #15258995491")</f>
        <v/>
      </c>
      <c r="B395" s="0" t="s">
        <v>560</v>
      </c>
      <c r="C395" s="0" t="s">
        <v>561</v>
      </c>
      <c r="D395" s="0" t="s">
        <v>561</v>
      </c>
      <c r="E395" s="0" t="s">
        <v>13</v>
      </c>
      <c r="F395" s="0" t="s">
        <v>530</v>
      </c>
      <c r="G395" s="0" t="s">
        <v>531</v>
      </c>
      <c r="H395" s="5">
        <v>3883.037600</v>
      </c>
    </row>
    <row r="396" spans="1:9">
      <c r="A396" s="22" t="str">
        <f>HYPERLINK("https://app.vivvix.com/360/KMI/IntelliDrive/ApplUI/Pages/CreativePages/CustomReportCreativeDetail.aspx?App=23&amp;ReportView=4&amp;Qid=1711245&amp;Row=388&amp;Col=1","No Title Assigned - #15259022026")</f>
        <v/>
      </c>
      <c r="B396" s="0" t="s">
        <v>562</v>
      </c>
      <c r="C396" s="0" t="s">
        <v>563</v>
      </c>
      <c r="D396" s="0" t="s">
        <v>563</v>
      </c>
      <c r="E396" s="0" t="s">
        <v>13</v>
      </c>
      <c r="F396" s="0" t="s">
        <v>530</v>
      </c>
      <c r="G396" s="0" t="s">
        <v>531</v>
      </c>
      <c r="H396" s="5">
        <v>12288.778100</v>
      </c>
    </row>
    <row r="397" spans="1:9">
      <c r="A397" s="22" t="str">
        <f>HYPERLINK("https://app.vivvix.com/360/KMI/IntelliDrive/ApplUI/Pages/CreativePages/CustomReportCreativeDetail.aspx?App=23&amp;ReportView=4&amp;Qid=1711245&amp;Row=389&amp;Col=1","No Title Assigned - #15259022910")</f>
        <v/>
      </c>
      <c r="B397" s="0" t="s">
        <v>564</v>
      </c>
      <c r="C397" s="0" t="s">
        <v>565</v>
      </c>
      <c r="D397" s="0" t="s">
        <v>565</v>
      </c>
      <c r="E397" s="0" t="s">
        <v>13</v>
      </c>
      <c r="F397" s="0" t="s">
        <v>530</v>
      </c>
      <c r="G397" s="0" t="s">
        <v>531</v>
      </c>
      <c r="H397" s="5">
        <v>6511.924900</v>
      </c>
    </row>
    <row r="398" spans="1:9">
      <c r="A398" s="22" t="str">
        <f>HYPERLINK("https://app.vivvix.com/360/KMI/IntelliDrive/ApplUI/Pages/CreativePages/CustomReportCreativeDetail.aspx?App=23&amp;ReportView=4&amp;Qid=1711245&amp;Row=390&amp;Col=1","No Title Assigned - #15259070319")</f>
        <v/>
      </c>
      <c r="B398" s="0" t="s">
        <v>566</v>
      </c>
      <c r="C398" s="0" t="s">
        <v>567</v>
      </c>
      <c r="D398" s="0" t="s">
        <v>567</v>
      </c>
      <c r="E398" s="0" t="s">
        <v>13</v>
      </c>
      <c r="F398" s="0" t="s">
        <v>530</v>
      </c>
      <c r="G398" s="0" t="s">
        <v>531</v>
      </c>
      <c r="H398" s="5">
        <v>239.892800</v>
      </c>
    </row>
    <row r="399" spans="1:9">
      <c r="A399" s="22" t="str">
        <f>HYPERLINK("https://app.vivvix.com/360/KMI/IntelliDrive/ApplUI/Pages/CreativePages/CustomReportCreativeDetail.aspx?App=23&amp;ReportView=4&amp;Qid=1711245&amp;Row=391&amp;Col=1","No Title Assigned - #15259116146")</f>
        <v/>
      </c>
      <c r="B399" s="0" t="s">
        <v>568</v>
      </c>
      <c r="C399" s="0" t="s">
        <v>569</v>
      </c>
      <c r="D399" s="0" t="s">
        <v>569</v>
      </c>
      <c r="E399" s="0" t="s">
        <v>13</v>
      </c>
      <c r="F399" s="0" t="s">
        <v>540</v>
      </c>
      <c r="G399" s="0" t="s">
        <v>541</v>
      </c>
      <c r="H399" s="5">
        <v>4134.157500</v>
      </c>
    </row>
    <row r="400" spans="1:9">
      <c r="A400" s="22" t="str">
        <f>HYPERLINK("https://app.vivvix.com/360/KMI/IntelliDrive/ApplUI/Pages/CreativePages/CustomReportCreativeDetail.aspx?App=23&amp;ReportView=4&amp;Qid=1711245&amp;Row=392&amp;Col=1","No Title Assigned - #15259120789")</f>
        <v/>
      </c>
      <c r="B400" s="0" t="s">
        <v>570</v>
      </c>
      <c r="C400" s="0" t="s">
        <v>571</v>
      </c>
      <c r="D400" s="0" t="s">
        <v>571</v>
      </c>
      <c r="E400" s="0" t="s">
        <v>13</v>
      </c>
      <c r="F400" s="0" t="s">
        <v>540</v>
      </c>
      <c r="G400" s="0" t="s">
        <v>541</v>
      </c>
      <c r="H400" s="5">
        <v>6190.398500</v>
      </c>
    </row>
    <row r="401" spans="1:9">
      <c r="A401" s="22" t="str">
        <f>HYPERLINK("https://app.vivvix.com/360/KMI/IntelliDrive/ApplUI/Pages/CreativePages/CustomReportCreativeDetail.aspx?App=23&amp;ReportView=4&amp;Qid=1711245&amp;Row=393&amp;Col=1","No Title Assigned - #15259120790")</f>
        <v/>
      </c>
      <c r="B401" s="0" t="s">
        <v>572</v>
      </c>
      <c r="C401" s="0" t="s">
        <v>573</v>
      </c>
      <c r="D401" s="0" t="s">
        <v>573</v>
      </c>
      <c r="E401" s="0" t="s">
        <v>13</v>
      </c>
      <c r="F401" s="0" t="s">
        <v>540</v>
      </c>
      <c r="G401" s="0" t="s">
        <v>541</v>
      </c>
      <c r="H401" s="5">
        <v>45052.117500</v>
      </c>
    </row>
    <row r="402" spans="1:9">
      <c r="A402" s="22" t="str">
        <f>HYPERLINK("https://app.vivvix.com/360/KMI/IntelliDrive/ApplUI/Pages/CreativePages/CustomReportCreativeDetail.aspx?App=23&amp;ReportView=4&amp;Qid=1711245&amp;Row=394&amp;Col=1","No Title Assigned - #15259132055")</f>
        <v/>
      </c>
      <c r="B402" s="0" t="s">
        <v>574</v>
      </c>
      <c r="C402" s="0" t="s">
        <v>575</v>
      </c>
      <c r="D402" s="0" t="s">
        <v>575</v>
      </c>
      <c r="E402" s="0" t="s">
        <v>13</v>
      </c>
      <c r="F402" s="0" t="s">
        <v>13</v>
      </c>
      <c r="G402" s="0" t="s">
        <v>576</v>
      </c>
      <c r="H402" s="5">
        <v>441.633800</v>
      </c>
    </row>
    <row r="403" spans="1:9">
      <c r="A403" s="22" t="str">
        <f>HYPERLINK("https://app.vivvix.com/360/KMI/IntelliDrive/ApplUI/Pages/CreativePages/CustomReportCreativeDetail.aspx?App=23&amp;ReportView=4&amp;Qid=1711245&amp;Row=395&amp;Col=1","No Title Assigned - #15259137477")</f>
        <v/>
      </c>
      <c r="B403" s="0" t="s">
        <v>577</v>
      </c>
      <c r="E403" s="0" t="s">
        <v>13</v>
      </c>
      <c r="F403" s="0" t="s">
        <v>13</v>
      </c>
      <c r="G403" s="0" t="s">
        <v>54</v>
      </c>
    </row>
    <row r="404" spans="1:9">
      <c r="A404" s="22" t="str">
        <f>HYPERLINK("https://app.vivvix.com/360/KMI/IntelliDrive/ApplUI/Pages/CreativePages/CustomReportCreativeDetail.aspx?App=23&amp;ReportView=4&amp;Qid=1711245&amp;Row=396&amp;Col=1","No Title Assigned - #15259166268")</f>
        <v/>
      </c>
      <c r="B404" s="0" t="s">
        <v>578</v>
      </c>
      <c r="E404" s="0" t="s">
        <v>13</v>
      </c>
      <c r="F404" s="0" t="s">
        <v>13</v>
      </c>
      <c r="G404" s="0" t="s">
        <v>54</v>
      </c>
      <c r="H404" s="5">
        <v>507.946400</v>
      </c>
    </row>
    <row r="405" spans="1:9">
      <c r="A405" s="22" t="str">
        <f>HYPERLINK("https://app.vivvix.com/360/KMI/IntelliDrive/ApplUI/Pages/CreativePages/CustomReportCreativeDetail.aspx?App=23&amp;ReportView=4&amp;Qid=1711245&amp;Row=397&amp;Col=1","No Title Assigned - #15259166699")</f>
        <v/>
      </c>
      <c r="B405" s="0" t="s">
        <v>579</v>
      </c>
      <c r="C405" s="0" t="s">
        <v>580</v>
      </c>
      <c r="D405" s="0" t="s">
        <v>580</v>
      </c>
      <c r="E405" s="0" t="s">
        <v>13</v>
      </c>
      <c r="F405" s="0" t="s">
        <v>530</v>
      </c>
      <c r="G405" s="0" t="s">
        <v>531</v>
      </c>
      <c r="H405" s="5">
        <v>12328.466800</v>
      </c>
    </row>
    <row r="406" spans="1:9">
      <c r="A406" s="22" t="str">
        <f>HYPERLINK("https://app.vivvix.com/360/KMI/IntelliDrive/ApplUI/Pages/CreativePages/CustomReportCreativeDetail.aspx?App=23&amp;ReportView=4&amp;Qid=1711245&amp;Row=398&amp;Col=1","No Title Assigned - #15259281540")</f>
        <v/>
      </c>
      <c r="B406" s="0" t="s">
        <v>581</v>
      </c>
      <c r="C406" s="0" t="s">
        <v>582</v>
      </c>
      <c r="D406" s="0" t="s">
        <v>582</v>
      </c>
      <c r="E406" s="0" t="s">
        <v>13</v>
      </c>
      <c r="F406" s="0" t="s">
        <v>540</v>
      </c>
      <c r="G406" s="0" t="s">
        <v>541</v>
      </c>
      <c r="H406" s="5">
        <v>4741.983400</v>
      </c>
    </row>
    <row r="407" spans="1:9">
      <c r="A407" s="22" t="str">
        <f>HYPERLINK("https://app.vivvix.com/360/KMI/IntelliDrive/ApplUI/Pages/CreativePages/CustomReportCreativeDetail.aspx?App=23&amp;ReportView=4&amp;Qid=1711245&amp;Row=399&amp;Col=1","No Title Assigned - #15259426053")</f>
        <v/>
      </c>
      <c r="B407" s="0" t="s">
        <v>583</v>
      </c>
      <c r="E407" s="0" t="s">
        <v>13</v>
      </c>
      <c r="F407" s="0" t="s">
        <v>13</v>
      </c>
      <c r="G407" s="0" t="s">
        <v>54</v>
      </c>
    </row>
    <row r="408" spans="1:9">
      <c r="A408" s="22" t="str">
        <f>HYPERLINK("https://app.vivvix.com/360/KMI/IntelliDrive/ApplUI/Pages/CreativePages/CustomReportCreativeDetail.aspx?App=23&amp;ReportView=4&amp;Qid=1711245&amp;Row=400&amp;Col=1","No Title Assigned - #15259526652")</f>
        <v/>
      </c>
      <c r="B408" s="0" t="s">
        <v>584</v>
      </c>
      <c r="C408" s="0" t="s">
        <v>585</v>
      </c>
      <c r="D408" s="0" t="s">
        <v>585</v>
      </c>
      <c r="E408" s="0" t="s">
        <v>13</v>
      </c>
      <c r="F408" s="0" t="s">
        <v>128</v>
      </c>
      <c r="G408" s="0" t="s">
        <v>456</v>
      </c>
      <c r="H408" s="5">
        <v>285.070400</v>
      </c>
    </row>
    <row r="409" spans="1:9">
      <c r="A409" s="22" t="str">
        <f>HYPERLINK("https://app.vivvix.com/360/KMI/IntelliDrive/ApplUI/Pages/CreativePages/CustomReportCreativeDetail.aspx?App=23&amp;ReportView=4&amp;Qid=1711245&amp;Row=401&amp;Col=1","No Title Assigned - #15259573333")</f>
        <v/>
      </c>
      <c r="B409" s="0" t="s">
        <v>586</v>
      </c>
      <c r="C409" s="0" t="s">
        <v>587</v>
      </c>
      <c r="D409" s="0" t="s">
        <v>587</v>
      </c>
      <c r="E409" s="0" t="s">
        <v>13</v>
      </c>
      <c r="F409" s="0" t="s">
        <v>540</v>
      </c>
      <c r="G409" s="0" t="s">
        <v>541</v>
      </c>
      <c r="H409" s="5">
        <v>21.083700</v>
      </c>
    </row>
    <row r="410" spans="1:9">
      <c r="A410" s="22" t="str">
        <f>HYPERLINK("https://app.vivvix.com/360/KMI/IntelliDrive/ApplUI/Pages/CreativePages/CustomReportCreativeDetail.aspx?App=23&amp;ReportView=4&amp;Qid=1711245&amp;Row=402&amp;Col=1","No Title Assigned - #15259692993")</f>
        <v/>
      </c>
      <c r="B410" s="0" t="s">
        <v>588</v>
      </c>
      <c r="C410" s="0" t="s">
        <v>589</v>
      </c>
      <c r="D410" s="0" t="s">
        <v>589</v>
      </c>
      <c r="E410" s="0" t="s">
        <v>13</v>
      </c>
      <c r="F410" s="0" t="s">
        <v>590</v>
      </c>
      <c r="G410" s="0" t="s">
        <v>591</v>
      </c>
      <c r="H410" s="5">
        <v>16016.558400</v>
      </c>
    </row>
    <row r="411" spans="1:9">
      <c r="A411" s="22" t="str">
        <f>HYPERLINK("https://app.vivvix.com/360/KMI/IntelliDrive/ApplUI/Pages/CreativePages/CustomReportCreativeDetail.aspx?App=23&amp;ReportView=4&amp;Qid=1711245&amp;Row=403&amp;Col=1","No Title Assigned - #15259797996")</f>
        <v/>
      </c>
      <c r="B411" s="0" t="s">
        <v>592</v>
      </c>
      <c r="C411" s="0" t="s">
        <v>593</v>
      </c>
      <c r="D411" s="0" t="s">
        <v>593</v>
      </c>
      <c r="E411" s="0" t="s">
        <v>13</v>
      </c>
      <c r="F411" s="0" t="s">
        <v>14</v>
      </c>
      <c r="G411" s="0" t="s">
        <v>15</v>
      </c>
      <c r="H411" s="5">
        <v>4113.481700</v>
      </c>
    </row>
    <row r="412" spans="1:9">
      <c r="A412" s="22" t="str">
        <f>HYPERLINK("https://app.vivvix.com/360/KMI/IntelliDrive/ApplUI/Pages/CreativePages/CustomReportCreativeDetail.aspx?App=23&amp;ReportView=4&amp;Qid=1711245&amp;Row=404&amp;Col=1","No Title Assigned - #15259970629")</f>
        <v/>
      </c>
      <c r="B412" s="0" t="s">
        <v>594</v>
      </c>
      <c r="C412" s="0" t="s">
        <v>595</v>
      </c>
      <c r="D412" s="0" t="s">
        <v>595</v>
      </c>
      <c r="E412" s="0" t="s">
        <v>13</v>
      </c>
      <c r="F412" s="0" t="s">
        <v>540</v>
      </c>
      <c r="G412" s="0" t="s">
        <v>541</v>
      </c>
      <c r="H412" s="5">
        <v>506.226800</v>
      </c>
    </row>
    <row r="413" spans="1:9">
      <c r="A413" s="22" t="str">
        <f>HYPERLINK("https://app.vivvix.com/360/KMI/IntelliDrive/ApplUI/Pages/CreativePages/CustomReportCreativeDetail.aspx?App=23&amp;ReportView=4&amp;Qid=1711245&amp;Row=405&amp;Col=1","No Title Assigned - #15260008191")</f>
        <v/>
      </c>
      <c r="B413" s="0" t="s">
        <v>596</v>
      </c>
      <c r="E413" s="0" t="s">
        <v>13</v>
      </c>
      <c r="F413" s="0" t="s">
        <v>13</v>
      </c>
      <c r="G413" s="0" t="s">
        <v>54</v>
      </c>
    </row>
    <row r="414" spans="1:9">
      <c r="A414" s="22" t="str">
        <f>HYPERLINK("https://app.vivvix.com/360/KMI/IntelliDrive/ApplUI/Pages/CreativePages/CustomReportCreativeDetail.aspx?App=23&amp;ReportView=4&amp;Qid=1711245&amp;Row=406&amp;Col=1","No Title Assigned - #15260009951")</f>
        <v/>
      </c>
      <c r="B414" s="0" t="s">
        <v>597</v>
      </c>
      <c r="E414" s="0" t="s">
        <v>13</v>
      </c>
      <c r="F414" s="0" t="s">
        <v>13</v>
      </c>
      <c r="G414" s="0" t="s">
        <v>54</v>
      </c>
    </row>
    <row r="415" spans="1:9">
      <c r="A415" s="22" t="str">
        <f>HYPERLINK("https://app.vivvix.com/360/KMI/IntelliDrive/ApplUI/Pages/CreativePages/CustomReportCreativeDetail.aspx?App=23&amp;ReportView=4&amp;Qid=1711245&amp;Row=407&amp;Col=1","No Title Assigned - #15260017205")</f>
        <v/>
      </c>
      <c r="B415" s="0" t="s">
        <v>598</v>
      </c>
      <c r="C415" s="0" t="s">
        <v>599</v>
      </c>
      <c r="D415" s="0" t="s">
        <v>599</v>
      </c>
      <c r="E415" s="0" t="s">
        <v>13</v>
      </c>
      <c r="F415" s="0" t="s">
        <v>540</v>
      </c>
      <c r="G415" s="0" t="s">
        <v>541</v>
      </c>
      <c r="H415" s="5">
        <v>2974.757300</v>
      </c>
    </row>
    <row r="416" spans="1:9">
      <c r="A416" s="22" t="str">
        <f>HYPERLINK("https://app.vivvix.com/360/KMI/IntelliDrive/ApplUI/Pages/CreativePages/CustomReportCreativeDetail.aspx?App=23&amp;ReportView=4&amp;Qid=1711245&amp;Row=408&amp;Col=1","No Title Assigned - #15260017208")</f>
        <v/>
      </c>
      <c r="B416" s="0" t="s">
        <v>600</v>
      </c>
      <c r="E416" s="0" t="s">
        <v>13</v>
      </c>
      <c r="F416" s="0" t="s">
        <v>13</v>
      </c>
      <c r="G416" s="0" t="s">
        <v>54</v>
      </c>
    </row>
    <row r="417" spans="1:9">
      <c r="A417" s="22" t="str">
        <f>HYPERLINK("https://app.vivvix.com/360/KMI/IntelliDrive/ApplUI/Pages/CreativePages/CustomReportCreativeDetail.aspx?App=23&amp;ReportView=4&amp;Qid=1711245&amp;Row=409&amp;Col=1","No Title Assigned - #15260214520")</f>
        <v/>
      </c>
      <c r="B417" s="0" t="s">
        <v>601</v>
      </c>
      <c r="C417" s="0" t="s">
        <v>602</v>
      </c>
      <c r="D417" s="0" t="s">
        <v>602</v>
      </c>
      <c r="E417" s="0" t="s">
        <v>13</v>
      </c>
      <c r="F417" s="0" t="s">
        <v>540</v>
      </c>
      <c r="G417" s="0" t="s">
        <v>541</v>
      </c>
      <c r="H417" s="5">
        <v>57.415400</v>
      </c>
    </row>
    <row r="418" spans="1:9">
      <c r="A418" s="22" t="str">
        <f>HYPERLINK("https://app.vivvix.com/360/KMI/IntelliDrive/ApplUI/Pages/CreativePages/CustomReportCreativeDetail.aspx?App=23&amp;ReportView=4&amp;Qid=1711245&amp;Row=410&amp;Col=1","No Title Assigned - #15260214538")</f>
        <v/>
      </c>
      <c r="B418" s="0" t="s">
        <v>603</v>
      </c>
      <c r="C418" s="0" t="s">
        <v>604</v>
      </c>
      <c r="D418" s="0" t="s">
        <v>552</v>
      </c>
      <c r="E418" s="0" t="s">
        <v>13</v>
      </c>
      <c r="F418" s="0" t="s">
        <v>28</v>
      </c>
      <c r="G418" s="0" t="s">
        <v>453</v>
      </c>
      <c r="H418" s="5">
        <v>2798.229800</v>
      </c>
    </row>
    <row r="419" spans="1:9">
      <c r="A419" s="22" t="str">
        <f>HYPERLINK("https://app.vivvix.com/360/KMI/IntelliDrive/ApplUI/Pages/CreativePages/CustomReportCreativeDetail.aspx?App=23&amp;ReportView=4&amp;Qid=1711245&amp;Row=411&amp;Col=1","No Title Assigned - #15260350052")</f>
        <v/>
      </c>
      <c r="B419" s="0" t="s">
        <v>605</v>
      </c>
      <c r="C419" s="0" t="s">
        <v>606</v>
      </c>
      <c r="D419" s="0" t="s">
        <v>606</v>
      </c>
      <c r="E419" s="0" t="s">
        <v>13</v>
      </c>
      <c r="F419" s="0" t="s">
        <v>540</v>
      </c>
      <c r="G419" s="0" t="s">
        <v>541</v>
      </c>
      <c r="H419" s="5">
        <v>923.810100</v>
      </c>
    </row>
    <row r="420" spans="1:9">
      <c r="A420" s="22" t="str">
        <f>HYPERLINK("https://app.vivvix.com/360/KMI/IntelliDrive/ApplUI/Pages/CreativePages/CustomReportCreativeDetail.aspx?App=23&amp;ReportView=4&amp;Qid=1711245&amp;Row=412&amp;Col=1","No Title Assigned - #15260366757")</f>
        <v/>
      </c>
      <c r="B420" s="0" t="s">
        <v>607</v>
      </c>
      <c r="C420" s="0" t="s">
        <v>608</v>
      </c>
      <c r="D420" s="0" t="s">
        <v>608</v>
      </c>
      <c r="E420" s="0" t="s">
        <v>13</v>
      </c>
      <c r="F420" s="0" t="s">
        <v>28</v>
      </c>
      <c r="G420" s="0" t="s">
        <v>453</v>
      </c>
      <c r="H420" s="5">
        <v>27789.962300</v>
      </c>
    </row>
    <row r="421" spans="1:9">
      <c r="A421" s="22" t="str">
        <f>HYPERLINK("https://app.vivvix.com/360/KMI/IntelliDrive/ApplUI/Pages/CreativePages/CustomReportCreativeDetail.aspx?App=23&amp;ReportView=4&amp;Qid=1711245&amp;Row=413&amp;Col=1","No Title Assigned - #15260530496")</f>
        <v/>
      </c>
      <c r="B421" s="0" t="s">
        <v>609</v>
      </c>
      <c r="C421" s="0" t="s">
        <v>610</v>
      </c>
      <c r="D421" s="0" t="s">
        <v>610</v>
      </c>
      <c r="E421" s="0" t="s">
        <v>13</v>
      </c>
      <c r="F421" s="0" t="s">
        <v>530</v>
      </c>
      <c r="G421" s="0" t="s">
        <v>531</v>
      </c>
      <c r="H421" s="5">
        <v>4778.907800</v>
      </c>
    </row>
    <row r="422" spans="1:9">
      <c r="A422" s="22" t="str">
        <f>HYPERLINK("https://app.vivvix.com/360/KMI/IntelliDrive/ApplUI/Pages/CreativePages/CustomReportCreativeDetail.aspx?App=23&amp;ReportView=4&amp;Qid=1711245&amp;Row=414&amp;Col=1","No Title Assigned - #15260593440")</f>
        <v/>
      </c>
      <c r="B422" s="0" t="s">
        <v>611</v>
      </c>
      <c r="E422" s="0" t="s">
        <v>13</v>
      </c>
      <c r="F422" s="0" t="s">
        <v>13</v>
      </c>
      <c r="G422" s="0" t="s">
        <v>54</v>
      </c>
    </row>
    <row r="423" spans="1:9">
      <c r="A423" s="22" t="str">
        <f>HYPERLINK("https://app.vivvix.com/360/KMI/IntelliDrive/ApplUI/Pages/CreativePages/CustomReportCreativeDetail.aspx?App=23&amp;ReportView=4&amp;Qid=1711245&amp;Row=415&amp;Col=1","No Title Assigned - #15260915716")</f>
        <v/>
      </c>
      <c r="B423" s="0" t="s">
        <v>612</v>
      </c>
      <c r="C423" s="0" t="s">
        <v>613</v>
      </c>
      <c r="D423" s="0" t="s">
        <v>613</v>
      </c>
      <c r="E423" s="0" t="s">
        <v>13</v>
      </c>
      <c r="F423" s="0" t="s">
        <v>13</v>
      </c>
      <c r="G423" s="0" t="s">
        <v>78</v>
      </c>
      <c r="H423" s="5">
        <v>18984.607900</v>
      </c>
    </row>
    <row r="424" spans="1:9">
      <c r="A424" s="22" t="str">
        <f>HYPERLINK("https://app.vivvix.com/360/KMI/IntelliDrive/ApplUI/Pages/CreativePages/CustomReportCreativeDetail.aspx?App=23&amp;ReportView=4&amp;Qid=1711245&amp;Row=416&amp;Col=1","No Title Assigned - #15261498978")</f>
        <v/>
      </c>
      <c r="B424" s="0" t="s">
        <v>614</v>
      </c>
      <c r="E424" s="0" t="s">
        <v>13</v>
      </c>
      <c r="F424" s="0" t="s">
        <v>14</v>
      </c>
      <c r="G424" s="0" t="s">
        <v>15</v>
      </c>
      <c r="H424" s="5">
        <v>203.282300</v>
      </c>
    </row>
    <row r="425" spans="1:9">
      <c r="A425" s="22" t="str">
        <f>HYPERLINK("https://app.vivvix.com/360/KMI/IntelliDrive/ApplUI/Pages/CreativePages/CustomReportCreativeDetail.aspx?App=23&amp;ReportView=4&amp;Qid=1711245&amp;Row=417&amp;Col=1","No Title Assigned - #15261498978")</f>
        <v/>
      </c>
      <c r="B425" s="0" t="s">
        <v>614</v>
      </c>
      <c r="E425" s="0" t="s">
        <v>13</v>
      </c>
      <c r="F425" s="0" t="s">
        <v>14</v>
      </c>
      <c r="G425" s="0" t="s">
        <v>15</v>
      </c>
      <c r="H425" s="5">
        <v>54616.871100</v>
      </c>
    </row>
    <row r="426" spans="1:9">
      <c r="A426" s="22" t="str">
        <f>HYPERLINK("https://app.vivvix.com/360/KMI/IntelliDrive/ApplUI/Pages/CreativePages/CustomReportCreativeDetail.aspx?App=23&amp;ReportView=4&amp;Qid=1711245&amp;Row=418&amp;Col=1","No Title Assigned - #15261509223")</f>
        <v/>
      </c>
      <c r="B426" s="0" t="s">
        <v>615</v>
      </c>
      <c r="E426" s="0" t="s">
        <v>13</v>
      </c>
      <c r="F426" s="0" t="s">
        <v>14</v>
      </c>
      <c r="G426" s="0" t="s">
        <v>15</v>
      </c>
      <c r="H426" s="5">
        <v>54616.871100</v>
      </c>
    </row>
    <row r="427" spans="1:9">
      <c r="A427" s="22" t="str">
        <f>HYPERLINK("https://app.vivvix.com/360/KMI/IntelliDrive/ApplUI/Pages/CreativePages/CustomReportCreativeDetail.aspx?App=23&amp;ReportView=4&amp;Qid=1711245&amp;Row=419&amp;Col=1","No Title Assigned - #15261510487")</f>
        <v/>
      </c>
      <c r="B427" s="0" t="s">
        <v>616</v>
      </c>
      <c r="C427" s="0" t="s">
        <v>617</v>
      </c>
      <c r="D427" s="0" t="s">
        <v>617</v>
      </c>
      <c r="E427" s="0" t="s">
        <v>13</v>
      </c>
      <c r="F427" s="0" t="s">
        <v>14</v>
      </c>
      <c r="G427" s="0" t="s">
        <v>15</v>
      </c>
      <c r="H427" s="5">
        <v>54616.871100</v>
      </c>
    </row>
    <row r="428" spans="1:9">
      <c r="A428" s="22" t="str">
        <f>HYPERLINK("https://app.vivvix.com/360/KMI/IntelliDrive/ApplUI/Pages/CreativePages/CustomReportCreativeDetail.aspx?App=23&amp;ReportView=4&amp;Qid=1711245&amp;Row=420&amp;Col=1","No Title Assigned - #15261533877")</f>
        <v/>
      </c>
      <c r="B428" s="0" t="s">
        <v>618</v>
      </c>
      <c r="C428" s="0" t="s">
        <v>619</v>
      </c>
      <c r="D428" s="0" t="s">
        <v>619</v>
      </c>
      <c r="E428" s="0" t="s">
        <v>13</v>
      </c>
      <c r="F428" s="0" t="s">
        <v>14</v>
      </c>
      <c r="G428" s="0" t="s">
        <v>15</v>
      </c>
      <c r="H428" s="5">
        <v>203.282300</v>
      </c>
    </row>
    <row r="429" spans="1:9">
      <c r="A429" s="22" t="str">
        <f>HYPERLINK("https://app.vivvix.com/360/KMI/IntelliDrive/ApplUI/Pages/CreativePages/CustomReportCreativeDetail.aspx?App=23&amp;ReportView=4&amp;Qid=1711245&amp;Row=421&amp;Col=1","No Title Assigned - #15262122635")</f>
        <v/>
      </c>
      <c r="B429" s="0" t="s">
        <v>620</v>
      </c>
      <c r="C429" s="0" t="s">
        <v>621</v>
      </c>
      <c r="D429" s="0" t="s">
        <v>621</v>
      </c>
      <c r="E429" s="0" t="s">
        <v>13</v>
      </c>
      <c r="F429" s="0" t="s">
        <v>13</v>
      </c>
      <c r="G429" s="0" t="s">
        <v>622</v>
      </c>
      <c r="H429" s="5">
        <v>434.081400</v>
      </c>
    </row>
    <row r="430" spans="1:9">
      <c r="A430" s="22" t="str">
        <f>HYPERLINK("https://app.vivvix.com/360/KMI/IntelliDrive/ApplUI/Pages/CreativePages/CustomReportCreativeDetail.aspx?App=23&amp;ReportView=4&amp;Qid=1711245&amp;Row=422&amp;Col=1","No Title Assigned - #15262482726")</f>
        <v/>
      </c>
      <c r="B430" s="0" t="s">
        <v>623</v>
      </c>
      <c r="C430" s="0" t="s">
        <v>624</v>
      </c>
      <c r="D430" s="0" t="s">
        <v>624</v>
      </c>
      <c r="E430" s="0" t="s">
        <v>13</v>
      </c>
      <c r="F430" s="0" t="s">
        <v>530</v>
      </c>
      <c r="G430" s="0" t="s">
        <v>531</v>
      </c>
      <c r="H430" s="5">
        <v>7423.053500</v>
      </c>
    </row>
    <row r="431" spans="1:9">
      <c r="A431" s="22" t="str">
        <f>HYPERLINK("https://app.vivvix.com/360/KMI/IntelliDrive/ApplUI/Pages/CreativePages/CustomReportCreativeDetail.aspx?App=23&amp;ReportView=4&amp;Qid=1711245&amp;Row=423&amp;Col=1","No Title Assigned - #15262564907")</f>
        <v/>
      </c>
      <c r="B431" s="0" t="s">
        <v>625</v>
      </c>
      <c r="C431" s="0" t="s">
        <v>626</v>
      </c>
      <c r="D431" s="0" t="s">
        <v>626</v>
      </c>
      <c r="E431" s="0" t="s">
        <v>13</v>
      </c>
      <c r="F431" s="0" t="s">
        <v>530</v>
      </c>
      <c r="G431" s="0" t="s">
        <v>531</v>
      </c>
      <c r="H431" s="5">
        <v>3822.533200</v>
      </c>
    </row>
    <row r="432" spans="1:9">
      <c r="A432" s="22" t="str">
        <f>HYPERLINK("https://app.vivvix.com/360/KMI/IntelliDrive/ApplUI/Pages/CreativePages/CustomReportCreativeDetail.aspx?App=23&amp;ReportView=4&amp;Qid=1711245&amp;Row=424&amp;Col=1","No Title Assigned - #15262568059")</f>
        <v/>
      </c>
      <c r="B432" s="0" t="s">
        <v>627</v>
      </c>
      <c r="C432" s="0" t="s">
        <v>628</v>
      </c>
      <c r="D432" s="0" t="s">
        <v>628</v>
      </c>
      <c r="E432" s="0" t="s">
        <v>13</v>
      </c>
      <c r="F432" s="0" t="s">
        <v>14</v>
      </c>
      <c r="G432" s="0" t="s">
        <v>15</v>
      </c>
      <c r="H432" s="5">
        <v>12696.956300</v>
      </c>
    </row>
    <row r="433" spans="1:9">
      <c r="A433" s="22" t="str">
        <f>HYPERLINK("https://app.vivvix.com/360/KMI/IntelliDrive/ApplUI/Pages/CreativePages/CustomReportCreativeDetail.aspx?App=23&amp;ReportView=4&amp;Qid=1711245&amp;Row=425&amp;Col=1","No Title Assigned - #15262569204")</f>
        <v/>
      </c>
      <c r="B433" s="0" t="s">
        <v>629</v>
      </c>
      <c r="C433" s="0" t="s">
        <v>630</v>
      </c>
      <c r="D433" s="0" t="s">
        <v>630</v>
      </c>
      <c r="E433" s="0" t="s">
        <v>13</v>
      </c>
      <c r="F433" s="0" t="s">
        <v>530</v>
      </c>
      <c r="G433" s="0" t="s">
        <v>531</v>
      </c>
      <c r="H433" s="5">
        <v>100.738800</v>
      </c>
    </row>
    <row r="434" spans="1:9">
      <c r="A434" s="22" t="str">
        <f>HYPERLINK("https://app.vivvix.com/360/KMI/IntelliDrive/ApplUI/Pages/CreativePages/CustomReportCreativeDetail.aspx?App=23&amp;ReportView=4&amp;Qid=1711245&amp;Row=426&amp;Col=1","No Title Assigned - #15262569266")</f>
        <v/>
      </c>
      <c r="B434" s="0" t="s">
        <v>631</v>
      </c>
      <c r="C434" s="0" t="s">
        <v>632</v>
      </c>
      <c r="D434" s="0" t="s">
        <v>632</v>
      </c>
      <c r="E434" s="0" t="s">
        <v>13</v>
      </c>
      <c r="F434" s="0" t="s">
        <v>540</v>
      </c>
      <c r="G434" s="0" t="s">
        <v>541</v>
      </c>
      <c r="H434" s="5">
        <v>46603.364400</v>
      </c>
    </row>
    <row r="435" spans="1:9">
      <c r="A435" s="22" t="str">
        <f>HYPERLINK("https://app.vivvix.com/360/KMI/IntelliDrive/ApplUI/Pages/CreativePages/CustomReportCreativeDetail.aspx?App=23&amp;ReportView=4&amp;Qid=1711245&amp;Row=427&amp;Col=1","No Title Assigned - #15262574984")</f>
        <v/>
      </c>
      <c r="B435" s="0" t="s">
        <v>633</v>
      </c>
      <c r="C435" s="0" t="s">
        <v>634</v>
      </c>
      <c r="D435" s="0" t="s">
        <v>634</v>
      </c>
      <c r="E435" s="0" t="s">
        <v>13</v>
      </c>
      <c r="F435" s="0" t="s">
        <v>28</v>
      </c>
      <c r="G435" s="0" t="s">
        <v>453</v>
      </c>
      <c r="H435" s="5">
        <v>3154.551000</v>
      </c>
    </row>
    <row r="436" spans="1:9">
      <c r="A436" s="22" t="str">
        <f>HYPERLINK("https://app.vivvix.com/360/KMI/IntelliDrive/ApplUI/Pages/CreativePages/CustomReportCreativeDetail.aspx?App=23&amp;ReportView=4&amp;Qid=1711245&amp;Row=428&amp;Col=1","No Title Assigned - #15262583684")</f>
        <v/>
      </c>
      <c r="B436" s="0" t="s">
        <v>635</v>
      </c>
      <c r="C436" s="0" t="s">
        <v>636</v>
      </c>
      <c r="D436" s="0" t="s">
        <v>636</v>
      </c>
      <c r="E436" s="0" t="s">
        <v>13</v>
      </c>
      <c r="F436" s="0" t="s">
        <v>28</v>
      </c>
      <c r="G436" s="0" t="s">
        <v>453</v>
      </c>
      <c r="H436" s="5">
        <v>4310.542000</v>
      </c>
    </row>
    <row r="437" spans="1:9">
      <c r="A437" s="22" t="str">
        <f>HYPERLINK("https://app.vivvix.com/360/KMI/IntelliDrive/ApplUI/Pages/CreativePages/CustomReportCreativeDetail.aspx?App=23&amp;ReportView=4&amp;Qid=1711245&amp;Row=429&amp;Col=1","No Title Assigned - #15262583761")</f>
        <v/>
      </c>
      <c r="B437" s="0" t="s">
        <v>637</v>
      </c>
      <c r="C437" s="0" t="s">
        <v>638</v>
      </c>
      <c r="D437" s="0" t="s">
        <v>638</v>
      </c>
      <c r="E437" s="0" t="s">
        <v>13</v>
      </c>
      <c r="F437" s="0" t="s">
        <v>530</v>
      </c>
      <c r="G437" s="0" t="s">
        <v>531</v>
      </c>
      <c r="H437" s="5">
        <v>1496.729900</v>
      </c>
    </row>
    <row r="438" spans="1:9">
      <c r="A438" s="22" t="str">
        <f>HYPERLINK("https://app.vivvix.com/360/KMI/IntelliDrive/ApplUI/Pages/CreativePages/CustomReportCreativeDetail.aspx?App=23&amp;ReportView=4&amp;Qid=1711245&amp;Row=430&amp;Col=1","No Title Assigned - #15262583764")</f>
        <v/>
      </c>
      <c r="B438" s="0" t="s">
        <v>639</v>
      </c>
      <c r="C438" s="0" t="s">
        <v>640</v>
      </c>
      <c r="D438" s="0" t="s">
        <v>640</v>
      </c>
      <c r="E438" s="0" t="s">
        <v>13</v>
      </c>
      <c r="F438" s="0" t="s">
        <v>13</v>
      </c>
      <c r="G438" s="0" t="s">
        <v>576</v>
      </c>
      <c r="H438" s="5">
        <v>1639.041900</v>
      </c>
    </row>
    <row r="439" spans="1:9">
      <c r="A439" s="22" t="str">
        <f>HYPERLINK("https://app.vivvix.com/360/KMI/IntelliDrive/ApplUI/Pages/CreativePages/CustomReportCreativeDetail.aspx?App=23&amp;ReportView=4&amp;Qid=1711245&amp;Row=431&amp;Col=1","No Title Assigned - #15262588647")</f>
        <v/>
      </c>
      <c r="B439" s="0" t="s">
        <v>641</v>
      </c>
      <c r="C439" s="0" t="s">
        <v>642</v>
      </c>
      <c r="D439" s="0" t="s">
        <v>642</v>
      </c>
      <c r="E439" s="0" t="s">
        <v>13</v>
      </c>
      <c r="F439" s="0" t="s">
        <v>128</v>
      </c>
      <c r="G439" s="0" t="s">
        <v>456</v>
      </c>
      <c r="H439" s="5">
        <v>89.417000</v>
      </c>
    </row>
    <row r="440" spans="1:9">
      <c r="A440" s="22" t="str">
        <f>HYPERLINK("https://app.vivvix.com/360/KMI/IntelliDrive/ApplUI/Pages/CreativePages/CustomReportCreativeDetail.aspx?App=23&amp;ReportView=4&amp;Qid=1711245&amp;Row=432&amp;Col=1","No Title Assigned - #15262620852")</f>
        <v/>
      </c>
      <c r="B440" s="0" t="s">
        <v>643</v>
      </c>
      <c r="C440" s="0" t="s">
        <v>644</v>
      </c>
      <c r="D440" s="0" t="s">
        <v>644</v>
      </c>
      <c r="E440" s="0" t="s">
        <v>13</v>
      </c>
      <c r="F440" s="0" t="s">
        <v>540</v>
      </c>
      <c r="G440" s="0" t="s">
        <v>541</v>
      </c>
      <c r="H440" s="5">
        <v>3634.659900</v>
      </c>
    </row>
    <row r="441" spans="1:9">
      <c r="A441" s="22" t="str">
        <f>HYPERLINK("https://app.vivvix.com/360/KMI/IntelliDrive/ApplUI/Pages/CreativePages/CustomReportCreativeDetail.aspx?App=23&amp;ReportView=4&amp;Qid=1711245&amp;Row=433&amp;Col=1","No Title Assigned - #15262630337")</f>
        <v/>
      </c>
      <c r="B441" s="0" t="s">
        <v>645</v>
      </c>
      <c r="C441" s="0" t="s">
        <v>646</v>
      </c>
      <c r="D441" s="0" t="s">
        <v>647</v>
      </c>
      <c r="E441" s="0" t="s">
        <v>13</v>
      </c>
      <c r="F441" s="0" t="s">
        <v>540</v>
      </c>
      <c r="G441" s="0" t="s">
        <v>541</v>
      </c>
      <c r="H441" s="5">
        <v>288.422300</v>
      </c>
    </row>
    <row r="442" spans="1:9">
      <c r="A442" s="22" t="str">
        <f>HYPERLINK("https://app.vivvix.com/360/KMI/IntelliDrive/ApplUI/Pages/CreativePages/CustomReportCreativeDetail.aspx?App=23&amp;ReportView=4&amp;Qid=1711245&amp;Row=434&amp;Col=1","No Title Assigned - #15262630414")</f>
        <v/>
      </c>
      <c r="B442" s="0" t="s">
        <v>648</v>
      </c>
      <c r="C442" s="0" t="s">
        <v>649</v>
      </c>
      <c r="D442" s="0" t="s">
        <v>649</v>
      </c>
      <c r="E442" s="0" t="s">
        <v>13</v>
      </c>
      <c r="F442" s="0" t="s">
        <v>540</v>
      </c>
      <c r="G442" s="0" t="s">
        <v>541</v>
      </c>
      <c r="H442" s="5">
        <v>125.006900</v>
      </c>
    </row>
    <row r="443" spans="1:9">
      <c r="A443" s="22" t="str">
        <f>HYPERLINK("https://app.vivvix.com/360/KMI/IntelliDrive/ApplUI/Pages/CreativePages/CustomReportCreativeDetail.aspx?App=23&amp;ReportView=4&amp;Qid=1711245&amp;Row=435&amp;Col=1","No Title Assigned - #15262638003")</f>
        <v/>
      </c>
      <c r="B443" s="0" t="s">
        <v>650</v>
      </c>
      <c r="E443" s="0" t="s">
        <v>13</v>
      </c>
      <c r="F443" s="0" t="s">
        <v>13</v>
      </c>
      <c r="G443" s="0" t="s">
        <v>54</v>
      </c>
    </row>
    <row r="444" spans="1:9">
      <c r="A444" s="22" t="str">
        <f>HYPERLINK("https://app.vivvix.com/360/KMI/IntelliDrive/ApplUI/Pages/CreativePages/CustomReportCreativeDetail.aspx?App=23&amp;ReportView=4&amp;Qid=1711245&amp;Row=436&amp;Col=1","No Title Assigned - #15262647596")</f>
        <v/>
      </c>
      <c r="B444" s="0" t="s">
        <v>651</v>
      </c>
      <c r="C444" s="0" t="s">
        <v>652</v>
      </c>
      <c r="D444" s="0" t="s">
        <v>652</v>
      </c>
      <c r="E444" s="0" t="s">
        <v>13</v>
      </c>
      <c r="F444" s="0" t="s">
        <v>13</v>
      </c>
      <c r="G444" s="0" t="s">
        <v>121</v>
      </c>
      <c r="H444" s="5">
        <v>4170.724200</v>
      </c>
    </row>
    <row r="445" spans="1:9">
      <c r="A445" s="22" t="str">
        <f>HYPERLINK("https://app.vivvix.com/360/KMI/IntelliDrive/ApplUI/Pages/CreativePages/CustomReportCreativeDetail.aspx?App=23&amp;ReportView=4&amp;Qid=1711245&amp;Row=437&amp;Col=1","No Title Assigned - #15262732925")</f>
        <v/>
      </c>
      <c r="B445" s="0" t="s">
        <v>653</v>
      </c>
      <c r="C445" s="0" t="s">
        <v>654</v>
      </c>
      <c r="D445" s="0" t="s">
        <v>654</v>
      </c>
      <c r="E445" s="0" t="s">
        <v>13</v>
      </c>
      <c r="F445" s="0" t="s">
        <v>128</v>
      </c>
      <c r="G445" s="0" t="s">
        <v>456</v>
      </c>
      <c r="H445" s="5">
        <v>2248.632500</v>
      </c>
    </row>
    <row r="446" spans="1:9">
      <c r="A446" s="22" t="str">
        <f>HYPERLINK("https://app.vivvix.com/360/KMI/IntelliDrive/ApplUI/Pages/CreativePages/CustomReportCreativeDetail.aspx?App=23&amp;ReportView=4&amp;Qid=1711245&amp;Row=438&amp;Col=1","No Title Assigned - #15262748899")</f>
        <v/>
      </c>
      <c r="B446" s="0" t="s">
        <v>655</v>
      </c>
      <c r="E446" s="0" t="s">
        <v>13</v>
      </c>
      <c r="F446" s="0" t="s">
        <v>13</v>
      </c>
      <c r="G446" s="0" t="s">
        <v>54</v>
      </c>
      <c r="H446" s="5">
        <v>80.719600</v>
      </c>
    </row>
    <row r="447" spans="1:9">
      <c r="A447" s="22" t="str">
        <f>HYPERLINK("https://app.vivvix.com/360/KMI/IntelliDrive/ApplUI/Pages/CreativePages/CustomReportCreativeDetail.aspx?App=23&amp;ReportView=4&amp;Qid=1711245&amp;Row=439&amp;Col=1","No Title Assigned - #15262752380")</f>
        <v/>
      </c>
      <c r="B447" s="0" t="s">
        <v>656</v>
      </c>
      <c r="C447" s="0" t="s">
        <v>657</v>
      </c>
      <c r="D447" s="0" t="s">
        <v>657</v>
      </c>
      <c r="E447" s="0" t="s">
        <v>13</v>
      </c>
      <c r="F447" s="0" t="s">
        <v>17</v>
      </c>
      <c r="G447" s="0" t="s">
        <v>446</v>
      </c>
      <c r="H447" s="5">
        <v>5077.599100</v>
      </c>
    </row>
    <row r="448" spans="1:9">
      <c r="A448" s="22" t="str">
        <f>HYPERLINK("https://app.vivvix.com/360/KMI/IntelliDrive/ApplUI/Pages/CreativePages/CustomReportCreativeDetail.aspx?App=23&amp;ReportView=4&amp;Qid=1711245&amp;Row=440&amp;Col=1","No Title Assigned - #15262849017")</f>
        <v/>
      </c>
      <c r="B448" s="0" t="s">
        <v>658</v>
      </c>
      <c r="C448" s="0" t="s">
        <v>659</v>
      </c>
      <c r="D448" s="0" t="s">
        <v>659</v>
      </c>
      <c r="E448" s="0" t="s">
        <v>13</v>
      </c>
      <c r="F448" s="0" t="s">
        <v>540</v>
      </c>
      <c r="G448" s="0" t="s">
        <v>541</v>
      </c>
      <c r="H448" s="5">
        <v>582.544700</v>
      </c>
    </row>
    <row r="449" spans="1:9">
      <c r="A449" s="22" t="str">
        <f>HYPERLINK("https://app.vivvix.com/360/KMI/IntelliDrive/ApplUI/Pages/CreativePages/CustomReportCreativeDetail.aspx?App=23&amp;ReportView=4&amp;Qid=1711245&amp;Row=441&amp;Col=1","No Title Assigned - #15262850308")</f>
        <v/>
      </c>
      <c r="B449" s="0" t="s">
        <v>660</v>
      </c>
      <c r="C449" s="0" t="s">
        <v>661</v>
      </c>
      <c r="D449" s="0" t="s">
        <v>661</v>
      </c>
      <c r="E449" s="0" t="s">
        <v>13</v>
      </c>
      <c r="F449" s="0" t="s">
        <v>540</v>
      </c>
      <c r="G449" s="0" t="s">
        <v>541</v>
      </c>
      <c r="H449" s="5">
        <v>954.628600</v>
      </c>
    </row>
    <row r="450" spans="1:9">
      <c r="A450" s="22" t="str">
        <f>HYPERLINK("https://app.vivvix.com/360/KMI/IntelliDrive/ApplUI/Pages/CreativePages/CustomReportCreativeDetail.aspx?App=23&amp;ReportView=4&amp;Qid=1711245&amp;Row=442&amp;Col=1","No Title Assigned - #15262851738")</f>
        <v/>
      </c>
      <c r="B450" s="0" t="s">
        <v>662</v>
      </c>
      <c r="C450" s="0" t="s">
        <v>663</v>
      </c>
      <c r="D450" s="0" t="s">
        <v>663</v>
      </c>
      <c r="E450" s="0" t="s">
        <v>13</v>
      </c>
      <c r="F450" s="0" t="s">
        <v>28</v>
      </c>
      <c r="G450" s="0" t="s">
        <v>453</v>
      </c>
      <c r="H450" s="5">
        <v>54881.939800</v>
      </c>
    </row>
    <row r="451" spans="1:9">
      <c r="A451" s="22" t="str">
        <f>HYPERLINK("https://app.vivvix.com/360/KMI/IntelliDrive/ApplUI/Pages/CreativePages/CustomReportCreativeDetail.aspx?App=23&amp;ReportView=4&amp;Qid=1711245&amp;Row=443&amp;Col=1","No Title Assigned - #15262851853")</f>
        <v/>
      </c>
      <c r="B451" s="0" t="s">
        <v>664</v>
      </c>
      <c r="C451" s="0" t="s">
        <v>665</v>
      </c>
      <c r="D451" s="0" t="s">
        <v>665</v>
      </c>
      <c r="E451" s="0" t="s">
        <v>13</v>
      </c>
      <c r="F451" s="0" t="s">
        <v>530</v>
      </c>
      <c r="G451" s="0" t="s">
        <v>531</v>
      </c>
      <c r="H451" s="5">
        <v>637.865200</v>
      </c>
    </row>
    <row r="452" spans="1:9">
      <c r="A452" s="22" t="str">
        <f>HYPERLINK("https://app.vivvix.com/360/KMI/IntelliDrive/ApplUI/Pages/CreativePages/CustomReportCreativeDetail.aspx?App=23&amp;ReportView=4&amp;Qid=1711245&amp;Row=444&amp;Col=1","No Title Assigned - #15262866889")</f>
        <v/>
      </c>
      <c r="B452" s="0" t="s">
        <v>666</v>
      </c>
      <c r="C452" s="0" t="s">
        <v>667</v>
      </c>
      <c r="D452" s="0" t="s">
        <v>667</v>
      </c>
      <c r="E452" s="0" t="s">
        <v>13</v>
      </c>
      <c r="F452" s="0" t="s">
        <v>17</v>
      </c>
      <c r="G452" s="0" t="s">
        <v>446</v>
      </c>
      <c r="H452" s="5">
        <v>7453.053600</v>
      </c>
    </row>
    <row r="453" spans="1:9">
      <c r="A453" s="22" t="str">
        <f>HYPERLINK("https://app.vivvix.com/360/KMI/IntelliDrive/ApplUI/Pages/CreativePages/CustomReportCreativeDetail.aspx?App=23&amp;ReportView=4&amp;Qid=1711245&amp;Row=445&amp;Col=1","No Title Assigned - #15262866914")</f>
        <v/>
      </c>
      <c r="B453" s="0" t="s">
        <v>668</v>
      </c>
      <c r="C453" s="0" t="s">
        <v>669</v>
      </c>
      <c r="D453" s="0" t="s">
        <v>669</v>
      </c>
      <c r="E453" s="0" t="s">
        <v>13</v>
      </c>
      <c r="F453" s="0" t="s">
        <v>17</v>
      </c>
      <c r="G453" s="0" t="s">
        <v>446</v>
      </c>
      <c r="H453" s="5">
        <v>168.502000</v>
      </c>
    </row>
    <row r="454" spans="1:9">
      <c r="A454" s="22" t="str">
        <f>HYPERLINK("https://app.vivvix.com/360/KMI/IntelliDrive/ApplUI/Pages/CreativePages/CustomReportCreativeDetail.aspx?App=23&amp;ReportView=4&amp;Qid=1711245&amp;Row=446&amp;Col=1","No Title Assigned - #15262869028")</f>
        <v/>
      </c>
      <c r="B454" s="0" t="s">
        <v>670</v>
      </c>
      <c r="C454" s="0" t="s">
        <v>671</v>
      </c>
      <c r="D454" s="0" t="s">
        <v>671</v>
      </c>
      <c r="E454" s="0" t="s">
        <v>13</v>
      </c>
      <c r="F454" s="0" t="s">
        <v>540</v>
      </c>
      <c r="G454" s="0" t="s">
        <v>541</v>
      </c>
      <c r="H454" s="5">
        <v>27803.999200</v>
      </c>
    </row>
    <row r="455" spans="1:9">
      <c r="A455" s="22" t="str">
        <f>HYPERLINK("https://app.vivvix.com/360/KMI/IntelliDrive/ApplUI/Pages/CreativePages/CustomReportCreativeDetail.aspx?App=23&amp;ReportView=4&amp;Qid=1711245&amp;Row=447&amp;Col=1","No Title Assigned - #15262869502")</f>
        <v/>
      </c>
      <c r="B455" s="0" t="s">
        <v>672</v>
      </c>
      <c r="C455" s="0" t="s">
        <v>673</v>
      </c>
      <c r="D455" s="0" t="s">
        <v>673</v>
      </c>
      <c r="E455" s="0" t="s">
        <v>13</v>
      </c>
      <c r="F455" s="0" t="s">
        <v>540</v>
      </c>
      <c r="G455" s="0" t="s">
        <v>541</v>
      </c>
      <c r="H455" s="5">
        <v>1022.120800</v>
      </c>
    </row>
    <row r="456" spans="1:9">
      <c r="A456" s="22" t="str">
        <f>HYPERLINK("https://app.vivvix.com/360/KMI/IntelliDrive/ApplUI/Pages/CreativePages/CustomReportCreativeDetail.aspx?App=23&amp;ReportView=4&amp;Qid=1711245&amp;Row=448&amp;Col=1","No Title Assigned - #15262874892")</f>
        <v/>
      </c>
      <c r="B456" s="0" t="s">
        <v>674</v>
      </c>
      <c r="C456" s="0" t="s">
        <v>675</v>
      </c>
      <c r="D456" s="0" t="s">
        <v>675</v>
      </c>
      <c r="E456" s="0" t="s">
        <v>13</v>
      </c>
      <c r="F456" s="0" t="s">
        <v>28</v>
      </c>
      <c r="G456" s="0" t="s">
        <v>453</v>
      </c>
      <c r="H456" s="5">
        <v>13029.401800</v>
      </c>
    </row>
    <row r="457" spans="1:9">
      <c r="A457" s="22" t="str">
        <f>HYPERLINK("https://app.vivvix.com/360/KMI/IntelliDrive/ApplUI/Pages/CreativePages/CustomReportCreativeDetail.aspx?App=23&amp;ReportView=4&amp;Qid=1711245&amp;Row=449&amp;Col=1","No Title Assigned - #15262875538")</f>
        <v/>
      </c>
      <c r="B457" s="0" t="s">
        <v>676</v>
      </c>
      <c r="C457" s="0" t="s">
        <v>677</v>
      </c>
      <c r="D457" s="0" t="s">
        <v>677</v>
      </c>
      <c r="E457" s="0" t="s">
        <v>13</v>
      </c>
      <c r="F457" s="0" t="s">
        <v>14</v>
      </c>
      <c r="G457" s="0" t="s">
        <v>15</v>
      </c>
      <c r="H457" s="5">
        <v>21.083700</v>
      </c>
    </row>
    <row r="458" spans="1:9">
      <c r="A458" s="22" t="str">
        <f>HYPERLINK("https://app.vivvix.com/360/KMI/IntelliDrive/ApplUI/Pages/CreativePages/CustomReportCreativeDetail.aspx?App=23&amp;ReportView=4&amp;Qid=1711245&amp;Row=450&amp;Col=1","No Title Assigned - #15262879021")</f>
        <v/>
      </c>
      <c r="B458" s="0" t="s">
        <v>678</v>
      </c>
      <c r="E458" s="0" t="s">
        <v>13</v>
      </c>
      <c r="F458" s="0" t="s">
        <v>13</v>
      </c>
      <c r="G458" s="0" t="s">
        <v>54</v>
      </c>
    </row>
    <row r="459" spans="1:9">
      <c r="A459" s="22" t="str">
        <f>HYPERLINK("https://app.vivvix.com/360/KMI/IntelliDrive/ApplUI/Pages/CreativePages/CustomReportCreativeDetail.aspx?App=23&amp;ReportView=4&amp;Qid=1711245&amp;Row=451&amp;Col=1","No Title Assigned - #15262881422")</f>
        <v/>
      </c>
      <c r="B459" s="0" t="s">
        <v>679</v>
      </c>
      <c r="E459" s="0" t="s">
        <v>13</v>
      </c>
      <c r="F459" s="0" t="s">
        <v>13</v>
      </c>
      <c r="G459" s="0" t="s">
        <v>54</v>
      </c>
    </row>
    <row r="460" spans="1:9">
      <c r="A460" s="22" t="str">
        <f>HYPERLINK("https://app.vivvix.com/360/KMI/IntelliDrive/ApplUI/Pages/CreativePages/CustomReportCreativeDetail.aspx?App=23&amp;ReportView=4&amp;Qid=1711245&amp;Row=452&amp;Col=1","No Title Assigned - #15262905667")</f>
        <v/>
      </c>
      <c r="B460" s="0" t="s">
        <v>680</v>
      </c>
      <c r="C460" s="0" t="s">
        <v>681</v>
      </c>
      <c r="D460" s="0" t="s">
        <v>681</v>
      </c>
      <c r="E460" s="0" t="s">
        <v>13</v>
      </c>
      <c r="F460" s="0" t="s">
        <v>128</v>
      </c>
      <c r="G460" s="0" t="s">
        <v>456</v>
      </c>
      <c r="H460" s="5">
        <v>27887.024300</v>
      </c>
    </row>
    <row r="461" spans="1:9">
      <c r="A461" s="22" t="str">
        <f>HYPERLINK("https://app.vivvix.com/360/KMI/IntelliDrive/ApplUI/Pages/CreativePages/CustomReportCreativeDetail.aspx?App=23&amp;ReportView=4&amp;Qid=1711245&amp;Row=453&amp;Col=1","No Title Assigned - #15262919557")</f>
        <v/>
      </c>
      <c r="B461" s="0" t="s">
        <v>682</v>
      </c>
      <c r="C461" s="0" t="s">
        <v>683</v>
      </c>
      <c r="D461" s="0" t="s">
        <v>683</v>
      </c>
      <c r="E461" s="0" t="s">
        <v>13</v>
      </c>
      <c r="F461" s="0" t="s">
        <v>530</v>
      </c>
      <c r="G461" s="0" t="s">
        <v>531</v>
      </c>
      <c r="H461" s="5">
        <v>718.967500</v>
      </c>
    </row>
    <row r="462" spans="1:9">
      <c r="A462" s="22" t="str">
        <f>HYPERLINK("https://app.vivvix.com/360/KMI/IntelliDrive/ApplUI/Pages/CreativePages/CustomReportCreativeDetail.aspx?App=23&amp;ReportView=4&amp;Qid=1711245&amp;Row=454&amp;Col=1","No Title Assigned - #15262925672")</f>
        <v/>
      </c>
      <c r="B462" s="0" t="s">
        <v>684</v>
      </c>
      <c r="C462" s="0" t="s">
        <v>685</v>
      </c>
      <c r="D462" s="0" t="s">
        <v>685</v>
      </c>
      <c r="E462" s="0" t="s">
        <v>13</v>
      </c>
      <c r="F462" s="0" t="s">
        <v>540</v>
      </c>
      <c r="G462" s="0" t="s">
        <v>541</v>
      </c>
      <c r="H462" s="5">
        <v>6228.771800</v>
      </c>
    </row>
    <row r="463" spans="1:9">
      <c r="A463" s="22" t="str">
        <f>HYPERLINK("https://app.vivvix.com/360/KMI/IntelliDrive/ApplUI/Pages/CreativePages/CustomReportCreativeDetail.aspx?App=23&amp;ReportView=4&amp;Qid=1711245&amp;Row=455&amp;Col=1","No Title Assigned - #15262927745")</f>
        <v/>
      </c>
      <c r="B463" s="0" t="s">
        <v>686</v>
      </c>
      <c r="E463" s="0" t="s">
        <v>13</v>
      </c>
      <c r="F463" s="0" t="s">
        <v>13</v>
      </c>
      <c r="G463" s="0" t="s">
        <v>54</v>
      </c>
    </row>
    <row r="464" spans="1:9">
      <c r="A464" s="22" t="str">
        <f>HYPERLINK("https://app.vivvix.com/360/KMI/IntelliDrive/ApplUI/Pages/CreativePages/CustomReportCreativeDetail.aspx?App=23&amp;ReportView=4&amp;Qid=1711245&amp;Row=456&amp;Col=1","No Title Assigned - #15262943077")</f>
        <v/>
      </c>
      <c r="B464" s="0" t="s">
        <v>687</v>
      </c>
      <c r="C464" s="0" t="s">
        <v>688</v>
      </c>
      <c r="D464" s="0" t="s">
        <v>688</v>
      </c>
      <c r="E464" s="0" t="s">
        <v>13</v>
      </c>
      <c r="F464" s="0" t="s">
        <v>17</v>
      </c>
      <c r="G464" s="0" t="s">
        <v>446</v>
      </c>
      <c r="H464" s="5">
        <v>1289.249100</v>
      </c>
    </row>
    <row r="465" spans="1:9">
      <c r="A465" s="22" t="str">
        <f>HYPERLINK("https://app.vivvix.com/360/KMI/IntelliDrive/ApplUI/Pages/CreativePages/CustomReportCreativeDetail.aspx?App=23&amp;ReportView=4&amp;Qid=1711245&amp;Row=457&amp;Col=1","No Title Assigned - #15262977446")</f>
        <v/>
      </c>
      <c r="B465" s="0" t="s">
        <v>689</v>
      </c>
      <c r="E465" s="0" t="s">
        <v>13</v>
      </c>
      <c r="F465" s="0" t="s">
        <v>13</v>
      </c>
      <c r="G465" s="0" t="s">
        <v>54</v>
      </c>
    </row>
    <row r="466" spans="1:9">
      <c r="A466" s="22" t="str">
        <f>HYPERLINK("https://app.vivvix.com/360/KMI/IntelliDrive/ApplUI/Pages/CreativePages/CustomReportCreativeDetail.aspx?App=23&amp;ReportView=4&amp;Qid=1711245&amp;Row=458&amp;Col=1","No Title Assigned - #15262979152")</f>
        <v/>
      </c>
      <c r="B466" s="0" t="s">
        <v>690</v>
      </c>
      <c r="E466" s="0" t="s">
        <v>13</v>
      </c>
      <c r="F466" s="0" t="s">
        <v>13</v>
      </c>
      <c r="G466" s="0" t="s">
        <v>54</v>
      </c>
    </row>
    <row r="467" spans="1:9">
      <c r="A467" s="22" t="str">
        <f>HYPERLINK("https://app.vivvix.com/360/KMI/IntelliDrive/ApplUI/Pages/CreativePages/CustomReportCreativeDetail.aspx?App=23&amp;ReportView=4&amp;Qid=1711245&amp;Row=459&amp;Col=1","No Title Assigned - #15262979724")</f>
        <v/>
      </c>
      <c r="B467" s="0" t="s">
        <v>691</v>
      </c>
      <c r="E467" s="0" t="s">
        <v>13</v>
      </c>
      <c r="F467" s="0" t="s">
        <v>13</v>
      </c>
      <c r="G467" s="0" t="s">
        <v>54</v>
      </c>
    </row>
    <row r="468" spans="1:9">
      <c r="A468" s="22" t="str">
        <f>HYPERLINK("https://app.vivvix.com/360/KMI/IntelliDrive/ApplUI/Pages/CreativePages/CustomReportCreativeDetail.aspx?App=23&amp;ReportView=4&amp;Qid=1711245&amp;Row=460&amp;Col=1","No Title Assigned - #15262987676")</f>
        <v/>
      </c>
      <c r="B468" s="0" t="s">
        <v>692</v>
      </c>
      <c r="E468" s="0" t="s">
        <v>13</v>
      </c>
      <c r="F468" s="0" t="s">
        <v>13</v>
      </c>
      <c r="G468" s="0" t="s">
        <v>54</v>
      </c>
    </row>
    <row r="469" spans="1:9">
      <c r="A469" s="22" t="str">
        <f>HYPERLINK("https://app.vivvix.com/360/KMI/IntelliDrive/ApplUI/Pages/CreativePages/CustomReportCreativeDetail.aspx?App=23&amp;ReportView=4&amp;Qid=1711245&amp;Row=461&amp;Col=1","No Title Assigned - #15262993236")</f>
        <v/>
      </c>
      <c r="B469" s="0" t="s">
        <v>693</v>
      </c>
      <c r="C469" s="0" t="s">
        <v>694</v>
      </c>
      <c r="D469" s="0" t="s">
        <v>694</v>
      </c>
      <c r="E469" s="0" t="s">
        <v>13</v>
      </c>
      <c r="F469" s="0" t="s">
        <v>14</v>
      </c>
      <c r="G469" s="0" t="s">
        <v>15</v>
      </c>
      <c r="H469" s="5">
        <v>181863.455700</v>
      </c>
    </row>
    <row r="470" spans="1:9">
      <c r="A470" s="22" t="str">
        <f>HYPERLINK("https://app.vivvix.com/360/KMI/IntelliDrive/ApplUI/Pages/CreativePages/CustomReportCreativeDetail.aspx?App=23&amp;ReportView=4&amp;Qid=1711245&amp;Row=462&amp;Col=1","No Title Assigned - #15262993236")</f>
        <v/>
      </c>
      <c r="B470" s="0" t="s">
        <v>693</v>
      </c>
      <c r="E470" s="0" t="s">
        <v>13</v>
      </c>
      <c r="F470" s="0" t="s">
        <v>14</v>
      </c>
      <c r="G470" s="0" t="s">
        <v>15</v>
      </c>
      <c r="H470" s="5">
        <v>925.967900</v>
      </c>
    </row>
    <row r="471" spans="1:9">
      <c r="A471" s="22" t="str">
        <f>HYPERLINK("https://app.vivvix.com/360/KMI/IntelliDrive/ApplUI/Pages/CreativePages/CustomReportCreativeDetail.aspx?App=23&amp;ReportView=4&amp;Qid=1711245&amp;Row=463&amp;Col=1","No Title Assigned - #15262997823")</f>
        <v/>
      </c>
      <c r="B471" s="0" t="s">
        <v>695</v>
      </c>
      <c r="C471" s="0" t="s">
        <v>696</v>
      </c>
      <c r="D471" s="0" t="s">
        <v>696</v>
      </c>
      <c r="E471" s="0" t="s">
        <v>13</v>
      </c>
      <c r="F471" s="0" t="s">
        <v>13</v>
      </c>
      <c r="G471" s="0" t="s">
        <v>576</v>
      </c>
      <c r="H471" s="5">
        <v>3836.553700</v>
      </c>
    </row>
    <row r="472" spans="1:9">
      <c r="A472" s="22" t="str">
        <f>HYPERLINK("https://app.vivvix.com/360/KMI/IntelliDrive/ApplUI/Pages/CreativePages/CustomReportCreativeDetail.aspx?App=23&amp;ReportView=4&amp;Qid=1711245&amp;Row=464&amp;Col=1","No Title Assigned - #15263002235")</f>
        <v/>
      </c>
      <c r="B472" s="0" t="s">
        <v>697</v>
      </c>
      <c r="C472" s="0" t="s">
        <v>698</v>
      </c>
      <c r="D472" s="0" t="s">
        <v>699</v>
      </c>
      <c r="E472" s="0" t="s">
        <v>13</v>
      </c>
      <c r="F472" s="0" t="s">
        <v>14</v>
      </c>
      <c r="G472" s="0" t="s">
        <v>15</v>
      </c>
      <c r="H472" s="5">
        <v>667.027500</v>
      </c>
    </row>
    <row r="473" spans="1:9">
      <c r="A473" s="22" t="str">
        <f>HYPERLINK("https://app.vivvix.com/360/KMI/IntelliDrive/ApplUI/Pages/CreativePages/CustomReportCreativeDetail.aspx?App=23&amp;ReportView=4&amp;Qid=1711245&amp;Row=465&amp;Col=1","No Title Assigned - #15263007084")</f>
        <v/>
      </c>
      <c r="B473" s="0" t="s">
        <v>700</v>
      </c>
      <c r="C473" s="0" t="s">
        <v>701</v>
      </c>
      <c r="D473" s="0" t="s">
        <v>701</v>
      </c>
      <c r="E473" s="0" t="s">
        <v>13</v>
      </c>
      <c r="F473" s="0" t="s">
        <v>28</v>
      </c>
      <c r="G473" s="0" t="s">
        <v>453</v>
      </c>
      <c r="H473" s="5">
        <v>17413.415700</v>
      </c>
    </row>
    <row r="474" spans="1:9">
      <c r="A474" s="22" t="str">
        <f>HYPERLINK("https://app.vivvix.com/360/KMI/IntelliDrive/ApplUI/Pages/CreativePages/CustomReportCreativeDetail.aspx?App=23&amp;ReportView=4&amp;Qid=1711245&amp;Row=466&amp;Col=1","No Title Assigned - #15263035377")</f>
        <v/>
      </c>
      <c r="B474" s="0" t="s">
        <v>702</v>
      </c>
      <c r="C474" s="0" t="s">
        <v>703</v>
      </c>
      <c r="D474" s="0" t="s">
        <v>703</v>
      </c>
      <c r="E474" s="0" t="s">
        <v>13</v>
      </c>
      <c r="F474" s="0" t="s">
        <v>28</v>
      </c>
      <c r="G474" s="0" t="s">
        <v>453</v>
      </c>
      <c r="H474" s="5">
        <v>11717.779900</v>
      </c>
    </row>
    <row r="475" spans="1:9">
      <c r="A475" s="22" t="str">
        <f>HYPERLINK("https://app.vivvix.com/360/KMI/IntelliDrive/ApplUI/Pages/CreativePages/CustomReportCreativeDetail.aspx?App=23&amp;ReportView=4&amp;Qid=1711245&amp;Row=467&amp;Col=1","No Title Assigned - #15263043179")</f>
        <v/>
      </c>
      <c r="B475" s="0" t="s">
        <v>704</v>
      </c>
      <c r="E475" s="0" t="s">
        <v>13</v>
      </c>
      <c r="F475" s="0" t="s">
        <v>540</v>
      </c>
      <c r="G475" s="0" t="s">
        <v>541</v>
      </c>
      <c r="H475" s="5">
        <v>41822.633900</v>
      </c>
    </row>
    <row r="476" spans="1:9">
      <c r="A476" s="22" t="str">
        <f>HYPERLINK("https://app.vivvix.com/360/KMI/IntelliDrive/ApplUI/Pages/CreativePages/CustomReportCreativeDetail.aspx?App=23&amp;ReportView=4&amp;Qid=1711245&amp;Row=468&amp;Col=1","No Title Assigned - #15263043179")</f>
        <v/>
      </c>
      <c r="B476" s="0" t="s">
        <v>704</v>
      </c>
      <c r="E476" s="0" t="s">
        <v>13</v>
      </c>
      <c r="F476" s="0" t="s">
        <v>540</v>
      </c>
      <c r="G476" s="0" t="s">
        <v>541</v>
      </c>
      <c r="H476" s="5">
        <v>2105.150200</v>
      </c>
    </row>
    <row r="477" spans="1:9">
      <c r="A477" s="22" t="str">
        <f>HYPERLINK("https://app.vivvix.com/360/KMI/IntelliDrive/ApplUI/Pages/CreativePages/CustomReportCreativeDetail.aspx?App=23&amp;ReportView=4&amp;Qid=1711245&amp;Row=469&amp;Col=1","No Title Assigned - #15263046987")</f>
        <v/>
      </c>
      <c r="B477" s="0" t="s">
        <v>705</v>
      </c>
      <c r="E477" s="0" t="s">
        <v>13</v>
      </c>
      <c r="F477" s="0" t="s">
        <v>13</v>
      </c>
      <c r="G477" s="0" t="s">
        <v>54</v>
      </c>
    </row>
    <row r="478" spans="1:9">
      <c r="A478" s="22" t="str">
        <f>HYPERLINK("https://app.vivvix.com/360/KMI/IntelliDrive/ApplUI/Pages/CreativePages/CustomReportCreativeDetail.aspx?App=23&amp;ReportView=4&amp;Qid=1711245&amp;Row=470&amp;Col=1","No Title Assigned - #15263054431")</f>
        <v/>
      </c>
      <c r="B478" s="0" t="s">
        <v>706</v>
      </c>
      <c r="C478" s="0" t="s">
        <v>707</v>
      </c>
      <c r="D478" s="0" t="s">
        <v>707</v>
      </c>
      <c r="E478" s="0" t="s">
        <v>13</v>
      </c>
      <c r="F478" s="0" t="s">
        <v>13</v>
      </c>
      <c r="G478" s="0" t="s">
        <v>54</v>
      </c>
    </row>
    <row r="479" spans="1:9">
      <c r="A479" s="22" t="str">
        <f>HYPERLINK("https://app.vivvix.com/360/KMI/IntelliDrive/ApplUI/Pages/CreativePages/CustomReportCreativeDetail.aspx?App=23&amp;ReportView=4&amp;Qid=1711245&amp;Row=471&amp;Col=1","No Title Assigned - #15263054453")</f>
        <v/>
      </c>
      <c r="B479" s="0" t="s">
        <v>708</v>
      </c>
      <c r="E479" s="0" t="s">
        <v>13</v>
      </c>
      <c r="F479" s="0" t="s">
        <v>13</v>
      </c>
      <c r="G479" s="0" t="s">
        <v>54</v>
      </c>
      <c r="H479" s="5">
        <v>829.671100</v>
      </c>
    </row>
    <row r="480" spans="1:9">
      <c r="A480" s="22" t="str">
        <f>HYPERLINK("https://app.vivvix.com/360/KMI/IntelliDrive/ApplUI/Pages/CreativePages/CustomReportCreativeDetail.aspx?App=23&amp;ReportView=4&amp;Qid=1711245&amp;Row=472&amp;Col=1","No Title Assigned - #15263060617")</f>
        <v/>
      </c>
      <c r="B480" s="0" t="s">
        <v>709</v>
      </c>
      <c r="C480" s="0" t="s">
        <v>710</v>
      </c>
      <c r="D480" s="0" t="s">
        <v>710</v>
      </c>
      <c r="E480" s="0" t="s">
        <v>13</v>
      </c>
      <c r="F480" s="0" t="s">
        <v>540</v>
      </c>
      <c r="G480" s="0" t="s">
        <v>541</v>
      </c>
      <c r="H480" s="5">
        <v>1101.150400</v>
      </c>
    </row>
    <row r="481" spans="1:9">
      <c r="A481" s="22" t="str">
        <f>HYPERLINK("https://app.vivvix.com/360/KMI/IntelliDrive/ApplUI/Pages/CreativePages/CustomReportCreativeDetail.aspx?App=23&amp;ReportView=4&amp;Qid=1711245&amp;Row=473&amp;Col=1","No Title Assigned - #15263062074")</f>
        <v/>
      </c>
      <c r="B481" s="0" t="s">
        <v>711</v>
      </c>
      <c r="C481" s="0" t="s">
        <v>712</v>
      </c>
      <c r="D481" s="0" t="s">
        <v>712</v>
      </c>
      <c r="E481" s="0" t="s">
        <v>13</v>
      </c>
      <c r="F481" s="0" t="s">
        <v>540</v>
      </c>
      <c r="G481" s="0" t="s">
        <v>541</v>
      </c>
      <c r="H481" s="5">
        <v>4523.501500</v>
      </c>
    </row>
    <row r="482" spans="1:9">
      <c r="A482" s="22" t="str">
        <f>HYPERLINK("https://app.vivvix.com/360/KMI/IntelliDrive/ApplUI/Pages/CreativePages/CustomReportCreativeDetail.aspx?App=23&amp;ReportView=4&amp;Qid=1711245&amp;Row=474&amp;Col=1","No Title Assigned - #15263065244")</f>
        <v/>
      </c>
      <c r="B482" s="0" t="s">
        <v>713</v>
      </c>
      <c r="C482" s="0" t="s">
        <v>714</v>
      </c>
      <c r="D482" s="0" t="s">
        <v>714</v>
      </c>
      <c r="E482" s="0" t="s">
        <v>13</v>
      </c>
      <c r="F482" s="0" t="s">
        <v>128</v>
      </c>
      <c r="G482" s="0" t="s">
        <v>456</v>
      </c>
      <c r="H482" s="5">
        <v>89.417000</v>
      </c>
    </row>
    <row r="483" spans="1:9">
      <c r="A483" s="22" t="str">
        <f>HYPERLINK("https://app.vivvix.com/360/KMI/IntelliDrive/ApplUI/Pages/CreativePages/CustomReportCreativeDetail.aspx?App=23&amp;ReportView=4&amp;Qid=1711245&amp;Row=475&amp;Col=1","No Title Assigned - #15263065275")</f>
        <v/>
      </c>
      <c r="B483" s="0" t="s">
        <v>715</v>
      </c>
      <c r="C483" s="0" t="s">
        <v>716</v>
      </c>
      <c r="D483" s="0" t="s">
        <v>716</v>
      </c>
      <c r="E483" s="0" t="s">
        <v>13</v>
      </c>
      <c r="F483" s="0" t="s">
        <v>540</v>
      </c>
      <c r="G483" s="0" t="s">
        <v>541</v>
      </c>
      <c r="H483" s="5">
        <v>753.389800</v>
      </c>
    </row>
    <row r="484" spans="1:9">
      <c r="A484" s="22" t="str">
        <f>HYPERLINK("https://app.vivvix.com/360/KMI/IntelliDrive/ApplUI/Pages/CreativePages/CustomReportCreativeDetail.aspx?App=23&amp;ReportView=4&amp;Qid=1711245&amp;Row=476&amp;Col=1","No Title Assigned - #15263065375")</f>
        <v/>
      </c>
      <c r="B484" s="0" t="s">
        <v>717</v>
      </c>
      <c r="E484" s="0" t="s">
        <v>13</v>
      </c>
      <c r="F484" s="0" t="s">
        <v>13</v>
      </c>
      <c r="G484" s="0" t="s">
        <v>54</v>
      </c>
    </row>
    <row r="485" spans="1:9">
      <c r="A485" s="22" t="str">
        <f>HYPERLINK("https://app.vivvix.com/360/KMI/IntelliDrive/ApplUI/Pages/CreativePages/CustomReportCreativeDetail.aspx?App=23&amp;ReportView=4&amp;Qid=1711245&amp;Row=477&amp;Col=1","No Title Assigned - #15263072942")</f>
        <v/>
      </c>
      <c r="B485" s="0" t="s">
        <v>718</v>
      </c>
      <c r="E485" s="0" t="s">
        <v>13</v>
      </c>
      <c r="F485" s="0" t="s">
        <v>13</v>
      </c>
      <c r="G485" s="0" t="s">
        <v>54</v>
      </c>
    </row>
    <row r="486" spans="1:9">
      <c r="A486" s="22" t="str">
        <f>HYPERLINK("https://app.vivvix.com/360/KMI/IntelliDrive/ApplUI/Pages/CreativePages/CustomReportCreativeDetail.aspx?App=23&amp;ReportView=4&amp;Qid=1711245&amp;Row=478&amp;Col=1","No Title Assigned - #15263089418")</f>
        <v/>
      </c>
      <c r="B486" s="0" t="s">
        <v>719</v>
      </c>
      <c r="E486" s="0" t="s">
        <v>13</v>
      </c>
      <c r="F486" s="0" t="s">
        <v>13</v>
      </c>
      <c r="G486" s="0" t="s">
        <v>54</v>
      </c>
    </row>
    <row r="487" spans="1:9">
      <c r="A487" s="22" t="str">
        <f>HYPERLINK("https://app.vivvix.com/360/KMI/IntelliDrive/ApplUI/Pages/CreativePages/CustomReportCreativeDetail.aspx?App=23&amp;ReportView=4&amp;Qid=1711245&amp;Row=479&amp;Col=1","No Title Assigned - #15263099002")</f>
        <v/>
      </c>
      <c r="B487" s="0" t="s">
        <v>720</v>
      </c>
      <c r="E487" s="0" t="s">
        <v>13</v>
      </c>
      <c r="F487" s="0" t="s">
        <v>13</v>
      </c>
      <c r="G487" s="0" t="s">
        <v>54</v>
      </c>
    </row>
    <row r="488" spans="1:9">
      <c r="A488" s="22" t="str">
        <f>HYPERLINK("https://app.vivvix.com/360/KMI/IntelliDrive/ApplUI/Pages/CreativePages/CustomReportCreativeDetail.aspx?App=23&amp;ReportView=4&amp;Qid=1711245&amp;Row=480&amp;Col=1","No Title Assigned - #15263099546")</f>
        <v/>
      </c>
      <c r="B488" s="0" t="s">
        <v>721</v>
      </c>
      <c r="E488" s="0" t="s">
        <v>13</v>
      </c>
      <c r="F488" s="0" t="s">
        <v>13</v>
      </c>
      <c r="G488" s="0" t="s">
        <v>54</v>
      </c>
    </row>
    <row r="489" spans="1:9">
      <c r="A489" s="22" t="str">
        <f>HYPERLINK("https://app.vivvix.com/360/KMI/IntelliDrive/ApplUI/Pages/CreativePages/CustomReportCreativeDetail.aspx?App=23&amp;ReportView=4&amp;Qid=1711245&amp;Row=481&amp;Col=1","No Title Assigned - #15263112453")</f>
        <v/>
      </c>
      <c r="B489" s="0" t="s">
        <v>722</v>
      </c>
      <c r="E489" s="0" t="s">
        <v>13</v>
      </c>
      <c r="F489" s="0" t="s">
        <v>13</v>
      </c>
      <c r="G489" s="0" t="s">
        <v>54</v>
      </c>
    </row>
    <row r="490" spans="1:9">
      <c r="A490" s="22" t="str">
        <f>HYPERLINK("https://app.vivvix.com/360/KMI/IntelliDrive/ApplUI/Pages/CreativePages/CustomReportCreativeDetail.aspx?App=23&amp;ReportView=4&amp;Qid=1711245&amp;Row=482&amp;Col=1","No Title Assigned - #15263121587")</f>
        <v/>
      </c>
      <c r="B490" s="0" t="s">
        <v>723</v>
      </c>
      <c r="E490" s="0" t="s">
        <v>13</v>
      </c>
      <c r="F490" s="0" t="s">
        <v>13</v>
      </c>
      <c r="G490" s="0" t="s">
        <v>54</v>
      </c>
    </row>
    <row r="491" spans="1:9">
      <c r="A491" s="22" t="str">
        <f>HYPERLINK("https://app.vivvix.com/360/KMI/IntelliDrive/ApplUI/Pages/CreativePages/CustomReportCreativeDetail.aspx?App=23&amp;ReportView=4&amp;Qid=1711245&amp;Row=483&amp;Col=1","No Title Assigned - #15263123360")</f>
        <v/>
      </c>
      <c r="B491" s="0" t="s">
        <v>724</v>
      </c>
      <c r="C491" s="0" t="s">
        <v>725</v>
      </c>
      <c r="D491" s="0" t="s">
        <v>725</v>
      </c>
      <c r="E491" s="0" t="s">
        <v>13</v>
      </c>
      <c r="F491" s="0" t="s">
        <v>530</v>
      </c>
      <c r="G491" s="0" t="s">
        <v>531</v>
      </c>
      <c r="H491" s="5">
        <v>353.991200</v>
      </c>
    </row>
    <row r="492" spans="1:9">
      <c r="A492" s="22" t="str">
        <f>HYPERLINK("https://app.vivvix.com/360/KMI/IntelliDrive/ApplUI/Pages/CreativePages/CustomReportCreativeDetail.aspx?App=23&amp;ReportView=4&amp;Qid=1711245&amp;Row=484&amp;Col=1","No Title Assigned - #15263135445")</f>
        <v/>
      </c>
      <c r="B492" s="0" t="s">
        <v>726</v>
      </c>
      <c r="C492" s="0" t="s">
        <v>727</v>
      </c>
      <c r="D492" s="0" t="s">
        <v>727</v>
      </c>
      <c r="E492" s="0" t="s">
        <v>13</v>
      </c>
      <c r="F492" s="0" t="s">
        <v>540</v>
      </c>
      <c r="G492" s="0" t="s">
        <v>541</v>
      </c>
      <c r="H492" s="5">
        <v>9014.257400</v>
      </c>
    </row>
    <row r="493" spans="1:9">
      <c r="A493" s="22" t="str">
        <f>HYPERLINK("https://app.vivvix.com/360/KMI/IntelliDrive/ApplUI/Pages/CreativePages/CustomReportCreativeDetail.aspx?App=23&amp;ReportView=4&amp;Qid=1711245&amp;Row=485&amp;Col=1","No Title Assigned - #15263158662")</f>
        <v/>
      </c>
      <c r="B493" s="0" t="s">
        <v>728</v>
      </c>
      <c r="C493" s="0" t="s">
        <v>580</v>
      </c>
      <c r="D493" s="0" t="s">
        <v>580</v>
      </c>
      <c r="E493" s="0" t="s">
        <v>13</v>
      </c>
      <c r="F493" s="0" t="s">
        <v>530</v>
      </c>
      <c r="G493" s="0" t="s">
        <v>531</v>
      </c>
      <c r="H493" s="5">
        <v>700.602100</v>
      </c>
    </row>
    <row r="494" spans="1:9">
      <c r="A494" s="22" t="str">
        <f>HYPERLINK("https://app.vivvix.com/360/KMI/IntelliDrive/ApplUI/Pages/CreativePages/CustomReportCreativeDetail.aspx?App=23&amp;ReportView=4&amp;Qid=1711245&amp;Row=486&amp;Col=1","No Title Assigned - #15263169247")</f>
        <v/>
      </c>
      <c r="B494" s="0" t="s">
        <v>729</v>
      </c>
      <c r="C494" s="0" t="s">
        <v>730</v>
      </c>
      <c r="D494" s="0" t="s">
        <v>730</v>
      </c>
      <c r="E494" s="0" t="s">
        <v>13</v>
      </c>
      <c r="F494" s="0" t="s">
        <v>128</v>
      </c>
      <c r="G494" s="0" t="s">
        <v>456</v>
      </c>
      <c r="H494" s="5">
        <v>3221.929400</v>
      </c>
    </row>
    <row r="495" spans="1:9">
      <c r="A495" s="22" t="str">
        <f>HYPERLINK("https://app.vivvix.com/360/KMI/IntelliDrive/ApplUI/Pages/CreativePages/CustomReportCreativeDetail.aspx?App=23&amp;ReportView=4&amp;Qid=1711245&amp;Row=487&amp;Col=1","No Title Assigned - #15263172700")</f>
        <v/>
      </c>
      <c r="B495" s="0" t="s">
        <v>731</v>
      </c>
      <c r="C495" s="0" t="s">
        <v>732</v>
      </c>
      <c r="D495" s="0" t="s">
        <v>732</v>
      </c>
      <c r="E495" s="0" t="s">
        <v>13</v>
      </c>
      <c r="F495" s="0" t="s">
        <v>17</v>
      </c>
      <c r="G495" s="0" t="s">
        <v>446</v>
      </c>
      <c r="H495" s="5">
        <v>1043.980800</v>
      </c>
    </row>
    <row r="496" spans="1:9">
      <c r="A496" s="22" t="str">
        <f>HYPERLINK("https://app.vivvix.com/360/KMI/IntelliDrive/ApplUI/Pages/CreativePages/CustomReportCreativeDetail.aspx?App=23&amp;ReportView=4&amp;Qid=1711245&amp;Row=488&amp;Col=1","No Title Assigned - #15263179052")</f>
        <v/>
      </c>
      <c r="B496" s="0" t="s">
        <v>733</v>
      </c>
      <c r="C496" s="0" t="s">
        <v>734</v>
      </c>
      <c r="D496" s="0" t="s">
        <v>734</v>
      </c>
      <c r="E496" s="0" t="s">
        <v>13</v>
      </c>
      <c r="F496" s="0" t="s">
        <v>14</v>
      </c>
      <c r="G496" s="0" t="s">
        <v>15</v>
      </c>
      <c r="H496" s="5">
        <v>42113.414700</v>
      </c>
    </row>
    <row r="497" spans="1:9">
      <c r="A497" s="22" t="str">
        <f>HYPERLINK("https://app.vivvix.com/360/KMI/IntelliDrive/ApplUI/Pages/CreativePages/CustomReportCreativeDetail.aspx?App=23&amp;ReportView=4&amp;Qid=1711245&amp;Row=489&amp;Col=1","No Title Assigned - #15263186700")</f>
        <v/>
      </c>
      <c r="B497" s="0" t="s">
        <v>735</v>
      </c>
      <c r="C497" s="0" t="s">
        <v>736</v>
      </c>
      <c r="D497" s="0" t="s">
        <v>736</v>
      </c>
      <c r="E497" s="0" t="s">
        <v>13</v>
      </c>
      <c r="F497" s="0" t="s">
        <v>17</v>
      </c>
      <c r="G497" s="0" t="s">
        <v>446</v>
      </c>
      <c r="H497" s="5">
        <v>12851.665500</v>
      </c>
    </row>
    <row r="498" spans="1:9">
      <c r="A498" s="22" t="str">
        <f>HYPERLINK("https://app.vivvix.com/360/KMI/IntelliDrive/ApplUI/Pages/CreativePages/CustomReportCreativeDetail.aspx?App=23&amp;ReportView=4&amp;Qid=1711245&amp;Row=490&amp;Col=1","No Title Assigned - #15263210291")</f>
        <v/>
      </c>
      <c r="B498" s="0" t="s">
        <v>737</v>
      </c>
      <c r="C498" s="0" t="s">
        <v>738</v>
      </c>
      <c r="D498" s="0" t="s">
        <v>738</v>
      </c>
      <c r="E498" s="0" t="s">
        <v>13</v>
      </c>
      <c r="F498" s="0" t="s">
        <v>540</v>
      </c>
      <c r="G498" s="0" t="s">
        <v>541</v>
      </c>
      <c r="H498" s="5">
        <v>268.386400</v>
      </c>
    </row>
    <row r="499" spans="1:9">
      <c r="A499" s="22" t="str">
        <f>HYPERLINK("https://app.vivvix.com/360/KMI/IntelliDrive/ApplUI/Pages/CreativePages/CustomReportCreativeDetail.aspx?App=23&amp;ReportView=4&amp;Qid=1711245&amp;Row=491&amp;Col=1","No Title Assigned - #15263216441")</f>
        <v/>
      </c>
      <c r="B499" s="0" t="s">
        <v>739</v>
      </c>
      <c r="C499" s="0" t="s">
        <v>740</v>
      </c>
      <c r="D499" s="0" t="s">
        <v>740</v>
      </c>
      <c r="E499" s="0" t="s">
        <v>13</v>
      </c>
      <c r="F499" s="0" t="s">
        <v>17</v>
      </c>
      <c r="G499" s="0" t="s">
        <v>446</v>
      </c>
      <c r="H499" s="5">
        <v>1382.434600</v>
      </c>
    </row>
    <row r="500" spans="1:9">
      <c r="A500" s="22" t="str">
        <f>HYPERLINK("https://app.vivvix.com/360/KMI/IntelliDrive/ApplUI/Pages/CreativePages/CustomReportCreativeDetail.aspx?App=23&amp;ReportView=4&amp;Qid=1711245&amp;Row=492&amp;Col=1","No Title Assigned - #15263222726")</f>
        <v/>
      </c>
      <c r="B500" s="0" t="s">
        <v>741</v>
      </c>
      <c r="C500" s="0" t="s">
        <v>742</v>
      </c>
      <c r="D500" s="0" t="s">
        <v>742</v>
      </c>
      <c r="E500" s="0" t="s">
        <v>13</v>
      </c>
      <c r="F500" s="0" t="s">
        <v>540</v>
      </c>
      <c r="G500" s="0" t="s">
        <v>541</v>
      </c>
      <c r="H500" s="5">
        <v>9014.143900</v>
      </c>
    </row>
    <row r="501" spans="1:9">
      <c r="A501" s="22" t="str">
        <f>HYPERLINK("https://app.vivvix.com/360/KMI/IntelliDrive/ApplUI/Pages/CreativePages/CustomReportCreativeDetail.aspx?App=23&amp;ReportView=4&amp;Qid=1711245&amp;Row=493&amp;Col=1","No Title Assigned - #15263223312")</f>
        <v/>
      </c>
      <c r="B501" s="0" t="s">
        <v>743</v>
      </c>
      <c r="C501" s="0" t="s">
        <v>744</v>
      </c>
      <c r="D501" s="0" t="s">
        <v>744</v>
      </c>
      <c r="E501" s="0" t="s">
        <v>13</v>
      </c>
      <c r="F501" s="0" t="s">
        <v>540</v>
      </c>
      <c r="G501" s="0" t="s">
        <v>541</v>
      </c>
      <c r="H501" s="5">
        <v>1275.225700</v>
      </c>
    </row>
    <row r="502" spans="1:9">
      <c r="A502" s="22" t="str">
        <f>HYPERLINK("https://app.vivvix.com/360/KMI/IntelliDrive/ApplUI/Pages/CreativePages/CustomReportCreativeDetail.aspx?App=23&amp;ReportView=4&amp;Qid=1711245&amp;Row=494&amp;Col=1","No Title Assigned - #15263223870")</f>
        <v/>
      </c>
      <c r="B502" s="0" t="s">
        <v>745</v>
      </c>
      <c r="C502" s="0" t="s">
        <v>746</v>
      </c>
      <c r="D502" s="0" t="s">
        <v>746</v>
      </c>
      <c r="E502" s="0" t="s">
        <v>13</v>
      </c>
      <c r="F502" s="0" t="s">
        <v>530</v>
      </c>
      <c r="G502" s="0" t="s">
        <v>531</v>
      </c>
      <c r="H502" s="5">
        <v>50.369400</v>
      </c>
    </row>
    <row r="503" spans="1:9">
      <c r="A503" s="22" t="str">
        <f>HYPERLINK("https://app.vivvix.com/360/KMI/IntelliDrive/ApplUI/Pages/CreativePages/CustomReportCreativeDetail.aspx?App=23&amp;ReportView=4&amp;Qid=1711245&amp;Row=495&amp;Col=1","No Title Assigned - #15263224093")</f>
        <v/>
      </c>
      <c r="B503" s="0" t="s">
        <v>747</v>
      </c>
      <c r="E503" s="0" t="s">
        <v>13</v>
      </c>
      <c r="F503" s="0" t="s">
        <v>13</v>
      </c>
      <c r="G503" s="0" t="s">
        <v>54</v>
      </c>
    </row>
    <row r="504" spans="1:9">
      <c r="A504" s="22" t="str">
        <f>HYPERLINK("https://app.vivvix.com/360/KMI/IntelliDrive/ApplUI/Pages/CreativePages/CustomReportCreativeDetail.aspx?App=23&amp;ReportView=4&amp;Qid=1711245&amp;Row=496&amp;Col=1","No Title Assigned - #15263227263")</f>
        <v/>
      </c>
      <c r="B504" s="0" t="s">
        <v>748</v>
      </c>
      <c r="C504" s="0" t="s">
        <v>749</v>
      </c>
      <c r="D504" s="0" t="s">
        <v>749</v>
      </c>
      <c r="E504" s="0" t="s">
        <v>13</v>
      </c>
      <c r="F504" s="0" t="s">
        <v>13</v>
      </c>
      <c r="G504" s="0" t="s">
        <v>576</v>
      </c>
      <c r="H504" s="5">
        <v>14627.278200</v>
      </c>
    </row>
    <row r="505" spans="1:9">
      <c r="A505" s="22" t="str">
        <f>HYPERLINK("https://app.vivvix.com/360/KMI/IntelliDrive/ApplUI/Pages/CreativePages/CustomReportCreativeDetail.aspx?App=23&amp;ReportView=4&amp;Qid=1711245&amp;Row=497&amp;Col=1","No Title Assigned - #15263227532")</f>
        <v/>
      </c>
      <c r="B505" s="0" t="s">
        <v>750</v>
      </c>
      <c r="C505" s="0" t="s">
        <v>751</v>
      </c>
      <c r="D505" s="0" t="s">
        <v>751</v>
      </c>
      <c r="E505" s="0" t="s">
        <v>13</v>
      </c>
      <c r="F505" s="0" t="s">
        <v>530</v>
      </c>
      <c r="G505" s="0" t="s">
        <v>531</v>
      </c>
      <c r="H505" s="5">
        <v>133.669300</v>
      </c>
    </row>
    <row r="506" spans="1:9">
      <c r="A506" s="22" t="str">
        <f>HYPERLINK("https://app.vivvix.com/360/KMI/IntelliDrive/ApplUI/Pages/CreativePages/CustomReportCreativeDetail.aspx?App=23&amp;ReportView=4&amp;Qid=1711245&amp;Row=498&amp;Col=1","No Title Assigned - #15263227567")</f>
        <v/>
      </c>
      <c r="B506" s="0" t="s">
        <v>752</v>
      </c>
      <c r="C506" s="0" t="s">
        <v>753</v>
      </c>
      <c r="D506" s="0" t="s">
        <v>753</v>
      </c>
      <c r="E506" s="0" t="s">
        <v>13</v>
      </c>
      <c r="F506" s="0" t="s">
        <v>530</v>
      </c>
      <c r="G506" s="0" t="s">
        <v>531</v>
      </c>
      <c r="H506" s="5">
        <v>133.669300</v>
      </c>
    </row>
    <row r="507" spans="1:9">
      <c r="A507" s="22" t="str">
        <f>HYPERLINK("https://app.vivvix.com/360/KMI/IntelliDrive/ApplUI/Pages/CreativePages/CustomReportCreativeDetail.aspx?App=23&amp;ReportView=4&amp;Qid=1711245&amp;Row=499&amp;Col=1","No Title Assigned - #15263227596")</f>
        <v/>
      </c>
      <c r="B507" s="0" t="s">
        <v>754</v>
      </c>
      <c r="C507" s="0" t="s">
        <v>755</v>
      </c>
      <c r="D507" s="0" t="s">
        <v>755</v>
      </c>
      <c r="E507" s="0" t="s">
        <v>13</v>
      </c>
      <c r="F507" s="0" t="s">
        <v>530</v>
      </c>
      <c r="G507" s="0" t="s">
        <v>531</v>
      </c>
      <c r="H507" s="5">
        <v>133.669300</v>
      </c>
    </row>
    <row r="508" spans="1:9">
      <c r="A508" s="22" t="str">
        <f>HYPERLINK("https://app.vivvix.com/360/KMI/IntelliDrive/ApplUI/Pages/CreativePages/CustomReportCreativeDetail.aspx?App=23&amp;ReportView=4&amp;Qid=1711245&amp;Row=500&amp;Col=1","No Title Assigned - #15263233039")</f>
        <v/>
      </c>
      <c r="B508" s="0" t="s">
        <v>756</v>
      </c>
      <c r="C508" s="0" t="s">
        <v>757</v>
      </c>
      <c r="D508" s="0" t="s">
        <v>757</v>
      </c>
      <c r="E508" s="0" t="s">
        <v>13</v>
      </c>
      <c r="F508" s="0" t="s">
        <v>14</v>
      </c>
      <c r="G508" s="0" t="s">
        <v>15</v>
      </c>
      <c r="H508" s="5">
        <v>1625.068400</v>
      </c>
    </row>
    <row r="509" spans="1:9">
      <c r="A509" s="22" t="str">
        <f>HYPERLINK("https://app.vivvix.com/360/KMI/IntelliDrive/ApplUI/Pages/CreativePages/CustomReportCreativeDetail.aspx?App=23&amp;ReportView=4&amp;Qid=1711245&amp;Row=501&amp;Col=1","No Title Assigned - #15263260523")</f>
        <v/>
      </c>
      <c r="B509" s="0" t="s">
        <v>758</v>
      </c>
      <c r="C509" s="0" t="s">
        <v>759</v>
      </c>
      <c r="D509" s="0" t="s">
        <v>759</v>
      </c>
      <c r="E509" s="0" t="s">
        <v>13</v>
      </c>
      <c r="F509" s="0" t="s">
        <v>14</v>
      </c>
      <c r="G509" s="0" t="s">
        <v>15</v>
      </c>
      <c r="H509" s="5">
        <v>22408.216400</v>
      </c>
    </row>
    <row r="510" spans="1:9">
      <c r="A510" s="22" t="str">
        <f>HYPERLINK("https://app.vivvix.com/360/KMI/IntelliDrive/ApplUI/Pages/CreativePages/CustomReportCreativeDetail.aspx?App=23&amp;ReportView=4&amp;Qid=1711245&amp;Row=502&amp;Col=1","No Title Assigned - #15263262285")</f>
        <v/>
      </c>
      <c r="B510" s="0" t="s">
        <v>760</v>
      </c>
      <c r="C510" s="0" t="s">
        <v>761</v>
      </c>
      <c r="D510" s="0" t="s">
        <v>761</v>
      </c>
      <c r="E510" s="0" t="s">
        <v>13</v>
      </c>
      <c r="F510" s="0" t="s">
        <v>13</v>
      </c>
      <c r="G510" s="0" t="s">
        <v>35</v>
      </c>
      <c r="H510" s="5">
        <v>235699.013200</v>
      </c>
    </row>
    <row r="511" spans="1:9">
      <c r="A511" s="22" t="str">
        <f>HYPERLINK("https://app.vivvix.com/360/KMI/IntelliDrive/ApplUI/Pages/CreativePages/CustomReportCreativeDetail.aspx?App=23&amp;ReportView=4&amp;Qid=1711245&amp;Row=503&amp;Col=1","No Title Assigned - #15263270132")</f>
        <v/>
      </c>
      <c r="B511" s="0" t="s">
        <v>762</v>
      </c>
      <c r="C511" s="0" t="s">
        <v>763</v>
      </c>
      <c r="D511" s="0" t="s">
        <v>763</v>
      </c>
      <c r="E511" s="0" t="s">
        <v>13</v>
      </c>
      <c r="F511" s="0" t="s">
        <v>540</v>
      </c>
      <c r="G511" s="0" t="s">
        <v>541</v>
      </c>
      <c r="H511" s="5">
        <v>501.495900</v>
      </c>
    </row>
    <row r="512" spans="1:9">
      <c r="A512" s="22" t="str">
        <f>HYPERLINK("https://app.vivvix.com/360/KMI/IntelliDrive/ApplUI/Pages/CreativePages/CustomReportCreativeDetail.aspx?App=23&amp;ReportView=4&amp;Qid=1711245&amp;Row=504&amp;Col=1","No Title Assigned - #15263277838")</f>
        <v/>
      </c>
      <c r="B512" s="0" t="s">
        <v>764</v>
      </c>
      <c r="C512" s="0" t="s">
        <v>765</v>
      </c>
      <c r="D512" s="0" t="s">
        <v>765</v>
      </c>
      <c r="E512" s="0" t="s">
        <v>13</v>
      </c>
      <c r="F512" s="0" t="s">
        <v>14</v>
      </c>
      <c r="G512" s="0" t="s">
        <v>15</v>
      </c>
      <c r="H512" s="5">
        <v>7016.148700</v>
      </c>
    </row>
    <row r="513" spans="1:9">
      <c r="A513" s="22" t="str">
        <f>HYPERLINK("https://app.vivvix.com/360/KMI/IntelliDrive/ApplUI/Pages/CreativePages/CustomReportCreativeDetail.aspx?App=23&amp;ReportView=4&amp;Qid=1711245&amp;Row=505&amp;Col=1","No Title Assigned - #15263278699")</f>
        <v/>
      </c>
      <c r="B513" s="0" t="s">
        <v>766</v>
      </c>
      <c r="E513" s="0" t="s">
        <v>13</v>
      </c>
      <c r="F513" s="0" t="s">
        <v>13</v>
      </c>
      <c r="G513" s="0" t="s">
        <v>54</v>
      </c>
      <c r="H513" s="5">
        <v>2175.730900</v>
      </c>
    </row>
    <row r="514" spans="1:9">
      <c r="A514" s="22" t="str">
        <f>HYPERLINK("https://app.vivvix.com/360/KMI/IntelliDrive/ApplUI/Pages/CreativePages/CustomReportCreativeDetail.aspx?App=23&amp;ReportView=4&amp;Qid=1711245&amp;Row=506&amp;Col=1","No Title Assigned - #15263278985")</f>
        <v/>
      </c>
      <c r="B514" s="0" t="s">
        <v>767</v>
      </c>
      <c r="E514" s="0" t="s">
        <v>13</v>
      </c>
      <c r="F514" s="0" t="s">
        <v>13</v>
      </c>
      <c r="G514" s="0" t="s">
        <v>54</v>
      </c>
      <c r="H514" s="5">
        <v>24448.020900</v>
      </c>
    </row>
    <row r="515" spans="1:9">
      <c r="A515" s="22" t="str">
        <f>HYPERLINK("https://app.vivvix.com/360/KMI/IntelliDrive/ApplUI/Pages/CreativePages/CustomReportCreativeDetail.aspx?App=23&amp;ReportView=4&amp;Qid=1711245&amp;Row=507&amp;Col=1","No Title Assigned - #15263280820")</f>
        <v/>
      </c>
      <c r="B515" s="0" t="s">
        <v>768</v>
      </c>
      <c r="C515" s="0" t="s">
        <v>769</v>
      </c>
      <c r="D515" s="0" t="s">
        <v>769</v>
      </c>
      <c r="E515" s="0" t="s">
        <v>13</v>
      </c>
      <c r="F515" s="0" t="s">
        <v>14</v>
      </c>
      <c r="G515" s="0" t="s">
        <v>15</v>
      </c>
      <c r="H515" s="5">
        <v>196825.778900</v>
      </c>
    </row>
    <row r="516" spans="1:9">
      <c r="A516" s="22" t="str">
        <f>HYPERLINK("https://app.vivvix.com/360/KMI/IntelliDrive/ApplUI/Pages/CreativePages/CustomReportCreativeDetail.aspx?App=23&amp;ReportView=4&amp;Qid=1711245&amp;Row=508&amp;Col=1","No Title Assigned - #15263292587")</f>
        <v/>
      </c>
      <c r="B516" s="0" t="s">
        <v>770</v>
      </c>
      <c r="C516" s="0" t="s">
        <v>771</v>
      </c>
      <c r="D516" s="0" t="s">
        <v>771</v>
      </c>
      <c r="E516" s="0" t="s">
        <v>13</v>
      </c>
      <c r="F516" s="0" t="s">
        <v>14</v>
      </c>
      <c r="G516" s="0" t="s">
        <v>15</v>
      </c>
      <c r="H516" s="5">
        <v>790.307100</v>
      </c>
    </row>
    <row r="517" spans="1:9">
      <c r="A517" s="22" t="str">
        <f>HYPERLINK("https://app.vivvix.com/360/KMI/IntelliDrive/ApplUI/Pages/CreativePages/CustomReportCreativeDetail.aspx?App=23&amp;ReportView=4&amp;Qid=1711245&amp;Row=509&amp;Col=1","No Title Assigned - #15263292587")</f>
        <v/>
      </c>
      <c r="B517" s="0" t="s">
        <v>770</v>
      </c>
      <c r="E517" s="0" t="s">
        <v>13</v>
      </c>
      <c r="F517" s="0" t="s">
        <v>14</v>
      </c>
      <c r="G517" s="0" t="s">
        <v>15</v>
      </c>
      <c r="H517" s="5">
        <v>2256.966800</v>
      </c>
    </row>
    <row r="518" spans="1:9">
      <c r="A518" s="22" t="str">
        <f>HYPERLINK("https://app.vivvix.com/360/KMI/IntelliDrive/ApplUI/Pages/CreativePages/CustomReportCreativeDetail.aspx?App=23&amp;ReportView=4&amp;Qid=1711245&amp;Row=510&amp;Col=1","No Title Assigned - #15263292992")</f>
        <v/>
      </c>
      <c r="B518" s="0" t="s">
        <v>772</v>
      </c>
      <c r="E518" s="0" t="s">
        <v>13</v>
      </c>
      <c r="F518" s="0" t="s">
        <v>13</v>
      </c>
      <c r="G518" s="0" t="s">
        <v>54</v>
      </c>
    </row>
    <row r="519" spans="1:9">
      <c r="A519" s="22" t="str">
        <f>HYPERLINK("https://app.vivvix.com/360/KMI/IntelliDrive/ApplUI/Pages/CreativePages/CustomReportCreativeDetail.aspx?App=23&amp;ReportView=4&amp;Qid=1711245&amp;Row=511&amp;Col=1","No Title Assigned - #15263314177")</f>
        <v/>
      </c>
      <c r="B519" s="0" t="s">
        <v>773</v>
      </c>
      <c r="C519" s="0" t="s">
        <v>774</v>
      </c>
      <c r="D519" s="0" t="s">
        <v>774</v>
      </c>
      <c r="E519" s="0" t="s">
        <v>13</v>
      </c>
      <c r="F519" s="0" t="s">
        <v>14</v>
      </c>
      <c r="G519" s="0" t="s">
        <v>15</v>
      </c>
      <c r="H519" s="5">
        <v>3898.003100</v>
      </c>
    </row>
    <row r="520" spans="1:9">
      <c r="A520" s="22" t="str">
        <f>HYPERLINK("https://app.vivvix.com/360/KMI/IntelliDrive/ApplUI/Pages/CreativePages/CustomReportCreativeDetail.aspx?App=23&amp;ReportView=4&amp;Qid=1711245&amp;Row=512&amp;Col=1","No Title Assigned - #15263325081")</f>
        <v/>
      </c>
      <c r="B520" s="0" t="s">
        <v>775</v>
      </c>
      <c r="C520" s="0" t="s">
        <v>776</v>
      </c>
      <c r="D520" s="0" t="s">
        <v>776</v>
      </c>
      <c r="E520" s="0" t="s">
        <v>13</v>
      </c>
      <c r="F520" s="0" t="s">
        <v>14</v>
      </c>
      <c r="G520" s="0" t="s">
        <v>15</v>
      </c>
      <c r="H520" s="5">
        <v>3382.687800</v>
      </c>
    </row>
    <row r="521" spans="1:9">
      <c r="A521" s="22" t="str">
        <f>HYPERLINK("https://app.vivvix.com/360/KMI/IntelliDrive/ApplUI/Pages/CreativePages/CustomReportCreativeDetail.aspx?App=23&amp;ReportView=4&amp;Qid=1711245&amp;Row=513&amp;Col=1","No Title Assigned - #15263327116")</f>
        <v/>
      </c>
      <c r="B521" s="0" t="s">
        <v>777</v>
      </c>
      <c r="C521" s="0" t="s">
        <v>778</v>
      </c>
      <c r="D521" s="0" t="s">
        <v>778</v>
      </c>
      <c r="E521" s="0" t="s">
        <v>13</v>
      </c>
      <c r="F521" s="0" t="s">
        <v>14</v>
      </c>
      <c r="G521" s="0" t="s">
        <v>15</v>
      </c>
      <c r="H521" s="5">
        <v>3713.978300</v>
      </c>
    </row>
    <row r="522" spans="1:9">
      <c r="A522" s="22" t="str">
        <f>HYPERLINK("https://app.vivvix.com/360/KMI/IntelliDrive/ApplUI/Pages/CreativePages/CustomReportCreativeDetail.aspx?App=23&amp;ReportView=4&amp;Qid=1711245&amp;Row=514&amp;Col=1","No Title Assigned - #15263333950")</f>
        <v/>
      </c>
      <c r="B522" s="0" t="s">
        <v>779</v>
      </c>
      <c r="E522" s="0" t="s">
        <v>13</v>
      </c>
      <c r="F522" s="0" t="s">
        <v>14</v>
      </c>
      <c r="G522" s="0" t="s">
        <v>15</v>
      </c>
      <c r="H522" s="5">
        <v>467.015800</v>
      </c>
    </row>
    <row r="523" spans="1:9">
      <c r="A523" s="22" t="str">
        <f>HYPERLINK("https://app.vivvix.com/360/KMI/IntelliDrive/ApplUI/Pages/CreativePages/CustomReportCreativeDetail.aspx?App=23&amp;ReportView=4&amp;Qid=1711245&amp;Row=515&amp;Col=1","No Title Assigned - #15263333950")</f>
        <v/>
      </c>
      <c r="B523" s="0" t="s">
        <v>779</v>
      </c>
      <c r="C523" s="0" t="s">
        <v>780</v>
      </c>
      <c r="D523" s="0" t="s">
        <v>780</v>
      </c>
      <c r="E523" s="0" t="s">
        <v>13</v>
      </c>
      <c r="F523" s="0" t="s">
        <v>14</v>
      </c>
      <c r="G523" s="0" t="s">
        <v>15</v>
      </c>
      <c r="H523" s="5">
        <v>4369.884200</v>
      </c>
    </row>
    <row r="524" spans="1:9">
      <c r="A524" s="22" t="str">
        <f>HYPERLINK("https://app.vivvix.com/360/KMI/IntelliDrive/ApplUI/Pages/CreativePages/CustomReportCreativeDetail.aspx?App=23&amp;ReportView=4&amp;Qid=1711245&amp;Row=516&amp;Col=1","No Title Assigned - #15263336494")</f>
        <v/>
      </c>
      <c r="B524" s="0" t="s">
        <v>781</v>
      </c>
      <c r="E524" s="0" t="s">
        <v>13</v>
      </c>
      <c r="F524" s="0" t="s">
        <v>13</v>
      </c>
      <c r="G524" s="0" t="s">
        <v>54</v>
      </c>
    </row>
    <row r="525" spans="1:9">
      <c r="A525" s="22" t="str">
        <f>HYPERLINK("https://app.vivvix.com/360/KMI/IntelliDrive/ApplUI/Pages/CreativePages/CustomReportCreativeDetail.aspx?App=23&amp;ReportView=4&amp;Qid=1711245&amp;Row=517&amp;Col=1","No Title Assigned - #15263336538")</f>
        <v/>
      </c>
      <c r="B525" s="0" t="s">
        <v>782</v>
      </c>
      <c r="E525" s="0" t="s">
        <v>13</v>
      </c>
      <c r="F525" s="0" t="s">
        <v>540</v>
      </c>
      <c r="G525" s="0" t="s">
        <v>541</v>
      </c>
      <c r="H525" s="5">
        <v>21.083700</v>
      </c>
    </row>
    <row r="526" spans="1:9">
      <c r="A526" s="22" t="str">
        <f>HYPERLINK("https://app.vivvix.com/360/KMI/IntelliDrive/ApplUI/Pages/CreativePages/CustomReportCreativeDetail.aspx?App=23&amp;ReportView=4&amp;Qid=1711245&amp;Row=518&amp;Col=1","No Title Assigned - #15263337881")</f>
        <v/>
      </c>
      <c r="B526" s="0" t="s">
        <v>783</v>
      </c>
      <c r="C526" s="0" t="s">
        <v>765</v>
      </c>
      <c r="D526" s="0" t="s">
        <v>765</v>
      </c>
      <c r="E526" s="0" t="s">
        <v>13</v>
      </c>
      <c r="F526" s="0" t="s">
        <v>14</v>
      </c>
      <c r="G526" s="0" t="s">
        <v>15</v>
      </c>
      <c r="H526" s="5">
        <v>7920.651800</v>
      </c>
    </row>
    <row r="527" spans="1:9">
      <c r="A527" s="22" t="str">
        <f>HYPERLINK("https://app.vivvix.com/360/KMI/IntelliDrive/ApplUI/Pages/CreativePages/CustomReportCreativeDetail.aspx?App=23&amp;ReportView=4&amp;Qid=1711245&amp;Row=519&amp;Col=1","No Title Assigned - #15263339807")</f>
        <v/>
      </c>
      <c r="B527" s="0" t="s">
        <v>784</v>
      </c>
      <c r="E527" s="0" t="s">
        <v>13</v>
      </c>
      <c r="F527" s="0" t="s">
        <v>540</v>
      </c>
      <c r="G527" s="0" t="s">
        <v>541</v>
      </c>
      <c r="H527" s="5">
        <v>2539.396600</v>
      </c>
    </row>
    <row r="528" spans="1:9">
      <c r="A528" s="22" t="str">
        <f>HYPERLINK("https://app.vivvix.com/360/KMI/IntelliDrive/ApplUI/Pages/CreativePages/CustomReportCreativeDetail.aspx?App=23&amp;ReportView=4&amp;Qid=1711245&amp;Row=520&amp;Col=1","No Title Assigned - #15263339859")</f>
        <v/>
      </c>
      <c r="B528" s="0" t="s">
        <v>785</v>
      </c>
      <c r="E528" s="0" t="s">
        <v>13</v>
      </c>
      <c r="F528" s="0" t="s">
        <v>13</v>
      </c>
      <c r="G528" s="0" t="s">
        <v>54</v>
      </c>
    </row>
    <row r="529" spans="1:9">
      <c r="A529" s="22" t="str">
        <f>HYPERLINK("https://app.vivvix.com/360/KMI/IntelliDrive/ApplUI/Pages/CreativePages/CustomReportCreativeDetail.aspx?App=23&amp;ReportView=4&amp;Qid=1711245&amp;Row=521&amp;Col=1","No Title Assigned - #15263343099")</f>
        <v/>
      </c>
      <c r="B529" s="0" t="s">
        <v>786</v>
      </c>
      <c r="E529" s="0" t="s">
        <v>13</v>
      </c>
      <c r="F529" s="0" t="s">
        <v>13</v>
      </c>
      <c r="G529" s="0" t="s">
        <v>54</v>
      </c>
    </row>
    <row r="530" spans="1:9">
      <c r="A530" s="22" t="str">
        <f>HYPERLINK("https://app.vivvix.com/360/KMI/IntelliDrive/ApplUI/Pages/CreativePages/CustomReportCreativeDetail.aspx?App=23&amp;ReportView=4&amp;Qid=1711245&amp;Row=522&amp;Col=1","No Title Assigned - #15263375798")</f>
        <v/>
      </c>
      <c r="B530" s="0" t="s">
        <v>787</v>
      </c>
      <c r="E530" s="0" t="s">
        <v>13</v>
      </c>
      <c r="F530" s="0" t="s">
        <v>13</v>
      </c>
      <c r="G530" s="0" t="s">
        <v>54</v>
      </c>
      <c r="H530" s="5">
        <v>2031.377400</v>
      </c>
    </row>
    <row r="531" spans="1:9">
      <c r="A531" s="22" t="str">
        <f>HYPERLINK("https://app.vivvix.com/360/KMI/IntelliDrive/ApplUI/Pages/CreativePages/CustomReportCreativeDetail.aspx?App=23&amp;ReportView=4&amp;Qid=1711245&amp;Row=523&amp;Col=1","No Title Assigned - #15263381014")</f>
        <v/>
      </c>
      <c r="B531" s="0" t="s">
        <v>788</v>
      </c>
      <c r="E531" s="0" t="s">
        <v>13</v>
      </c>
      <c r="F531" s="0" t="s">
        <v>13</v>
      </c>
      <c r="G531" s="0" t="s">
        <v>54</v>
      </c>
    </row>
    <row r="532" spans="1:9">
      <c r="A532" s="22" t="str">
        <f>HYPERLINK("https://app.vivvix.com/360/KMI/IntelliDrive/ApplUI/Pages/CreativePages/CustomReportCreativeDetail.aspx?App=23&amp;ReportView=4&amp;Qid=1711245&amp;Row=524&amp;Col=1","No Title Assigned - #15263400676")</f>
        <v/>
      </c>
      <c r="B532" s="0" t="s">
        <v>789</v>
      </c>
      <c r="C532" s="0" t="s">
        <v>790</v>
      </c>
      <c r="D532" s="0" t="s">
        <v>790</v>
      </c>
      <c r="E532" s="0" t="s">
        <v>13</v>
      </c>
      <c r="F532" s="0" t="s">
        <v>14</v>
      </c>
      <c r="G532" s="0" t="s">
        <v>15</v>
      </c>
      <c r="H532" s="5">
        <v>238.785500</v>
      </c>
    </row>
    <row r="533" spans="1:9">
      <c r="A533" s="22" t="str">
        <f>HYPERLINK("https://app.vivvix.com/360/KMI/IntelliDrive/ApplUI/Pages/CreativePages/CustomReportCreativeDetail.aspx?App=23&amp;ReportView=4&amp;Qid=1711245&amp;Row=525&amp;Col=1","No Title Assigned - #15263402372")</f>
        <v/>
      </c>
      <c r="B533" s="0" t="s">
        <v>791</v>
      </c>
      <c r="C533" s="0" t="s">
        <v>792</v>
      </c>
      <c r="D533" s="0" t="s">
        <v>792</v>
      </c>
      <c r="E533" s="0" t="s">
        <v>13</v>
      </c>
      <c r="F533" s="0" t="s">
        <v>14</v>
      </c>
      <c r="G533" s="0" t="s">
        <v>15</v>
      </c>
      <c r="H533" s="5">
        <v>178.973000</v>
      </c>
    </row>
    <row r="534" spans="1:9">
      <c r="A534" s="22" t="str">
        <f>HYPERLINK("https://app.vivvix.com/360/KMI/IntelliDrive/ApplUI/Pages/CreativePages/CustomReportCreativeDetail.aspx?App=23&amp;ReportView=4&amp;Qid=1711245&amp;Row=526&amp;Col=1","No Title Assigned - #15263402373")</f>
        <v/>
      </c>
      <c r="B534" s="0" t="s">
        <v>793</v>
      </c>
      <c r="C534" s="0" t="s">
        <v>794</v>
      </c>
      <c r="D534" s="0" t="s">
        <v>794</v>
      </c>
      <c r="E534" s="0" t="s">
        <v>13</v>
      </c>
      <c r="F534" s="0" t="s">
        <v>14</v>
      </c>
      <c r="G534" s="0" t="s">
        <v>15</v>
      </c>
      <c r="H534" s="5">
        <v>2308.422600</v>
      </c>
    </row>
    <row r="535" spans="1:9">
      <c r="A535" s="22" t="str">
        <f>HYPERLINK("https://app.vivvix.com/360/KMI/IntelliDrive/ApplUI/Pages/CreativePages/CustomReportCreativeDetail.aspx?App=23&amp;ReportView=4&amp;Qid=1711245&amp;Row=527&amp;Col=1","No Title Assigned - #15263445606")</f>
        <v/>
      </c>
      <c r="B535" s="0" t="s">
        <v>795</v>
      </c>
      <c r="E535" s="0" t="s">
        <v>13</v>
      </c>
      <c r="F535" s="0" t="s">
        <v>13</v>
      </c>
      <c r="G535" s="0" t="s">
        <v>54</v>
      </c>
      <c r="H535" s="5">
        <v>3297.636300</v>
      </c>
    </row>
    <row r="536" spans="1:9">
      <c r="A536" s="22" t="str">
        <f>HYPERLINK("https://app.vivvix.com/360/KMI/IntelliDrive/ApplUI/Pages/CreativePages/CustomReportCreativeDetail.aspx?App=23&amp;ReportView=4&amp;Qid=1711245&amp;Row=528&amp;Col=1","No Title Assigned - #15263456687")</f>
        <v/>
      </c>
      <c r="B536" s="0" t="s">
        <v>796</v>
      </c>
      <c r="E536" s="0" t="s">
        <v>13</v>
      </c>
      <c r="F536" s="0" t="s">
        <v>14</v>
      </c>
      <c r="G536" s="0" t="s">
        <v>15</v>
      </c>
      <c r="H536" s="5">
        <v>937.137800</v>
      </c>
    </row>
    <row r="537" spans="1:9">
      <c r="A537" s="22" t="str">
        <f>HYPERLINK("https://app.vivvix.com/360/KMI/IntelliDrive/ApplUI/Pages/CreativePages/CustomReportCreativeDetail.aspx?App=23&amp;ReportView=4&amp;Qid=1711245&amp;Row=529&amp;Col=1","No Title Assigned - #15263456687")</f>
        <v/>
      </c>
      <c r="B537" s="0" t="s">
        <v>796</v>
      </c>
      <c r="C537" s="0" t="s">
        <v>797</v>
      </c>
      <c r="D537" s="0" t="s">
        <v>797</v>
      </c>
      <c r="E537" s="0" t="s">
        <v>13</v>
      </c>
      <c r="F537" s="0" t="s">
        <v>14</v>
      </c>
      <c r="G537" s="0" t="s">
        <v>15</v>
      </c>
      <c r="H537" s="5">
        <v>4607.915300</v>
      </c>
    </row>
    <row r="538" spans="1:9">
      <c r="A538" s="22" t="str">
        <f>HYPERLINK("https://app.vivvix.com/360/KMI/IntelliDrive/ApplUI/Pages/CreativePages/CustomReportCreativeDetail.aspx?App=23&amp;ReportView=4&amp;Qid=1711245&amp;Row=530&amp;Col=1","No Title Assigned - #15263477010")</f>
        <v/>
      </c>
      <c r="B538" s="0" t="s">
        <v>798</v>
      </c>
      <c r="C538" s="0" t="s">
        <v>799</v>
      </c>
      <c r="D538" s="0" t="s">
        <v>776</v>
      </c>
      <c r="E538" s="0" t="s">
        <v>13</v>
      </c>
      <c r="F538" s="0" t="s">
        <v>14</v>
      </c>
      <c r="G538" s="0" t="s">
        <v>15</v>
      </c>
      <c r="H538" s="5">
        <v>2056.814900</v>
      </c>
    </row>
    <row r="539" spans="1:9">
      <c r="A539" s="22" t="str">
        <f>HYPERLINK("https://app.vivvix.com/360/KMI/IntelliDrive/ApplUI/Pages/CreativePages/CustomReportCreativeDetail.aspx?App=23&amp;ReportView=4&amp;Qid=1711245&amp;Row=531&amp;Col=1","No Title Assigned - #15263490760")</f>
        <v/>
      </c>
      <c r="B539" s="0" t="s">
        <v>800</v>
      </c>
      <c r="C539" s="0" t="s">
        <v>801</v>
      </c>
      <c r="D539" s="0" t="s">
        <v>801</v>
      </c>
      <c r="E539" s="0" t="s">
        <v>13</v>
      </c>
      <c r="F539" s="0" t="s">
        <v>14</v>
      </c>
      <c r="G539" s="0" t="s">
        <v>15</v>
      </c>
      <c r="H539" s="5">
        <v>100.932600</v>
      </c>
    </row>
    <row r="540" spans="1:9">
      <c r="A540" s="22" t="str">
        <f>HYPERLINK("https://app.vivvix.com/360/KMI/IntelliDrive/ApplUI/Pages/CreativePages/CustomReportCreativeDetail.aspx?App=23&amp;ReportView=4&amp;Qid=1711245&amp;Row=532&amp;Col=1","No Title Assigned - #15263490877")</f>
        <v/>
      </c>
      <c r="B540" s="0" t="s">
        <v>802</v>
      </c>
      <c r="C540" s="0" t="s">
        <v>803</v>
      </c>
      <c r="D540" s="0" t="s">
        <v>803</v>
      </c>
      <c r="E540" s="0" t="s">
        <v>13</v>
      </c>
      <c r="F540" s="0" t="s">
        <v>14</v>
      </c>
      <c r="G540" s="0" t="s">
        <v>15</v>
      </c>
      <c r="H540" s="5">
        <v>21.083700</v>
      </c>
    </row>
    <row r="541" spans="1:9">
      <c r="A541" s="22" t="str">
        <f>HYPERLINK("https://app.vivvix.com/360/KMI/IntelliDrive/ApplUI/Pages/CreativePages/CustomReportCreativeDetail.aspx?App=23&amp;ReportView=4&amp;Qid=1711245&amp;Row=533&amp;Col=1","No Title Assigned - #15263491532")</f>
        <v/>
      </c>
      <c r="B541" s="0" t="s">
        <v>804</v>
      </c>
      <c r="C541" s="0" t="s">
        <v>805</v>
      </c>
      <c r="D541" s="0" t="s">
        <v>805</v>
      </c>
      <c r="E541" s="0" t="s">
        <v>13</v>
      </c>
      <c r="F541" s="0" t="s">
        <v>17</v>
      </c>
      <c r="G541" s="0" t="s">
        <v>446</v>
      </c>
      <c r="H541" s="5">
        <v>736.624500</v>
      </c>
    </row>
    <row r="542" spans="1:9">
      <c r="A542" s="22" t="str">
        <f>HYPERLINK("https://app.vivvix.com/360/KMI/IntelliDrive/ApplUI/Pages/CreativePages/CustomReportCreativeDetail.aspx?App=23&amp;ReportView=4&amp;Qid=1711245&amp;Row=534&amp;Col=1","No Title Assigned - #15263500171")</f>
        <v/>
      </c>
      <c r="B542" s="0" t="s">
        <v>806</v>
      </c>
      <c r="C542" s="0" t="s">
        <v>807</v>
      </c>
      <c r="D542" s="0" t="s">
        <v>807</v>
      </c>
      <c r="E542" s="0" t="s">
        <v>13</v>
      </c>
      <c r="F542" s="0" t="s">
        <v>17</v>
      </c>
      <c r="G542" s="0" t="s">
        <v>446</v>
      </c>
      <c r="H542" s="5">
        <v>591.463500</v>
      </c>
    </row>
    <row r="543" spans="1:9">
      <c r="A543" s="22" t="str">
        <f>HYPERLINK("https://app.vivvix.com/360/KMI/IntelliDrive/ApplUI/Pages/CreativePages/CustomReportCreativeDetail.aspx?App=23&amp;ReportView=4&amp;Qid=1711245&amp;Row=535&amp;Col=1","No Title Assigned - #15263503441")</f>
        <v/>
      </c>
      <c r="B543" s="0" t="s">
        <v>808</v>
      </c>
      <c r="C543" s="0" t="s">
        <v>809</v>
      </c>
      <c r="D543" s="0" t="s">
        <v>809</v>
      </c>
      <c r="E543" s="0" t="s">
        <v>13</v>
      </c>
      <c r="F543" s="0" t="s">
        <v>17</v>
      </c>
      <c r="G543" s="0" t="s">
        <v>446</v>
      </c>
      <c r="H543" s="5">
        <v>66.639300</v>
      </c>
    </row>
    <row r="544" spans="1:9">
      <c r="A544" s="22" t="str">
        <f>HYPERLINK("https://app.vivvix.com/360/KMI/IntelliDrive/ApplUI/Pages/CreativePages/CustomReportCreativeDetail.aspx?App=23&amp;ReportView=4&amp;Qid=1711245&amp;Row=536&amp;Col=1","No Title Assigned - #15263507548")</f>
        <v/>
      </c>
      <c r="B544" s="0" t="s">
        <v>810</v>
      </c>
      <c r="E544" s="0" t="s">
        <v>13</v>
      </c>
      <c r="F544" s="0" t="s">
        <v>13</v>
      </c>
      <c r="G544" s="0" t="s">
        <v>54</v>
      </c>
    </row>
    <row r="545" spans="1:9">
      <c r="A545" s="22" t="str">
        <f>HYPERLINK("https://app.vivvix.com/360/KMI/IntelliDrive/ApplUI/Pages/CreativePages/CustomReportCreativeDetail.aspx?App=23&amp;ReportView=4&amp;Qid=1711245&amp;Row=537&amp;Col=1","No Title Assigned - #15263507791")</f>
        <v/>
      </c>
      <c r="B545" s="0" t="s">
        <v>811</v>
      </c>
      <c r="E545" s="0" t="s">
        <v>13</v>
      </c>
      <c r="F545" s="0" t="s">
        <v>13</v>
      </c>
      <c r="G545" s="0" t="s">
        <v>54</v>
      </c>
      <c r="H545" s="5">
        <v>5657.325800</v>
      </c>
    </row>
    <row r="546" spans="1:9">
      <c r="A546" s="22" t="str">
        <f>HYPERLINK("https://app.vivvix.com/360/KMI/IntelliDrive/ApplUI/Pages/CreativePages/CustomReportCreativeDetail.aspx?App=23&amp;ReportView=4&amp;Qid=1711245&amp;Row=538&amp;Col=1","No Title Assigned - #15263525564")</f>
        <v/>
      </c>
      <c r="B546" s="0" t="s">
        <v>812</v>
      </c>
      <c r="E546" s="0" t="s">
        <v>13</v>
      </c>
      <c r="F546" s="0" t="s">
        <v>13</v>
      </c>
      <c r="G546" s="0" t="s">
        <v>54</v>
      </c>
    </row>
    <row r="547" spans="1:9">
      <c r="A547" s="22" t="str">
        <f>HYPERLINK("https://app.vivvix.com/360/KMI/IntelliDrive/ApplUI/Pages/CreativePages/CustomReportCreativeDetail.aspx?App=23&amp;ReportView=4&amp;Qid=1711245&amp;Row=539&amp;Col=1","No Title Assigned - #15263547167")</f>
        <v/>
      </c>
      <c r="B547" s="0" t="s">
        <v>813</v>
      </c>
      <c r="E547" s="0" t="s">
        <v>13</v>
      </c>
      <c r="F547" s="0" t="s">
        <v>13</v>
      </c>
      <c r="G547" s="0" t="s">
        <v>54</v>
      </c>
    </row>
    <row r="548" spans="1:9">
      <c r="A548" s="22" t="str">
        <f>HYPERLINK("https://app.vivvix.com/360/KMI/IntelliDrive/ApplUI/Pages/CreativePages/CustomReportCreativeDetail.aspx?App=23&amp;ReportView=4&amp;Qid=1711245&amp;Row=540&amp;Col=1","No Title Assigned - #15263564204")</f>
        <v/>
      </c>
      <c r="B548" s="0" t="s">
        <v>814</v>
      </c>
      <c r="C548" s="0" t="s">
        <v>815</v>
      </c>
      <c r="D548" s="0" t="s">
        <v>815</v>
      </c>
      <c r="E548" s="0" t="s">
        <v>13</v>
      </c>
      <c r="F548" s="0" t="s">
        <v>14</v>
      </c>
      <c r="G548" s="0" t="s">
        <v>15</v>
      </c>
      <c r="H548" s="5">
        <v>1953.820800</v>
      </c>
    </row>
    <row r="549" spans="1:9">
      <c r="A549" s="22" t="str">
        <f>HYPERLINK("https://app.vivvix.com/360/KMI/IntelliDrive/ApplUI/Pages/CreativePages/CustomReportCreativeDetail.aspx?App=23&amp;ReportView=4&amp;Qid=1711245&amp;Row=541&amp;Col=1","No Title Assigned - #15263564218")</f>
        <v/>
      </c>
      <c r="B549" s="0" t="s">
        <v>816</v>
      </c>
      <c r="C549" s="0" t="s">
        <v>817</v>
      </c>
      <c r="D549" s="0" t="s">
        <v>817</v>
      </c>
      <c r="E549" s="0" t="s">
        <v>13</v>
      </c>
      <c r="F549" s="0" t="s">
        <v>14</v>
      </c>
      <c r="G549" s="0" t="s">
        <v>15</v>
      </c>
      <c r="H549" s="5">
        <v>1390.514300</v>
      </c>
    </row>
    <row r="550" spans="1:9">
      <c r="A550" s="22" t="str">
        <f>HYPERLINK("https://app.vivvix.com/360/KMI/IntelliDrive/ApplUI/Pages/CreativePages/CustomReportCreativeDetail.aspx?App=23&amp;ReportView=4&amp;Qid=1711245&amp;Row=542&amp;Col=1","No Title Assigned - #15263567928")</f>
        <v/>
      </c>
      <c r="B550" s="0" t="s">
        <v>818</v>
      </c>
      <c r="E550" s="0" t="s">
        <v>13</v>
      </c>
      <c r="F550" s="0" t="s">
        <v>540</v>
      </c>
      <c r="G550" s="0" t="s">
        <v>541</v>
      </c>
      <c r="H550" s="5">
        <v>20259.543000</v>
      </c>
    </row>
    <row r="551" spans="1:9">
      <c r="A551" s="22" t="str">
        <f>HYPERLINK("https://app.vivvix.com/360/KMI/IntelliDrive/ApplUI/Pages/CreativePages/CustomReportCreativeDetail.aspx?App=23&amp;ReportView=4&amp;Qid=1711245&amp;Row=543&amp;Col=1","No Title Assigned - #15263567928")</f>
        <v/>
      </c>
      <c r="B551" s="0" t="s">
        <v>818</v>
      </c>
      <c r="C551" s="0" t="s">
        <v>819</v>
      </c>
      <c r="D551" s="0" t="s">
        <v>819</v>
      </c>
      <c r="E551" s="0" t="s">
        <v>13</v>
      </c>
      <c r="F551" s="0" t="s">
        <v>540</v>
      </c>
      <c r="G551" s="0" t="s">
        <v>541</v>
      </c>
      <c r="H551" s="5">
        <v>121.350000</v>
      </c>
    </row>
    <row r="552" spans="1:9">
      <c r="A552" s="22" t="str">
        <f>HYPERLINK("https://app.vivvix.com/360/KMI/IntelliDrive/ApplUI/Pages/CreativePages/CustomReportCreativeDetail.aspx?App=23&amp;ReportView=4&amp;Qid=1711245&amp;Row=544&amp;Col=1","No Title Assigned - #15263568157")</f>
        <v/>
      </c>
      <c r="B552" s="0" t="s">
        <v>820</v>
      </c>
      <c r="E552" s="0" t="s">
        <v>13</v>
      </c>
      <c r="F552" s="0" t="s">
        <v>14</v>
      </c>
      <c r="G552" s="0" t="s">
        <v>15</v>
      </c>
      <c r="H552" s="5">
        <v>2747.770800</v>
      </c>
    </row>
    <row r="553" spans="1:9">
      <c r="A553" s="22" t="str">
        <f>HYPERLINK("https://app.vivvix.com/360/KMI/IntelliDrive/ApplUI/Pages/CreativePages/CustomReportCreativeDetail.aspx?App=23&amp;ReportView=4&amp;Qid=1711245&amp;Row=545&amp;Col=1","No Title Assigned - #15263580250")</f>
        <v/>
      </c>
      <c r="B553" s="0" t="s">
        <v>821</v>
      </c>
      <c r="E553" s="0" t="s">
        <v>13</v>
      </c>
      <c r="F553" s="0" t="s">
        <v>13</v>
      </c>
      <c r="G553" s="0" t="s">
        <v>54</v>
      </c>
    </row>
    <row r="554" spans="1:9">
      <c r="A554" s="22" t="str">
        <f>HYPERLINK("https://app.vivvix.com/360/KMI/IntelliDrive/ApplUI/Pages/CreativePages/CustomReportCreativeDetail.aspx?App=23&amp;ReportView=4&amp;Qid=1711245&amp;Row=546&amp;Col=1","No Title Assigned - #15263593898")</f>
        <v/>
      </c>
      <c r="B554" s="0" t="s">
        <v>822</v>
      </c>
      <c r="E554" s="0" t="s">
        <v>13</v>
      </c>
      <c r="F554" s="0" t="s">
        <v>13</v>
      </c>
      <c r="G554" s="0" t="s">
        <v>54</v>
      </c>
    </row>
    <row r="555" spans="1:9">
      <c r="A555" s="22" t="str">
        <f>HYPERLINK("https://app.vivvix.com/360/KMI/IntelliDrive/ApplUI/Pages/CreativePages/CustomReportCreativeDetail.aspx?App=23&amp;ReportView=4&amp;Qid=1711245&amp;Row=547&amp;Col=1","No Title Assigned - #15263604379")</f>
        <v/>
      </c>
      <c r="B555" s="0" t="s">
        <v>823</v>
      </c>
      <c r="C555" s="0" t="s">
        <v>824</v>
      </c>
      <c r="D555" s="0" t="s">
        <v>824</v>
      </c>
      <c r="E555" s="0" t="s">
        <v>13</v>
      </c>
      <c r="F555" s="0" t="s">
        <v>530</v>
      </c>
      <c r="G555" s="0" t="s">
        <v>531</v>
      </c>
      <c r="H555" s="5">
        <v>1029.116200</v>
      </c>
    </row>
    <row r="556" spans="1:9">
      <c r="A556" s="22" t="str">
        <f>HYPERLINK("https://app.vivvix.com/360/KMI/IntelliDrive/ApplUI/Pages/CreativePages/CustomReportCreativeDetail.aspx?App=23&amp;ReportView=4&amp;Qid=1711245&amp;Row=548&amp;Col=1","No Title Assigned - #15263606415")</f>
        <v/>
      </c>
      <c r="B556" s="0" t="s">
        <v>825</v>
      </c>
      <c r="C556" s="0" t="s">
        <v>826</v>
      </c>
      <c r="D556" s="0" t="s">
        <v>826</v>
      </c>
      <c r="E556" s="0" t="s">
        <v>13</v>
      </c>
      <c r="F556" s="0" t="s">
        <v>14</v>
      </c>
      <c r="G556" s="0" t="s">
        <v>15</v>
      </c>
      <c r="H556" s="5">
        <v>1334.513200</v>
      </c>
    </row>
    <row r="557" spans="1:9">
      <c r="A557" s="22" t="str">
        <f>HYPERLINK("https://app.vivvix.com/360/KMI/IntelliDrive/ApplUI/Pages/CreativePages/CustomReportCreativeDetail.aspx?App=23&amp;ReportView=4&amp;Qid=1711245&amp;Row=549&amp;Col=1","No Title Assigned - #15263614981")</f>
        <v/>
      </c>
      <c r="B557" s="0" t="s">
        <v>827</v>
      </c>
      <c r="C557" s="0" t="s">
        <v>805</v>
      </c>
      <c r="D557" s="0" t="s">
        <v>805</v>
      </c>
      <c r="E557" s="0" t="s">
        <v>13</v>
      </c>
      <c r="F557" s="0" t="s">
        <v>17</v>
      </c>
      <c r="G557" s="0" t="s">
        <v>446</v>
      </c>
      <c r="H557" s="5">
        <v>449.726500</v>
      </c>
    </row>
    <row r="558" spans="1:9">
      <c r="A558" s="22" t="str">
        <f>HYPERLINK("https://app.vivvix.com/360/KMI/IntelliDrive/ApplUI/Pages/CreativePages/CustomReportCreativeDetail.aspx?App=23&amp;ReportView=4&amp;Qid=1711245&amp;Row=550&amp;Col=1","No Title Assigned - #15263646141")</f>
        <v/>
      </c>
      <c r="B558" s="0" t="s">
        <v>828</v>
      </c>
      <c r="C558" s="0" t="s">
        <v>829</v>
      </c>
      <c r="D558" s="0" t="s">
        <v>829</v>
      </c>
      <c r="E558" s="0" t="s">
        <v>13</v>
      </c>
      <c r="F558" s="0" t="s">
        <v>13</v>
      </c>
      <c r="G558" s="0" t="s">
        <v>576</v>
      </c>
      <c r="H558" s="5">
        <v>584.739600</v>
      </c>
    </row>
    <row r="559" spans="1:9">
      <c r="A559" s="22" t="str">
        <f>HYPERLINK("https://app.vivvix.com/360/KMI/IntelliDrive/ApplUI/Pages/CreativePages/CustomReportCreativeDetail.aspx?App=23&amp;ReportView=4&amp;Qid=1711245&amp;Row=551&amp;Col=1","No Title Assigned - #15263649991")</f>
        <v/>
      </c>
      <c r="B559" s="0" t="s">
        <v>830</v>
      </c>
      <c r="E559" s="0" t="s">
        <v>13</v>
      </c>
      <c r="F559" s="0" t="s">
        <v>13</v>
      </c>
      <c r="G559" s="0" t="s">
        <v>54</v>
      </c>
    </row>
    <row r="560" spans="1:9">
      <c r="A560" s="22" t="str">
        <f>HYPERLINK("https://app.vivvix.com/360/KMI/IntelliDrive/ApplUI/Pages/CreativePages/CustomReportCreativeDetail.aspx?App=23&amp;ReportView=4&amp;Qid=1711245&amp;Row=552&amp;Col=1","No Title Assigned - #15263666979")</f>
        <v/>
      </c>
      <c r="B560" s="0" t="s">
        <v>831</v>
      </c>
      <c r="C560" s="0" t="s">
        <v>832</v>
      </c>
      <c r="D560" s="0" t="s">
        <v>832</v>
      </c>
      <c r="E560" s="0" t="s">
        <v>13</v>
      </c>
      <c r="F560" s="0" t="s">
        <v>14</v>
      </c>
      <c r="G560" s="0" t="s">
        <v>15</v>
      </c>
      <c r="H560" s="5">
        <v>680.068300</v>
      </c>
    </row>
    <row r="561" spans="1:9">
      <c r="A561" s="22" t="str">
        <f>HYPERLINK("https://app.vivvix.com/360/KMI/IntelliDrive/ApplUI/Pages/CreativePages/CustomReportCreativeDetail.aspx?App=23&amp;ReportView=4&amp;Qid=1711245&amp;Row=553&amp;Col=1","No Title Assigned - #15263690299")</f>
        <v/>
      </c>
      <c r="B561" s="0" t="s">
        <v>833</v>
      </c>
      <c r="E561" s="0" t="s">
        <v>13</v>
      </c>
      <c r="F561" s="0" t="s">
        <v>14</v>
      </c>
      <c r="G561" s="0" t="s">
        <v>15</v>
      </c>
      <c r="H561" s="5">
        <v>1109.276300</v>
      </c>
    </row>
    <row r="562" spans="1:9">
      <c r="A562" s="22" t="str">
        <f>HYPERLINK("https://app.vivvix.com/360/KMI/IntelliDrive/ApplUI/Pages/CreativePages/CustomReportCreativeDetail.aspx?App=23&amp;ReportView=4&amp;Qid=1711245&amp;Row=554&amp;Col=1","No Title Assigned - #15263690299")</f>
        <v/>
      </c>
      <c r="B562" s="0" t="s">
        <v>833</v>
      </c>
      <c r="C562" s="0" t="s">
        <v>834</v>
      </c>
      <c r="D562" s="0" t="s">
        <v>834</v>
      </c>
      <c r="E562" s="0" t="s">
        <v>13</v>
      </c>
      <c r="F562" s="0" t="s">
        <v>14</v>
      </c>
      <c r="G562" s="0" t="s">
        <v>15</v>
      </c>
      <c r="H562" s="5">
        <v>3894.712200</v>
      </c>
    </row>
    <row r="563" spans="1:9">
      <c r="A563" s="22" t="str">
        <f>HYPERLINK("https://app.vivvix.com/360/KMI/IntelliDrive/ApplUI/Pages/CreativePages/CustomReportCreativeDetail.aspx?App=23&amp;ReportView=4&amp;Qid=1711245&amp;Row=555&amp;Col=1","No Title Assigned - #15263704949")</f>
        <v/>
      </c>
      <c r="B563" s="0" t="s">
        <v>835</v>
      </c>
      <c r="E563" s="0" t="s">
        <v>13</v>
      </c>
      <c r="F563" s="0" t="s">
        <v>13</v>
      </c>
      <c r="G563" s="0" t="s">
        <v>54</v>
      </c>
    </row>
    <row r="564" spans="1:9">
      <c r="A564" s="22" t="str">
        <f>HYPERLINK("https://app.vivvix.com/360/KMI/IntelliDrive/ApplUI/Pages/CreativePages/CustomReportCreativeDetail.aspx?App=23&amp;ReportView=4&amp;Qid=1711245&amp;Row=556&amp;Col=1","No Title Assigned - #15263708571")</f>
        <v/>
      </c>
      <c r="B564" s="0" t="s">
        <v>836</v>
      </c>
      <c r="C564" s="0" t="s">
        <v>837</v>
      </c>
      <c r="D564" s="0" t="s">
        <v>837</v>
      </c>
      <c r="E564" s="0" t="s">
        <v>13</v>
      </c>
      <c r="F564" s="0" t="s">
        <v>14</v>
      </c>
      <c r="G564" s="0" t="s">
        <v>15</v>
      </c>
      <c r="H564" s="5">
        <v>744.712400</v>
      </c>
    </row>
    <row r="565" spans="1:9">
      <c r="A565" s="22" t="str">
        <f>HYPERLINK("https://app.vivvix.com/360/KMI/IntelliDrive/ApplUI/Pages/CreativePages/CustomReportCreativeDetail.aspx?App=23&amp;ReportView=4&amp;Qid=1711245&amp;Row=557&amp;Col=1","No Title Assigned - #15263709130")</f>
        <v/>
      </c>
      <c r="B565" s="0" t="s">
        <v>838</v>
      </c>
      <c r="E565" s="0" t="s">
        <v>13</v>
      </c>
      <c r="F565" s="0" t="s">
        <v>13</v>
      </c>
      <c r="G565" s="0" t="s">
        <v>54</v>
      </c>
      <c r="H565" s="5">
        <v>47337.878700</v>
      </c>
    </row>
    <row r="566" spans="1:9">
      <c r="A566" s="22" t="str">
        <f>HYPERLINK("https://app.vivvix.com/360/KMI/IntelliDrive/ApplUI/Pages/CreativePages/CustomReportCreativeDetail.aspx?App=23&amp;ReportView=4&amp;Qid=1711245&amp;Row=558&amp;Col=1","No Title Assigned - #15263763671")</f>
        <v/>
      </c>
      <c r="B566" s="0" t="s">
        <v>839</v>
      </c>
      <c r="E566" s="0" t="s">
        <v>13</v>
      </c>
      <c r="F566" s="0" t="s">
        <v>13</v>
      </c>
      <c r="G566" s="0" t="s">
        <v>54</v>
      </c>
      <c r="H566" s="5">
        <v>4265.175200</v>
      </c>
    </row>
    <row r="567" spans="1:9">
      <c r="A567" s="22" t="str">
        <f>HYPERLINK("https://app.vivvix.com/360/KMI/IntelliDrive/ApplUI/Pages/CreativePages/CustomReportCreativeDetail.aspx?App=23&amp;ReportView=4&amp;Qid=1711245&amp;Row=559&amp;Col=1","No Title Assigned - #15263765089")</f>
        <v/>
      </c>
      <c r="B567" s="0" t="s">
        <v>840</v>
      </c>
      <c r="C567" s="0" t="s">
        <v>841</v>
      </c>
      <c r="D567" s="0" t="s">
        <v>841</v>
      </c>
      <c r="E567" s="0" t="s">
        <v>13</v>
      </c>
      <c r="F567" s="0" t="s">
        <v>14</v>
      </c>
      <c r="G567" s="0" t="s">
        <v>15</v>
      </c>
      <c r="H567" s="5">
        <v>744.712400</v>
      </c>
    </row>
    <row r="568" spans="1:9">
      <c r="A568" s="22" t="str">
        <f>HYPERLINK("https://app.vivvix.com/360/KMI/IntelliDrive/ApplUI/Pages/CreativePages/CustomReportCreativeDetail.aspx?App=23&amp;ReportView=4&amp;Qid=1711245&amp;Row=560&amp;Col=1","No Title Assigned - #15263772768")</f>
        <v/>
      </c>
      <c r="B568" s="0" t="s">
        <v>842</v>
      </c>
      <c r="C568" s="0" t="s">
        <v>843</v>
      </c>
      <c r="D568" s="0" t="s">
        <v>843</v>
      </c>
      <c r="E568" s="0" t="s">
        <v>13</v>
      </c>
      <c r="F568" s="0" t="s">
        <v>14</v>
      </c>
      <c r="G568" s="0" t="s">
        <v>15</v>
      </c>
      <c r="H568" s="5">
        <v>1803.636300</v>
      </c>
    </row>
    <row r="569" spans="1:9">
      <c r="A569" s="22" t="str">
        <f>HYPERLINK("https://app.vivvix.com/360/KMI/IntelliDrive/ApplUI/Pages/CreativePages/CustomReportCreativeDetail.aspx?App=23&amp;ReportView=4&amp;Qid=1711245&amp;Row=561&amp;Col=1","No Title Assigned - #15263775799")</f>
        <v/>
      </c>
      <c r="B569" s="0" t="s">
        <v>844</v>
      </c>
      <c r="C569" s="0" t="s">
        <v>845</v>
      </c>
      <c r="D569" s="0" t="s">
        <v>845</v>
      </c>
      <c r="E569" s="0" t="s">
        <v>13</v>
      </c>
      <c r="F569" s="0" t="s">
        <v>13</v>
      </c>
      <c r="G569" s="0" t="s">
        <v>35</v>
      </c>
      <c r="H569" s="5">
        <v>302638.601100</v>
      </c>
    </row>
    <row r="570" spans="1:9">
      <c r="A570" s="22" t="str">
        <f>HYPERLINK("https://app.vivvix.com/360/KMI/IntelliDrive/ApplUI/Pages/CreativePages/CustomReportCreativeDetail.aspx?App=23&amp;ReportView=4&amp;Qid=1711245&amp;Row=562&amp;Col=1","No Title Assigned - #15263793428")</f>
        <v/>
      </c>
      <c r="B570" s="0" t="s">
        <v>846</v>
      </c>
      <c r="C570" s="0" t="s">
        <v>847</v>
      </c>
      <c r="D570" s="0" t="s">
        <v>847</v>
      </c>
      <c r="E570" s="0" t="s">
        <v>13</v>
      </c>
      <c r="F570" s="0" t="s">
        <v>13</v>
      </c>
      <c r="G570" s="0" t="s">
        <v>121</v>
      </c>
      <c r="H570" s="5">
        <v>1759.389900</v>
      </c>
    </row>
    <row r="571" spans="1:9">
      <c r="A571" s="22" t="str">
        <f>HYPERLINK("https://app.vivvix.com/360/KMI/IntelliDrive/ApplUI/Pages/CreativePages/CustomReportCreativeDetail.aspx?App=23&amp;ReportView=4&amp;Qid=1711245&amp;Row=563&amp;Col=1","No Title Assigned - #15263793450")</f>
        <v/>
      </c>
      <c r="B571" s="0" t="s">
        <v>848</v>
      </c>
      <c r="C571" s="0" t="s">
        <v>849</v>
      </c>
      <c r="D571" s="0" t="s">
        <v>849</v>
      </c>
      <c r="E571" s="0" t="s">
        <v>13</v>
      </c>
      <c r="F571" s="0" t="s">
        <v>17</v>
      </c>
      <c r="G571" s="0" t="s">
        <v>446</v>
      </c>
      <c r="H571" s="5">
        <v>880.967800</v>
      </c>
    </row>
    <row r="572" spans="1:9">
      <c r="A572" s="22" t="str">
        <f>HYPERLINK("https://app.vivvix.com/360/KMI/IntelliDrive/ApplUI/Pages/CreativePages/CustomReportCreativeDetail.aspx?App=23&amp;ReportView=4&amp;Qid=1711245&amp;Row=564&amp;Col=1","No Title Assigned - #15263793469")</f>
        <v/>
      </c>
      <c r="B572" s="0" t="s">
        <v>850</v>
      </c>
      <c r="C572" s="0" t="s">
        <v>851</v>
      </c>
      <c r="D572" s="0" t="s">
        <v>851</v>
      </c>
      <c r="E572" s="0" t="s">
        <v>13</v>
      </c>
      <c r="F572" s="0" t="s">
        <v>17</v>
      </c>
      <c r="G572" s="0" t="s">
        <v>446</v>
      </c>
      <c r="H572" s="5">
        <v>167.430600</v>
      </c>
    </row>
    <row r="573" spans="1:9">
      <c r="A573" s="22" t="str">
        <f>HYPERLINK("https://app.vivvix.com/360/KMI/IntelliDrive/ApplUI/Pages/CreativePages/CustomReportCreativeDetail.aspx?App=23&amp;ReportView=4&amp;Qid=1711245&amp;Row=565&amp;Col=1","No Title Assigned - #15263793524")</f>
        <v/>
      </c>
      <c r="B573" s="0" t="s">
        <v>852</v>
      </c>
      <c r="C573" s="0" t="s">
        <v>853</v>
      </c>
      <c r="D573" s="0" t="s">
        <v>853</v>
      </c>
      <c r="E573" s="0" t="s">
        <v>13</v>
      </c>
      <c r="F573" s="0" t="s">
        <v>13</v>
      </c>
      <c r="G573" s="0" t="s">
        <v>121</v>
      </c>
      <c r="H573" s="5">
        <v>148.997400</v>
      </c>
    </row>
    <row r="574" spans="1:9">
      <c r="A574" s="22" t="str">
        <f>HYPERLINK("https://app.vivvix.com/360/KMI/IntelliDrive/ApplUI/Pages/CreativePages/CustomReportCreativeDetail.aspx?App=23&amp;ReportView=4&amp;Qid=1711245&amp;Row=566&amp;Col=1","No Title Assigned - #15263800877")</f>
        <v/>
      </c>
      <c r="B574" s="0" t="s">
        <v>854</v>
      </c>
      <c r="E574" s="0" t="s">
        <v>13</v>
      </c>
      <c r="F574" s="0" t="s">
        <v>13</v>
      </c>
      <c r="G574" s="0" t="s">
        <v>54</v>
      </c>
    </row>
    <row r="575" spans="1:9">
      <c r="A575" s="22" t="str">
        <f>HYPERLINK("https://app.vivvix.com/360/KMI/IntelliDrive/ApplUI/Pages/CreativePages/CustomReportCreativeDetail.aspx?App=23&amp;ReportView=4&amp;Qid=1711245&amp;Row=567&amp;Col=1","No Title Assigned - #15263806141")</f>
        <v/>
      </c>
      <c r="B575" s="0" t="s">
        <v>855</v>
      </c>
      <c r="E575" s="0" t="s">
        <v>13</v>
      </c>
      <c r="F575" s="0" t="s">
        <v>13</v>
      </c>
      <c r="G575" s="0" t="s">
        <v>54</v>
      </c>
      <c r="H575" s="5">
        <v>5962.470400</v>
      </c>
    </row>
    <row r="576" spans="1:9">
      <c r="A576" s="22" t="str">
        <f>HYPERLINK("https://app.vivvix.com/360/KMI/IntelliDrive/ApplUI/Pages/CreativePages/CustomReportCreativeDetail.aspx?App=23&amp;ReportView=4&amp;Qid=1711245&amp;Row=568&amp;Col=1","No Title Assigned - #15263809791")</f>
        <v/>
      </c>
      <c r="B576" s="0" t="s">
        <v>856</v>
      </c>
      <c r="C576" s="0" t="s">
        <v>857</v>
      </c>
      <c r="D576" s="0" t="s">
        <v>857</v>
      </c>
      <c r="E576" s="0" t="s">
        <v>13</v>
      </c>
      <c r="F576" s="0" t="s">
        <v>13</v>
      </c>
      <c r="G576" s="0" t="s">
        <v>54</v>
      </c>
    </row>
    <row r="577" spans="1:9">
      <c r="A577" s="22" t="str">
        <f>HYPERLINK("https://app.vivvix.com/360/KMI/IntelliDrive/ApplUI/Pages/CreativePages/CustomReportCreativeDetail.aspx?App=23&amp;ReportView=4&amp;Qid=1711245&amp;Row=569&amp;Col=1","No Title Assigned - #15263810406")</f>
        <v/>
      </c>
      <c r="B577" s="0" t="s">
        <v>858</v>
      </c>
      <c r="E577" s="0" t="s">
        <v>13</v>
      </c>
      <c r="F577" s="0" t="s">
        <v>13</v>
      </c>
      <c r="G577" s="0" t="s">
        <v>54</v>
      </c>
    </row>
    <row r="578" spans="1:9">
      <c r="A578" s="22" t="str">
        <f>HYPERLINK("https://app.vivvix.com/360/KMI/IntelliDrive/ApplUI/Pages/CreativePages/CustomReportCreativeDetail.aspx?App=23&amp;ReportView=4&amp;Qid=1711245&amp;Row=570&amp;Col=1","No Title Assigned - #15263816379")</f>
        <v/>
      </c>
      <c r="B578" s="0" t="s">
        <v>859</v>
      </c>
      <c r="E578" s="0" t="s">
        <v>13</v>
      </c>
      <c r="F578" s="0" t="s">
        <v>13</v>
      </c>
      <c r="G578" s="0" t="s">
        <v>54</v>
      </c>
    </row>
    <row r="579" spans="1:9">
      <c r="A579" s="22" t="str">
        <f>HYPERLINK("https://app.vivvix.com/360/KMI/IntelliDrive/ApplUI/Pages/CreativePages/CustomReportCreativeDetail.aspx?App=23&amp;ReportView=4&amp;Qid=1711245&amp;Row=571&amp;Col=1","No Title Assigned - #15263818492")</f>
        <v/>
      </c>
      <c r="B579" s="0" t="s">
        <v>860</v>
      </c>
      <c r="C579" s="0" t="s">
        <v>861</v>
      </c>
      <c r="D579" s="0" t="s">
        <v>861</v>
      </c>
      <c r="E579" s="0" t="s">
        <v>13</v>
      </c>
      <c r="F579" s="0" t="s">
        <v>530</v>
      </c>
      <c r="G579" s="0" t="s">
        <v>531</v>
      </c>
      <c r="H579" s="5">
        <v>514.558100</v>
      </c>
    </row>
    <row r="580" spans="1:9">
      <c r="A580" s="22" t="str">
        <f>HYPERLINK("https://app.vivvix.com/360/KMI/IntelliDrive/ApplUI/Pages/CreativePages/CustomReportCreativeDetail.aspx?App=23&amp;ReportView=4&amp;Qid=1711245&amp;Row=572&amp;Col=1","No Title Assigned - #15263820492")</f>
        <v/>
      </c>
      <c r="B580" s="0" t="s">
        <v>862</v>
      </c>
      <c r="C580" s="0" t="s">
        <v>863</v>
      </c>
      <c r="D580" s="0" t="s">
        <v>863</v>
      </c>
      <c r="E580" s="0" t="s">
        <v>13</v>
      </c>
      <c r="F580" s="0" t="s">
        <v>14</v>
      </c>
      <c r="G580" s="0" t="s">
        <v>15</v>
      </c>
      <c r="H580" s="5">
        <v>1597.087200</v>
      </c>
    </row>
    <row r="581" spans="1:9">
      <c r="A581" s="22" t="str">
        <f>HYPERLINK("https://app.vivvix.com/360/KMI/IntelliDrive/ApplUI/Pages/CreativePages/CustomReportCreativeDetail.aspx?App=23&amp;ReportView=4&amp;Qid=1711245&amp;Row=573&amp;Col=1","No Title Assigned - #15263820944")</f>
        <v/>
      </c>
      <c r="B581" s="0" t="s">
        <v>864</v>
      </c>
      <c r="C581" s="0" t="s">
        <v>865</v>
      </c>
      <c r="D581" s="0" t="s">
        <v>865</v>
      </c>
      <c r="E581" s="0" t="s">
        <v>13</v>
      </c>
      <c r="F581" s="0" t="s">
        <v>14</v>
      </c>
      <c r="G581" s="0" t="s">
        <v>15</v>
      </c>
      <c r="H581" s="5">
        <v>203.282300</v>
      </c>
    </row>
    <row r="582" spans="1:9">
      <c r="A582" s="22" t="str">
        <f>HYPERLINK("https://app.vivvix.com/360/KMI/IntelliDrive/ApplUI/Pages/CreativePages/CustomReportCreativeDetail.aspx?App=23&amp;ReportView=4&amp;Qid=1711245&amp;Row=574&amp;Col=1","No Title Assigned - #15263824239")</f>
        <v/>
      </c>
      <c r="B582" s="0" t="s">
        <v>866</v>
      </c>
      <c r="C582" s="0" t="s">
        <v>867</v>
      </c>
      <c r="D582" s="0" t="s">
        <v>867</v>
      </c>
      <c r="E582" s="0" t="s">
        <v>13</v>
      </c>
      <c r="F582" s="0" t="s">
        <v>540</v>
      </c>
      <c r="G582" s="0" t="s">
        <v>541</v>
      </c>
      <c r="H582" s="5">
        <v>2273.434600</v>
      </c>
    </row>
    <row r="583" spans="1:9">
      <c r="A583" s="22" t="str">
        <f>HYPERLINK("https://app.vivvix.com/360/KMI/IntelliDrive/ApplUI/Pages/CreativePages/CustomReportCreativeDetail.aspx?App=23&amp;ReportView=4&amp;Qid=1711245&amp;Row=575&amp;Col=1","No Title Assigned - #15263825454")</f>
        <v/>
      </c>
      <c r="B583" s="0" t="s">
        <v>868</v>
      </c>
      <c r="C583" s="0" t="s">
        <v>869</v>
      </c>
      <c r="D583" s="0" t="s">
        <v>869</v>
      </c>
      <c r="E583" s="0" t="s">
        <v>13</v>
      </c>
      <c r="F583" s="0" t="s">
        <v>128</v>
      </c>
      <c r="G583" s="0" t="s">
        <v>456</v>
      </c>
      <c r="H583" s="5">
        <v>561.461000</v>
      </c>
    </row>
    <row r="584" spans="1:9">
      <c r="A584" s="22" t="str">
        <f>HYPERLINK("https://app.vivvix.com/360/KMI/IntelliDrive/ApplUI/Pages/CreativePages/CustomReportCreativeDetail.aspx?App=23&amp;ReportView=4&amp;Qid=1711245&amp;Row=576&amp;Col=1","No Title Assigned - #15263857240")</f>
        <v/>
      </c>
      <c r="B584" s="0" t="s">
        <v>870</v>
      </c>
      <c r="C584" s="0" t="s">
        <v>871</v>
      </c>
      <c r="D584" s="0" t="s">
        <v>871</v>
      </c>
      <c r="E584" s="0" t="s">
        <v>13</v>
      </c>
      <c r="F584" s="0" t="s">
        <v>14</v>
      </c>
      <c r="G584" s="0" t="s">
        <v>15</v>
      </c>
      <c r="H584" s="5">
        <v>42.167400</v>
      </c>
    </row>
    <row r="585" spans="1:9">
      <c r="A585" s="22" t="str">
        <f>HYPERLINK("https://app.vivvix.com/360/KMI/IntelliDrive/ApplUI/Pages/CreativePages/CustomReportCreativeDetail.aspx?App=23&amp;ReportView=4&amp;Qid=1711245&amp;Row=577&amp;Col=1","No Title Assigned - #15263862186")</f>
        <v/>
      </c>
      <c r="B585" s="0" t="s">
        <v>872</v>
      </c>
      <c r="E585" s="0" t="s">
        <v>13</v>
      </c>
      <c r="F585" s="0" t="s">
        <v>13</v>
      </c>
      <c r="G585" s="0" t="s">
        <v>54</v>
      </c>
      <c r="H585" s="5">
        <v>48.898200</v>
      </c>
    </row>
    <row r="586" spans="1:9">
      <c r="A586" s="22" t="str">
        <f>HYPERLINK("https://app.vivvix.com/360/KMI/IntelliDrive/ApplUI/Pages/CreativePages/CustomReportCreativeDetail.aspx?App=23&amp;ReportView=4&amp;Qid=1711245&amp;Row=578&amp;Col=1","No Title Assigned - #15263862610")</f>
        <v/>
      </c>
      <c r="B586" s="0" t="s">
        <v>873</v>
      </c>
      <c r="C586" s="0" t="s">
        <v>765</v>
      </c>
      <c r="D586" s="0" t="s">
        <v>765</v>
      </c>
      <c r="E586" s="0" t="s">
        <v>13</v>
      </c>
      <c r="F586" s="0" t="s">
        <v>14</v>
      </c>
      <c r="G586" s="0" t="s">
        <v>15</v>
      </c>
      <c r="H586" s="5">
        <v>128165.227500</v>
      </c>
    </row>
    <row r="587" spans="1:9">
      <c r="A587" s="22" t="str">
        <f>HYPERLINK("https://app.vivvix.com/360/KMI/IntelliDrive/ApplUI/Pages/CreativePages/CustomReportCreativeDetail.aspx?App=23&amp;ReportView=4&amp;Qid=1711245&amp;Row=579&amp;Col=1","No Title Assigned - #15263866364")</f>
        <v/>
      </c>
      <c r="B587" s="0" t="s">
        <v>874</v>
      </c>
      <c r="C587" s="0" t="s">
        <v>875</v>
      </c>
      <c r="D587" s="0" t="s">
        <v>875</v>
      </c>
      <c r="E587" s="0" t="s">
        <v>13</v>
      </c>
      <c r="F587" s="0" t="s">
        <v>540</v>
      </c>
      <c r="G587" s="0" t="s">
        <v>541</v>
      </c>
      <c r="H587" s="5">
        <v>2819.483100</v>
      </c>
    </row>
    <row r="588" spans="1:9">
      <c r="A588" s="22" t="str">
        <f>HYPERLINK("https://app.vivvix.com/360/KMI/IntelliDrive/ApplUI/Pages/CreativePages/CustomReportCreativeDetail.aspx?App=23&amp;ReportView=4&amp;Qid=1711245&amp;Row=580&amp;Col=1","No Title Assigned - #15263875128")</f>
        <v/>
      </c>
      <c r="B588" s="0" t="s">
        <v>876</v>
      </c>
      <c r="E588" s="0" t="s">
        <v>13</v>
      </c>
      <c r="F588" s="0" t="s">
        <v>13</v>
      </c>
      <c r="G588" s="0" t="s">
        <v>54</v>
      </c>
    </row>
    <row r="589" spans="1:9">
      <c r="A589" s="22" t="str">
        <f>HYPERLINK("https://app.vivvix.com/360/KMI/IntelliDrive/ApplUI/Pages/CreativePages/CustomReportCreativeDetail.aspx?App=23&amp;ReportView=4&amp;Qid=1711245&amp;Row=581&amp;Col=1","No Title Assigned - #15263882117")</f>
        <v/>
      </c>
      <c r="B589" s="0" t="s">
        <v>877</v>
      </c>
      <c r="C589" s="0" t="s">
        <v>878</v>
      </c>
      <c r="D589" s="0" t="s">
        <v>878</v>
      </c>
      <c r="E589" s="0" t="s">
        <v>13</v>
      </c>
      <c r="F589" s="0" t="s">
        <v>13</v>
      </c>
      <c r="G589" s="0" t="s">
        <v>576</v>
      </c>
      <c r="H589" s="5">
        <v>4080.145900</v>
      </c>
    </row>
    <row r="590" spans="1:9">
      <c r="A590" s="22" t="str">
        <f>HYPERLINK("https://app.vivvix.com/360/KMI/IntelliDrive/ApplUI/Pages/CreativePages/CustomReportCreativeDetail.aspx?App=23&amp;ReportView=4&amp;Qid=1711245&amp;Row=582&amp;Col=1","No Title Assigned - #15263886413")</f>
        <v/>
      </c>
      <c r="B590" s="0" t="s">
        <v>879</v>
      </c>
      <c r="C590" s="0" t="s">
        <v>880</v>
      </c>
      <c r="D590" s="0" t="s">
        <v>880</v>
      </c>
      <c r="E590" s="0" t="s">
        <v>13</v>
      </c>
      <c r="F590" s="0" t="s">
        <v>530</v>
      </c>
      <c r="G590" s="0" t="s">
        <v>531</v>
      </c>
      <c r="H590" s="5">
        <v>100.738800</v>
      </c>
    </row>
    <row r="591" spans="1:9">
      <c r="A591" s="22" t="str">
        <f>HYPERLINK("https://app.vivvix.com/360/KMI/IntelliDrive/ApplUI/Pages/CreativePages/CustomReportCreativeDetail.aspx?App=23&amp;ReportView=4&amp;Qid=1711245&amp;Row=583&amp;Col=1","No Title Assigned - #15263912664")</f>
        <v/>
      </c>
      <c r="B591" s="0" t="s">
        <v>881</v>
      </c>
      <c r="C591" s="0" t="s">
        <v>882</v>
      </c>
      <c r="D591" s="0" t="s">
        <v>882</v>
      </c>
      <c r="E591" s="0" t="s">
        <v>13</v>
      </c>
      <c r="F591" s="0" t="s">
        <v>17</v>
      </c>
      <c r="G591" s="0" t="s">
        <v>446</v>
      </c>
      <c r="H591" s="5">
        <v>890.001300</v>
      </c>
    </row>
    <row r="592" spans="1:9">
      <c r="A592" s="22" t="str">
        <f>HYPERLINK("https://app.vivvix.com/360/KMI/IntelliDrive/ApplUI/Pages/CreativePages/CustomReportCreativeDetail.aspx?App=23&amp;ReportView=4&amp;Qid=1711245&amp;Row=584&amp;Col=1","No Title Assigned - #15263919162")</f>
        <v/>
      </c>
      <c r="B592" s="0" t="s">
        <v>883</v>
      </c>
      <c r="C592" s="0" t="s">
        <v>884</v>
      </c>
      <c r="D592" s="0" t="s">
        <v>884</v>
      </c>
      <c r="E592" s="0" t="s">
        <v>13</v>
      </c>
      <c r="F592" s="0" t="s">
        <v>14</v>
      </c>
      <c r="G592" s="0" t="s">
        <v>15</v>
      </c>
      <c r="H592" s="5">
        <v>166.778200</v>
      </c>
    </row>
    <row r="593" spans="1:9">
      <c r="A593" s="22" t="str">
        <f>HYPERLINK("https://app.vivvix.com/360/KMI/IntelliDrive/ApplUI/Pages/CreativePages/CustomReportCreativeDetail.aspx?App=23&amp;ReportView=4&amp;Qid=1711245&amp;Row=585&amp;Col=1","No Title Assigned - #15263920372")</f>
        <v/>
      </c>
      <c r="B593" s="0" t="s">
        <v>885</v>
      </c>
      <c r="E593" s="0" t="s">
        <v>13</v>
      </c>
      <c r="F593" s="0" t="s">
        <v>13</v>
      </c>
      <c r="G593" s="0" t="s">
        <v>54</v>
      </c>
    </row>
    <row r="594" spans="1:9">
      <c r="A594" s="22" t="str">
        <f>HYPERLINK("https://app.vivvix.com/360/KMI/IntelliDrive/ApplUI/Pages/CreativePages/CustomReportCreativeDetail.aspx?App=23&amp;ReportView=4&amp;Qid=1711245&amp;Row=586&amp;Col=1","No Title Assigned - #15263920677")</f>
        <v/>
      </c>
      <c r="B594" s="0" t="s">
        <v>886</v>
      </c>
      <c r="C594" s="0" t="s">
        <v>887</v>
      </c>
      <c r="D594" s="0" t="s">
        <v>887</v>
      </c>
      <c r="E594" s="0" t="s">
        <v>13</v>
      </c>
      <c r="F594" s="0" t="s">
        <v>17</v>
      </c>
      <c r="G594" s="0" t="s">
        <v>446</v>
      </c>
      <c r="H594" s="5">
        <v>9651.113700</v>
      </c>
    </row>
    <row r="595" spans="1:9">
      <c r="A595" s="22" t="str">
        <f>HYPERLINK("https://app.vivvix.com/360/KMI/IntelliDrive/ApplUI/Pages/CreativePages/CustomReportCreativeDetail.aspx?App=23&amp;ReportView=4&amp;Qid=1711245&amp;Row=587&amp;Col=1","No Title Assigned - #15263920970")</f>
        <v/>
      </c>
      <c r="B595" s="0" t="s">
        <v>888</v>
      </c>
      <c r="C595" s="0" t="s">
        <v>889</v>
      </c>
      <c r="D595" s="0" t="s">
        <v>889</v>
      </c>
      <c r="E595" s="0" t="s">
        <v>13</v>
      </c>
      <c r="F595" s="0" t="s">
        <v>128</v>
      </c>
      <c r="G595" s="0" t="s">
        <v>456</v>
      </c>
      <c r="H595" s="5">
        <v>1222.868300</v>
      </c>
    </row>
    <row r="596" spans="1:9">
      <c r="A596" s="22" t="str">
        <f>HYPERLINK("https://app.vivvix.com/360/KMI/IntelliDrive/ApplUI/Pages/CreativePages/CustomReportCreativeDetail.aspx?App=23&amp;ReportView=4&amp;Qid=1711245&amp;Row=588&amp;Col=1","No Title Assigned - #15263922843")</f>
        <v/>
      </c>
      <c r="B596" s="0" t="s">
        <v>890</v>
      </c>
      <c r="C596" s="0" t="s">
        <v>891</v>
      </c>
      <c r="D596" s="0" t="s">
        <v>891</v>
      </c>
      <c r="E596" s="0" t="s">
        <v>13</v>
      </c>
      <c r="F596" s="0" t="s">
        <v>17</v>
      </c>
      <c r="G596" s="0" t="s">
        <v>446</v>
      </c>
      <c r="H596" s="5">
        <v>192.865800</v>
      </c>
    </row>
    <row r="597" spans="1:9">
      <c r="A597" s="22" t="str">
        <f>HYPERLINK("https://app.vivvix.com/360/KMI/IntelliDrive/ApplUI/Pages/CreativePages/CustomReportCreativeDetail.aspx?App=23&amp;ReportView=4&amp;Qid=1711245&amp;Row=589&amp;Col=1","No Title Assigned - #15263924753")</f>
        <v/>
      </c>
      <c r="B597" s="0" t="s">
        <v>892</v>
      </c>
      <c r="E597" s="0" t="s">
        <v>13</v>
      </c>
      <c r="F597" s="0" t="s">
        <v>13</v>
      </c>
      <c r="G597" s="0" t="s">
        <v>54</v>
      </c>
      <c r="H597" s="5">
        <v>136.114400</v>
      </c>
    </row>
    <row r="598" spans="1:9">
      <c r="A598" s="22" t="str">
        <f>HYPERLINK("https://app.vivvix.com/360/KMI/IntelliDrive/ApplUI/Pages/CreativePages/CustomReportCreativeDetail.aspx?App=23&amp;ReportView=4&amp;Qid=1711245&amp;Row=590&amp;Col=1","No Title Assigned - #15263928833")</f>
        <v/>
      </c>
      <c r="B598" s="0" t="s">
        <v>893</v>
      </c>
      <c r="E598" s="0" t="s">
        <v>13</v>
      </c>
      <c r="F598" s="0" t="s">
        <v>13</v>
      </c>
      <c r="G598" s="0" t="s">
        <v>54</v>
      </c>
    </row>
    <row r="599" spans="1:9">
      <c r="A599" s="22" t="str">
        <f>HYPERLINK("https://app.vivvix.com/360/KMI/IntelliDrive/ApplUI/Pages/CreativePages/CustomReportCreativeDetail.aspx?App=23&amp;ReportView=4&amp;Qid=1711245&amp;Row=591&amp;Col=1","No Title Assigned - #15263933913")</f>
        <v/>
      </c>
      <c r="B599" s="0" t="s">
        <v>894</v>
      </c>
      <c r="C599" s="0" t="s">
        <v>895</v>
      </c>
      <c r="D599" s="0" t="s">
        <v>699</v>
      </c>
      <c r="E599" s="0" t="s">
        <v>13</v>
      </c>
      <c r="F599" s="0" t="s">
        <v>14</v>
      </c>
      <c r="G599" s="0" t="s">
        <v>15</v>
      </c>
      <c r="H599" s="5">
        <v>4526.159000</v>
      </c>
    </row>
    <row r="600" spans="1:9">
      <c r="A600" s="22" t="str">
        <f>HYPERLINK("https://app.vivvix.com/360/KMI/IntelliDrive/ApplUI/Pages/CreativePages/CustomReportCreativeDetail.aspx?App=23&amp;ReportView=4&amp;Qid=1711245&amp;Row=592&amp;Col=1","No Title Assigned - #15263974924")</f>
        <v/>
      </c>
      <c r="B600" s="0" t="s">
        <v>896</v>
      </c>
      <c r="E600" s="0" t="s">
        <v>13</v>
      </c>
      <c r="F600" s="0" t="s">
        <v>13</v>
      </c>
      <c r="G600" s="0" t="s">
        <v>54</v>
      </c>
      <c r="H600" s="5">
        <v>2575.079900</v>
      </c>
    </row>
    <row r="601" spans="1:9">
      <c r="A601" s="22" t="str">
        <f>HYPERLINK("https://app.vivvix.com/360/KMI/IntelliDrive/ApplUI/Pages/CreativePages/CustomReportCreativeDetail.aspx?App=23&amp;ReportView=4&amp;Qid=1711245&amp;Row=593&amp;Col=1","No Title Assigned - #15263987388")</f>
        <v/>
      </c>
      <c r="B601" s="0" t="s">
        <v>897</v>
      </c>
      <c r="C601" s="0" t="s">
        <v>898</v>
      </c>
      <c r="D601" s="0" t="s">
        <v>898</v>
      </c>
      <c r="E601" s="0" t="s">
        <v>13</v>
      </c>
      <c r="F601" s="0" t="s">
        <v>14</v>
      </c>
      <c r="G601" s="0" t="s">
        <v>15</v>
      </c>
      <c r="H601" s="5">
        <v>664.624400</v>
      </c>
    </row>
    <row r="602" spans="1:9">
      <c r="A602" s="22" t="str">
        <f>HYPERLINK("https://app.vivvix.com/360/KMI/IntelliDrive/ApplUI/Pages/CreativePages/CustomReportCreativeDetail.aspx?App=23&amp;ReportView=4&amp;Qid=1711245&amp;Row=594&amp;Col=1","No Title Assigned - #15263988258")</f>
        <v/>
      </c>
      <c r="B602" s="0" t="s">
        <v>899</v>
      </c>
      <c r="C602" s="0" t="s">
        <v>900</v>
      </c>
      <c r="D602" s="0" t="s">
        <v>900</v>
      </c>
      <c r="E602" s="0" t="s">
        <v>13</v>
      </c>
      <c r="F602" s="0" t="s">
        <v>17</v>
      </c>
      <c r="G602" s="0" t="s">
        <v>446</v>
      </c>
      <c r="H602" s="5">
        <v>484.723700</v>
      </c>
    </row>
    <row r="603" spans="1:9">
      <c r="A603" s="22" t="str">
        <f>HYPERLINK("https://app.vivvix.com/360/KMI/IntelliDrive/ApplUI/Pages/CreativePages/CustomReportCreativeDetail.aspx?App=23&amp;ReportView=4&amp;Qid=1711245&amp;Row=595&amp;Col=1","No Title Assigned - #15263993284")</f>
        <v/>
      </c>
      <c r="B603" s="0" t="s">
        <v>901</v>
      </c>
      <c r="C603" s="0" t="s">
        <v>902</v>
      </c>
      <c r="D603" s="0" t="s">
        <v>902</v>
      </c>
      <c r="E603" s="0" t="s">
        <v>13</v>
      </c>
      <c r="F603" s="0" t="s">
        <v>530</v>
      </c>
      <c r="G603" s="0" t="s">
        <v>531</v>
      </c>
      <c r="H603" s="5">
        <v>1547.099300</v>
      </c>
    </row>
    <row r="604" spans="1:9">
      <c r="A604" s="22" t="str">
        <f>HYPERLINK("https://app.vivvix.com/360/KMI/IntelliDrive/ApplUI/Pages/CreativePages/CustomReportCreativeDetail.aspx?App=23&amp;ReportView=4&amp;Qid=1711245&amp;Row=596&amp;Col=1","No Title Assigned - #15264019959")</f>
        <v/>
      </c>
      <c r="B604" s="0" t="s">
        <v>903</v>
      </c>
      <c r="E604" s="0" t="s">
        <v>13</v>
      </c>
      <c r="F604" s="0" t="s">
        <v>14</v>
      </c>
      <c r="G604" s="0" t="s">
        <v>15</v>
      </c>
      <c r="H604" s="5">
        <v>549.837700</v>
      </c>
    </row>
    <row r="605" spans="1:9">
      <c r="A605" s="22" t="str">
        <f>HYPERLINK("https://app.vivvix.com/360/KMI/IntelliDrive/ApplUI/Pages/CreativePages/CustomReportCreativeDetail.aspx?App=23&amp;ReportView=4&amp;Qid=1711245&amp;Row=597&amp;Col=1","No Title Assigned - #15264020030")</f>
        <v/>
      </c>
      <c r="B605" s="0" t="s">
        <v>904</v>
      </c>
      <c r="E605" s="0" t="s">
        <v>13</v>
      </c>
      <c r="F605" s="0" t="s">
        <v>14</v>
      </c>
      <c r="G605" s="0" t="s">
        <v>15</v>
      </c>
      <c r="H605" s="5">
        <v>549.837700</v>
      </c>
    </row>
    <row r="606" spans="1:9">
      <c r="A606" s="22" t="str">
        <f>HYPERLINK("https://app.vivvix.com/360/KMI/IntelliDrive/ApplUI/Pages/CreativePages/CustomReportCreativeDetail.aspx?App=23&amp;ReportView=4&amp;Qid=1711245&amp;Row=598&amp;Col=1","No Title Assigned - #15264030569")</f>
        <v/>
      </c>
      <c r="B606" s="0" t="s">
        <v>905</v>
      </c>
      <c r="C606" s="0" t="s">
        <v>906</v>
      </c>
      <c r="D606" s="0" t="s">
        <v>906</v>
      </c>
      <c r="E606" s="0" t="s">
        <v>13</v>
      </c>
      <c r="F606" s="0" t="s">
        <v>14</v>
      </c>
      <c r="G606" s="0" t="s">
        <v>15</v>
      </c>
      <c r="H606" s="5">
        <v>623.769200</v>
      </c>
    </row>
    <row r="607" spans="1:9">
      <c r="A607" s="22" t="str">
        <f>HYPERLINK("https://app.vivvix.com/360/KMI/IntelliDrive/ApplUI/Pages/CreativePages/CustomReportCreativeDetail.aspx?App=23&amp;ReportView=4&amp;Qid=1711245&amp;Row=599&amp;Col=1","No Title Assigned - #15264040524")</f>
        <v/>
      </c>
      <c r="B607" s="0" t="s">
        <v>907</v>
      </c>
      <c r="C607" s="0" t="s">
        <v>908</v>
      </c>
      <c r="D607" s="0" t="s">
        <v>908</v>
      </c>
      <c r="E607" s="0" t="s">
        <v>13</v>
      </c>
      <c r="F607" s="0" t="s">
        <v>128</v>
      </c>
      <c r="G607" s="0" t="s">
        <v>456</v>
      </c>
      <c r="H607" s="5">
        <v>4969.293300</v>
      </c>
    </row>
    <row r="608" spans="1:9">
      <c r="A608" s="22" t="str">
        <f>HYPERLINK("https://app.vivvix.com/360/KMI/IntelliDrive/ApplUI/Pages/CreativePages/CustomReportCreativeDetail.aspx?App=23&amp;ReportView=4&amp;Qid=1711245&amp;Row=600&amp;Col=1","No Title Assigned - #15264041670")</f>
        <v/>
      </c>
      <c r="B608" s="0" t="s">
        <v>909</v>
      </c>
      <c r="C608" s="0" t="s">
        <v>910</v>
      </c>
      <c r="D608" s="0" t="s">
        <v>910</v>
      </c>
      <c r="E608" s="0" t="s">
        <v>13</v>
      </c>
      <c r="F608" s="0" t="s">
        <v>14</v>
      </c>
      <c r="G608" s="0" t="s">
        <v>15</v>
      </c>
      <c r="H608" s="5">
        <v>1049.243800</v>
      </c>
    </row>
    <row r="609" spans="1:9">
      <c r="A609" s="22" t="str">
        <f>HYPERLINK("https://app.vivvix.com/360/KMI/IntelliDrive/ApplUI/Pages/CreativePages/CustomReportCreativeDetail.aspx?App=23&amp;ReportView=4&amp;Qid=1711245&amp;Row=601&amp;Col=1","No Title Assigned - #15264042849")</f>
        <v/>
      </c>
      <c r="B609" s="0" t="s">
        <v>911</v>
      </c>
      <c r="C609" s="0" t="s">
        <v>912</v>
      </c>
      <c r="D609" s="0" t="s">
        <v>912</v>
      </c>
      <c r="E609" s="0" t="s">
        <v>13</v>
      </c>
      <c r="F609" s="0" t="s">
        <v>13</v>
      </c>
      <c r="G609" s="0" t="s">
        <v>35</v>
      </c>
      <c r="H609" s="5">
        <v>13001.706800</v>
      </c>
    </row>
    <row r="610" spans="1:9">
      <c r="A610" s="22" t="str">
        <f>HYPERLINK("https://app.vivvix.com/360/KMI/IntelliDrive/ApplUI/Pages/CreativePages/CustomReportCreativeDetail.aspx?App=23&amp;ReportView=4&amp;Qid=1711245&amp;Row=602&amp;Col=1","No Title Assigned - #15264042929")</f>
        <v/>
      </c>
      <c r="B610" s="0" t="s">
        <v>913</v>
      </c>
      <c r="C610" s="0" t="s">
        <v>914</v>
      </c>
      <c r="D610" s="0" t="s">
        <v>914</v>
      </c>
      <c r="E610" s="0" t="s">
        <v>13</v>
      </c>
      <c r="F610" s="0" t="s">
        <v>17</v>
      </c>
      <c r="G610" s="0" t="s">
        <v>446</v>
      </c>
      <c r="H610" s="5">
        <v>1416.562400</v>
      </c>
    </row>
    <row r="611" spans="1:9">
      <c r="A611" s="22" t="str">
        <f>HYPERLINK("https://app.vivvix.com/360/KMI/IntelliDrive/ApplUI/Pages/CreativePages/CustomReportCreativeDetail.aspx?App=23&amp;ReportView=4&amp;Qid=1711245&amp;Row=603&amp;Col=1","No Title Assigned - #15264089013")</f>
        <v/>
      </c>
      <c r="B611" s="0" t="s">
        <v>915</v>
      </c>
      <c r="C611" s="0" t="s">
        <v>916</v>
      </c>
      <c r="D611" s="0" t="s">
        <v>916</v>
      </c>
      <c r="E611" s="0" t="s">
        <v>13</v>
      </c>
      <c r="F611" s="0" t="s">
        <v>14</v>
      </c>
      <c r="G611" s="0" t="s">
        <v>15</v>
      </c>
      <c r="H611" s="5">
        <v>352.759000</v>
      </c>
    </row>
    <row r="612" spans="1:9">
      <c r="A612" s="22" t="str">
        <f>HYPERLINK("https://app.vivvix.com/360/KMI/IntelliDrive/ApplUI/Pages/CreativePages/CustomReportCreativeDetail.aspx?App=23&amp;ReportView=4&amp;Qid=1711245&amp;Row=604&amp;Col=1","No Title Assigned - #15264090957")</f>
        <v/>
      </c>
      <c r="B612" s="0" t="s">
        <v>917</v>
      </c>
      <c r="C612" s="0" t="s">
        <v>918</v>
      </c>
      <c r="D612" s="0" t="s">
        <v>918</v>
      </c>
      <c r="E612" s="0" t="s">
        <v>13</v>
      </c>
      <c r="F612" s="0" t="s">
        <v>14</v>
      </c>
      <c r="G612" s="0" t="s">
        <v>15</v>
      </c>
      <c r="H612" s="5">
        <v>717.677000</v>
      </c>
    </row>
    <row r="613" spans="1:9">
      <c r="A613" s="22" t="str">
        <f>HYPERLINK("https://app.vivvix.com/360/KMI/IntelliDrive/ApplUI/Pages/CreativePages/CustomReportCreativeDetail.aspx?App=23&amp;ReportView=4&amp;Qid=1711245&amp;Row=605&amp;Col=1","No Title Assigned - #15264099085")</f>
        <v/>
      </c>
      <c r="B613" s="0" t="s">
        <v>919</v>
      </c>
      <c r="C613" s="0" t="s">
        <v>920</v>
      </c>
      <c r="D613" s="0" t="s">
        <v>920</v>
      </c>
      <c r="E613" s="0" t="s">
        <v>13</v>
      </c>
      <c r="F613" s="0" t="s">
        <v>128</v>
      </c>
      <c r="G613" s="0" t="s">
        <v>456</v>
      </c>
      <c r="H613" s="5">
        <v>38542.104200</v>
      </c>
    </row>
    <row r="614" spans="1:9">
      <c r="A614" s="22" t="str">
        <f>HYPERLINK("https://app.vivvix.com/360/KMI/IntelliDrive/ApplUI/Pages/CreativePages/CustomReportCreativeDetail.aspx?App=23&amp;ReportView=4&amp;Qid=1711245&amp;Row=606&amp;Col=1","No Title Assigned - #15264148848")</f>
        <v/>
      </c>
      <c r="B614" s="0" t="s">
        <v>921</v>
      </c>
      <c r="C614" s="0" t="s">
        <v>922</v>
      </c>
      <c r="D614" s="0" t="s">
        <v>922</v>
      </c>
      <c r="E614" s="0" t="s">
        <v>13</v>
      </c>
      <c r="F614" s="0" t="s">
        <v>17</v>
      </c>
      <c r="G614" s="0" t="s">
        <v>446</v>
      </c>
      <c r="H614" s="5">
        <v>10507.303900</v>
      </c>
    </row>
    <row r="615" spans="1:9">
      <c r="A615" s="22" t="str">
        <f>HYPERLINK("https://app.vivvix.com/360/KMI/IntelliDrive/ApplUI/Pages/CreativePages/CustomReportCreativeDetail.aspx?App=23&amp;ReportView=4&amp;Qid=1711245&amp;Row=607&amp;Col=1","No Title Assigned - #15264220997")</f>
        <v/>
      </c>
      <c r="B615" s="0" t="s">
        <v>923</v>
      </c>
      <c r="E615" s="0" t="s">
        <v>13</v>
      </c>
      <c r="F615" s="0" t="s">
        <v>13</v>
      </c>
      <c r="G615" s="0" t="s">
        <v>54</v>
      </c>
      <c r="H615" s="5">
        <v>262.043000</v>
      </c>
    </row>
    <row r="616" spans="1:9">
      <c r="A616" s="22" t="str">
        <f>HYPERLINK("https://app.vivvix.com/360/KMI/IntelliDrive/ApplUI/Pages/CreativePages/CustomReportCreativeDetail.aspx?App=23&amp;ReportView=4&amp;Qid=1711245&amp;Row=608&amp;Col=1","No Title Assigned - #15264236101")</f>
        <v/>
      </c>
      <c r="B616" s="0" t="s">
        <v>924</v>
      </c>
      <c r="C616" s="0" t="s">
        <v>925</v>
      </c>
      <c r="D616" s="0" t="s">
        <v>925</v>
      </c>
      <c r="E616" s="0" t="s">
        <v>13</v>
      </c>
      <c r="F616" s="0" t="s">
        <v>13</v>
      </c>
      <c r="G616" s="0" t="s">
        <v>54</v>
      </c>
    </row>
    <row r="617" spans="1:9">
      <c r="A617" s="22" t="str">
        <f>HYPERLINK("https://app.vivvix.com/360/KMI/IntelliDrive/ApplUI/Pages/CreativePages/CustomReportCreativeDetail.aspx?App=23&amp;ReportView=4&amp;Qid=1711245&amp;Row=609&amp;Col=1","No Title Assigned - #15264237629")</f>
        <v/>
      </c>
      <c r="B617" s="0" t="s">
        <v>926</v>
      </c>
      <c r="E617" s="0" t="s">
        <v>13</v>
      </c>
      <c r="F617" s="0" t="s">
        <v>13</v>
      </c>
      <c r="G617" s="0" t="s">
        <v>54</v>
      </c>
    </row>
    <row r="618" spans="1:9">
      <c r="A618" s="22" t="str">
        <f>HYPERLINK("https://app.vivvix.com/360/KMI/IntelliDrive/ApplUI/Pages/CreativePages/CustomReportCreativeDetail.aspx?App=23&amp;ReportView=4&amp;Qid=1711245&amp;Row=610&amp;Col=1","No Title Assigned - #15264238763")</f>
        <v/>
      </c>
      <c r="B618" s="0" t="s">
        <v>927</v>
      </c>
      <c r="C618" s="0" t="s">
        <v>928</v>
      </c>
      <c r="D618" s="0" t="s">
        <v>671</v>
      </c>
      <c r="E618" s="0" t="s">
        <v>13</v>
      </c>
      <c r="F618" s="0" t="s">
        <v>540</v>
      </c>
      <c r="G618" s="0" t="s">
        <v>541</v>
      </c>
      <c r="H618" s="5">
        <v>1111.240600</v>
      </c>
    </row>
    <row r="619" spans="1:9">
      <c r="A619" s="22" t="str">
        <f>HYPERLINK("https://app.vivvix.com/360/KMI/IntelliDrive/ApplUI/Pages/CreativePages/CustomReportCreativeDetail.aspx?App=23&amp;ReportView=4&amp;Qid=1711245&amp;Row=611&amp;Col=1","No Title Assigned - #15264302618")</f>
        <v/>
      </c>
      <c r="B619" s="0" t="s">
        <v>929</v>
      </c>
      <c r="E619" s="0" t="s">
        <v>13</v>
      </c>
      <c r="F619" s="0" t="s">
        <v>13</v>
      </c>
      <c r="G619" s="0" t="s">
        <v>54</v>
      </c>
    </row>
    <row r="620" spans="1:9">
      <c r="A620" s="22" t="str">
        <f>HYPERLINK("https://app.vivvix.com/360/KMI/IntelliDrive/ApplUI/Pages/CreativePages/CustomReportCreativeDetail.aspx?App=23&amp;ReportView=4&amp;Qid=1711245&amp;Row=612&amp;Col=1","No Title Assigned - #15264308953")</f>
        <v/>
      </c>
      <c r="B620" s="0" t="s">
        <v>930</v>
      </c>
      <c r="C620" s="0" t="s">
        <v>931</v>
      </c>
      <c r="D620" s="0" t="s">
        <v>931</v>
      </c>
      <c r="E620" s="0" t="s">
        <v>13</v>
      </c>
      <c r="F620" s="0" t="s">
        <v>540</v>
      </c>
      <c r="G620" s="0" t="s">
        <v>541</v>
      </c>
      <c r="H620" s="5">
        <v>2325.823200</v>
      </c>
    </row>
    <row r="621" spans="1:9">
      <c r="A621" s="22" t="str">
        <f>HYPERLINK("https://app.vivvix.com/360/KMI/IntelliDrive/ApplUI/Pages/CreativePages/CustomReportCreativeDetail.aspx?App=23&amp;ReportView=4&amp;Qid=1711245&amp;Row=613&amp;Col=1","No Title Assigned - #15264312611")</f>
        <v/>
      </c>
      <c r="B621" s="0" t="s">
        <v>932</v>
      </c>
      <c r="E621" s="0" t="s">
        <v>13</v>
      </c>
      <c r="F621" s="0" t="s">
        <v>13</v>
      </c>
      <c r="G621" s="0" t="s">
        <v>54</v>
      </c>
    </row>
    <row r="622" spans="1:9">
      <c r="A622" s="22" t="str">
        <f>HYPERLINK("https://app.vivvix.com/360/KMI/IntelliDrive/ApplUI/Pages/CreativePages/CustomReportCreativeDetail.aspx?App=23&amp;ReportView=4&amp;Qid=1711245&amp;Row=614&amp;Col=1","No Title Assigned - #15264314906")</f>
        <v/>
      </c>
      <c r="B622" s="0" t="s">
        <v>933</v>
      </c>
      <c r="C622" s="0" t="s">
        <v>934</v>
      </c>
      <c r="D622" s="0" t="s">
        <v>934</v>
      </c>
      <c r="E622" s="0" t="s">
        <v>13</v>
      </c>
      <c r="F622" s="0" t="s">
        <v>13</v>
      </c>
      <c r="G622" s="0" t="s">
        <v>622</v>
      </c>
      <c r="H622" s="5">
        <v>3313.320200</v>
      </c>
    </row>
    <row r="623" spans="1:9">
      <c r="A623" s="22" t="str">
        <f>HYPERLINK("https://app.vivvix.com/360/KMI/IntelliDrive/ApplUI/Pages/CreativePages/CustomReportCreativeDetail.aspx?App=23&amp;ReportView=4&amp;Qid=1711245&amp;Row=615&amp;Col=1","No Title Assigned - #15264353658")</f>
        <v/>
      </c>
      <c r="B623" s="0" t="s">
        <v>935</v>
      </c>
      <c r="C623" s="0" t="s">
        <v>936</v>
      </c>
      <c r="D623" s="0" t="s">
        <v>936</v>
      </c>
      <c r="E623" s="0" t="s">
        <v>13</v>
      </c>
      <c r="F623" s="0" t="s">
        <v>17</v>
      </c>
      <c r="G623" s="0" t="s">
        <v>446</v>
      </c>
      <c r="H623" s="5">
        <v>899.453000</v>
      </c>
    </row>
    <row r="624" spans="1:9">
      <c r="A624" s="22" t="str">
        <f>HYPERLINK("https://app.vivvix.com/360/KMI/IntelliDrive/ApplUI/Pages/CreativePages/CustomReportCreativeDetail.aspx?App=23&amp;ReportView=4&amp;Qid=1711245&amp;Row=616&amp;Col=1","No Title Assigned - #15264360406")</f>
        <v/>
      </c>
      <c r="B624" s="0" t="s">
        <v>937</v>
      </c>
      <c r="C624" s="0" t="s">
        <v>938</v>
      </c>
      <c r="D624" s="0" t="s">
        <v>938</v>
      </c>
      <c r="E624" s="0" t="s">
        <v>13</v>
      </c>
      <c r="F624" s="0" t="s">
        <v>540</v>
      </c>
      <c r="G624" s="0" t="s">
        <v>541</v>
      </c>
      <c r="H624" s="5">
        <v>895.740300</v>
      </c>
    </row>
    <row r="625" spans="1:9">
      <c r="A625" s="22" t="str">
        <f>HYPERLINK("https://app.vivvix.com/360/KMI/IntelliDrive/ApplUI/Pages/CreativePages/CustomReportCreativeDetail.aspx?App=23&amp;ReportView=4&amp;Qid=1711245&amp;Row=617&amp;Col=1","No Title Assigned - #15264367834")</f>
        <v/>
      </c>
      <c r="B625" s="0" t="s">
        <v>939</v>
      </c>
      <c r="C625" s="0" t="s">
        <v>940</v>
      </c>
      <c r="D625" s="0" t="s">
        <v>940</v>
      </c>
      <c r="E625" s="0" t="s">
        <v>13</v>
      </c>
      <c r="F625" s="0" t="s">
        <v>14</v>
      </c>
      <c r="G625" s="0" t="s">
        <v>15</v>
      </c>
      <c r="H625" s="5">
        <v>19011.628500</v>
      </c>
    </row>
    <row r="626" spans="1:9">
      <c r="A626" s="22" t="str">
        <f>HYPERLINK("https://app.vivvix.com/360/KMI/IntelliDrive/ApplUI/Pages/CreativePages/CustomReportCreativeDetail.aspx?App=23&amp;ReportView=4&amp;Qid=1711245&amp;Row=618&amp;Col=1","No Title Assigned - #15264373160")</f>
        <v/>
      </c>
      <c r="B626" s="0" t="s">
        <v>941</v>
      </c>
      <c r="C626" s="0" t="s">
        <v>942</v>
      </c>
      <c r="D626" s="0" t="s">
        <v>942</v>
      </c>
      <c r="E626" s="0" t="s">
        <v>13</v>
      </c>
      <c r="F626" s="0" t="s">
        <v>13</v>
      </c>
      <c r="G626" s="0" t="s">
        <v>78</v>
      </c>
      <c r="H626" s="5">
        <v>50263.139300</v>
      </c>
    </row>
    <row r="627" spans="1:9">
      <c r="A627" s="22" t="str">
        <f>HYPERLINK("https://app.vivvix.com/360/KMI/IntelliDrive/ApplUI/Pages/CreativePages/CustomReportCreativeDetail.aspx?App=23&amp;ReportView=4&amp;Qid=1711245&amp;Row=619&amp;Col=1","No Title Assigned - #15264421302")</f>
        <v/>
      </c>
      <c r="B627" s="0" t="s">
        <v>943</v>
      </c>
      <c r="C627" s="0" t="s">
        <v>944</v>
      </c>
      <c r="D627" s="0" t="s">
        <v>944</v>
      </c>
      <c r="E627" s="0" t="s">
        <v>13</v>
      </c>
      <c r="F627" s="0" t="s">
        <v>13</v>
      </c>
      <c r="G627" s="0" t="s">
        <v>945</v>
      </c>
      <c r="H627" s="5">
        <v>6299.519600</v>
      </c>
    </row>
    <row r="628" spans="1:9">
      <c r="A628" s="22" t="str">
        <f>HYPERLINK("https://app.vivvix.com/360/KMI/IntelliDrive/ApplUI/Pages/CreativePages/CustomReportCreativeDetail.aspx?App=23&amp;ReportView=4&amp;Qid=1711245&amp;Row=620&amp;Col=1","No Title Assigned - #15264437739")</f>
        <v/>
      </c>
      <c r="B628" s="0" t="s">
        <v>946</v>
      </c>
      <c r="C628" s="0" t="s">
        <v>947</v>
      </c>
      <c r="D628" s="0" t="s">
        <v>947</v>
      </c>
      <c r="E628" s="0" t="s">
        <v>13</v>
      </c>
      <c r="F628" s="0" t="s">
        <v>530</v>
      </c>
      <c r="G628" s="0" t="s">
        <v>531</v>
      </c>
      <c r="H628" s="5">
        <v>1430.962700</v>
      </c>
    </row>
    <row r="629" spans="1:9">
      <c r="A629" s="22" t="str">
        <f>HYPERLINK("https://app.vivvix.com/360/KMI/IntelliDrive/ApplUI/Pages/CreativePages/CustomReportCreativeDetail.aspx?App=23&amp;ReportView=4&amp;Qid=1711245&amp;Row=621&amp;Col=1","No Title Assigned - #15264499056")</f>
        <v/>
      </c>
      <c r="B629" s="0" t="s">
        <v>948</v>
      </c>
      <c r="E629" s="0" t="s">
        <v>13</v>
      </c>
      <c r="F629" s="0" t="s">
        <v>13</v>
      </c>
      <c r="G629" s="0" t="s">
        <v>54</v>
      </c>
    </row>
    <row r="630" spans="1:9">
      <c r="A630" s="22" t="str">
        <f>HYPERLINK("https://app.vivvix.com/360/KMI/IntelliDrive/ApplUI/Pages/CreativePages/CustomReportCreativeDetail.aspx?App=23&amp;ReportView=4&amp;Qid=1711245&amp;Row=622&amp;Col=1","No Title Assigned - #15264559266")</f>
        <v/>
      </c>
      <c r="B630" s="0" t="s">
        <v>949</v>
      </c>
      <c r="C630" s="0" t="s">
        <v>950</v>
      </c>
      <c r="D630" s="0" t="s">
        <v>950</v>
      </c>
      <c r="E630" s="0" t="s">
        <v>13</v>
      </c>
      <c r="F630" s="0" t="s">
        <v>13</v>
      </c>
      <c r="G630" s="0" t="s">
        <v>54</v>
      </c>
    </row>
    <row r="631" spans="1:9">
      <c r="A631" s="22" t="str">
        <f>HYPERLINK("https://app.vivvix.com/360/KMI/IntelliDrive/ApplUI/Pages/CreativePages/CustomReportCreativeDetail.aspx?App=23&amp;ReportView=4&amp;Qid=1711245&amp;Row=623&amp;Col=1","No Title Assigned - #15264560484")</f>
        <v/>
      </c>
      <c r="B631" s="0" t="s">
        <v>951</v>
      </c>
      <c r="E631" s="0" t="s">
        <v>13</v>
      </c>
      <c r="F631" s="0" t="s">
        <v>13</v>
      </c>
      <c r="G631" s="0" t="s">
        <v>54</v>
      </c>
    </row>
    <row r="632" spans="1:9">
      <c r="A632" s="22" t="str">
        <f>HYPERLINK("https://app.vivvix.com/360/KMI/IntelliDrive/ApplUI/Pages/CreativePages/CustomReportCreativeDetail.aspx?App=23&amp;ReportView=4&amp;Qid=1711245&amp;Row=624&amp;Col=1","No Title Assigned - #15264560496")</f>
        <v/>
      </c>
      <c r="B632" s="0" t="s">
        <v>952</v>
      </c>
      <c r="E632" s="0" t="s">
        <v>13</v>
      </c>
      <c r="F632" s="0" t="s">
        <v>13</v>
      </c>
      <c r="G632" s="0" t="s">
        <v>54</v>
      </c>
    </row>
    <row r="633" spans="1:9">
      <c r="A633" s="22" t="str">
        <f>HYPERLINK("https://app.vivvix.com/360/KMI/IntelliDrive/ApplUI/Pages/CreativePages/CustomReportCreativeDetail.aspx?App=23&amp;ReportView=4&amp;Qid=1711245&amp;Row=625&amp;Col=1","No Title Assigned - #15264560515")</f>
        <v/>
      </c>
      <c r="B633" s="0" t="s">
        <v>953</v>
      </c>
      <c r="E633" s="0" t="s">
        <v>13</v>
      </c>
      <c r="F633" s="0" t="s">
        <v>13</v>
      </c>
      <c r="G633" s="0" t="s">
        <v>54</v>
      </c>
      <c r="H633" s="5">
        <v>526.582900</v>
      </c>
    </row>
    <row r="634" spans="1:9">
      <c r="A634" s="22" t="str">
        <f>HYPERLINK("https://app.vivvix.com/360/KMI/IntelliDrive/ApplUI/Pages/CreativePages/CustomReportCreativeDetail.aspx?App=23&amp;ReportView=4&amp;Qid=1711245&amp;Row=626&amp;Col=1","No Title Assigned - #15264564964")</f>
        <v/>
      </c>
      <c r="B634" s="0" t="s">
        <v>954</v>
      </c>
      <c r="C634" s="0" t="s">
        <v>955</v>
      </c>
      <c r="D634" s="0" t="s">
        <v>955</v>
      </c>
      <c r="E634" s="0" t="s">
        <v>13</v>
      </c>
      <c r="F634" s="0" t="s">
        <v>14</v>
      </c>
      <c r="G634" s="0" t="s">
        <v>15</v>
      </c>
      <c r="H634" s="5">
        <v>11281.001600</v>
      </c>
    </row>
    <row r="635" spans="1:9">
      <c r="A635" s="22" t="str">
        <f>HYPERLINK("https://app.vivvix.com/360/KMI/IntelliDrive/ApplUI/Pages/CreativePages/CustomReportCreativeDetail.aspx?App=23&amp;ReportView=4&amp;Qid=1711245&amp;Row=627&amp;Col=1","No Title Assigned - #15264577985")</f>
        <v/>
      </c>
      <c r="B635" s="0" t="s">
        <v>956</v>
      </c>
      <c r="C635" s="0" t="s">
        <v>957</v>
      </c>
      <c r="D635" s="0" t="s">
        <v>957</v>
      </c>
      <c r="E635" s="0" t="s">
        <v>13</v>
      </c>
      <c r="F635" s="0" t="s">
        <v>14</v>
      </c>
      <c r="G635" s="0" t="s">
        <v>15</v>
      </c>
      <c r="H635" s="5">
        <v>28337.324400</v>
      </c>
    </row>
    <row r="636" spans="1:9">
      <c r="A636" s="22" t="str">
        <f>HYPERLINK("https://app.vivvix.com/360/KMI/IntelliDrive/ApplUI/Pages/CreativePages/CustomReportCreativeDetail.aspx?App=23&amp;ReportView=4&amp;Qid=1711245&amp;Row=628&amp;Col=1","No Title Assigned - #15264600506")</f>
        <v/>
      </c>
      <c r="B636" s="0" t="s">
        <v>958</v>
      </c>
      <c r="C636" s="0" t="s">
        <v>959</v>
      </c>
      <c r="D636" s="0" t="s">
        <v>959</v>
      </c>
      <c r="E636" s="0" t="s">
        <v>13</v>
      </c>
      <c r="F636" s="0" t="s">
        <v>14</v>
      </c>
      <c r="G636" s="0" t="s">
        <v>15</v>
      </c>
      <c r="H636" s="5">
        <v>2226.666800</v>
      </c>
    </row>
    <row r="637" spans="1:9">
      <c r="A637" s="22" t="str">
        <f>HYPERLINK("https://app.vivvix.com/360/KMI/IntelliDrive/ApplUI/Pages/CreativePages/CustomReportCreativeDetail.aspx?App=23&amp;ReportView=4&amp;Qid=1711245&amp;Row=629&amp;Col=1","No Title Assigned - #15264613954")</f>
        <v/>
      </c>
      <c r="B637" s="0" t="s">
        <v>960</v>
      </c>
      <c r="E637" s="0" t="s">
        <v>13</v>
      </c>
      <c r="F637" s="0" t="s">
        <v>13</v>
      </c>
      <c r="G637" s="0" t="s">
        <v>54</v>
      </c>
    </row>
    <row r="638" spans="1:9">
      <c r="A638" s="22" t="str">
        <f>HYPERLINK("https://app.vivvix.com/360/KMI/IntelliDrive/ApplUI/Pages/CreativePages/CustomReportCreativeDetail.aspx?App=23&amp;ReportView=4&amp;Qid=1711245&amp;Row=630&amp;Col=1","No Title Assigned - #15264625685")</f>
        <v/>
      </c>
      <c r="B638" s="0" t="s">
        <v>961</v>
      </c>
      <c r="E638" s="0" t="s">
        <v>13</v>
      </c>
      <c r="F638" s="0" t="s">
        <v>13</v>
      </c>
      <c r="G638" s="0" t="s">
        <v>54</v>
      </c>
      <c r="H638" s="5">
        <v>35378.483300</v>
      </c>
    </row>
    <row r="639" spans="1:9">
      <c r="A639" s="22" t="str">
        <f>HYPERLINK("https://app.vivvix.com/360/KMI/IntelliDrive/ApplUI/Pages/CreativePages/CustomReportCreativeDetail.aspx?App=23&amp;ReportView=4&amp;Qid=1711245&amp;Row=631&amp;Col=1","No Title Assigned - #15264628930")</f>
        <v/>
      </c>
      <c r="B639" s="0" t="s">
        <v>962</v>
      </c>
      <c r="E639" s="0" t="s">
        <v>13</v>
      </c>
      <c r="F639" s="0" t="s">
        <v>13</v>
      </c>
      <c r="G639" s="0" t="s">
        <v>54</v>
      </c>
      <c r="H639" s="5">
        <v>59.574100</v>
      </c>
    </row>
    <row r="640" spans="1:9">
      <c r="A640" s="22" t="str">
        <f>HYPERLINK("https://app.vivvix.com/360/KMI/IntelliDrive/ApplUI/Pages/CreativePages/CustomReportCreativeDetail.aspx?App=23&amp;ReportView=4&amp;Qid=1711245&amp;Row=632&amp;Col=1","No Title Assigned - #15264629097")</f>
        <v/>
      </c>
      <c r="B640" s="0" t="s">
        <v>963</v>
      </c>
      <c r="C640" s="0" t="s">
        <v>964</v>
      </c>
      <c r="D640" s="0" t="s">
        <v>964</v>
      </c>
      <c r="E640" s="0" t="s">
        <v>13</v>
      </c>
      <c r="F640" s="0" t="s">
        <v>17</v>
      </c>
      <c r="G640" s="0" t="s">
        <v>446</v>
      </c>
      <c r="H640" s="5">
        <v>37779.567600</v>
      </c>
    </row>
    <row r="641" spans="1:9">
      <c r="A641" s="22" t="str">
        <f>HYPERLINK("https://app.vivvix.com/360/KMI/IntelliDrive/ApplUI/Pages/CreativePages/CustomReportCreativeDetail.aspx?App=23&amp;ReportView=4&amp;Qid=1711245&amp;Row=633&amp;Col=1","No Title Assigned - #15264646719")</f>
        <v/>
      </c>
      <c r="B641" s="0" t="s">
        <v>965</v>
      </c>
      <c r="C641" s="0" t="s">
        <v>966</v>
      </c>
      <c r="D641" s="0" t="s">
        <v>966</v>
      </c>
      <c r="E641" s="0" t="s">
        <v>13</v>
      </c>
      <c r="F641" s="0" t="s">
        <v>17</v>
      </c>
      <c r="G641" s="0" t="s">
        <v>446</v>
      </c>
      <c r="H641" s="5">
        <v>191.966800</v>
      </c>
    </row>
    <row r="642" spans="1:9">
      <c r="A642" s="22" t="str">
        <f>HYPERLINK("https://app.vivvix.com/360/KMI/IntelliDrive/ApplUI/Pages/CreativePages/CustomReportCreativeDetail.aspx?App=23&amp;ReportView=4&amp;Qid=1711245&amp;Row=634&amp;Col=1","No Title Assigned - #15264648501")</f>
        <v/>
      </c>
      <c r="B642" s="0" t="s">
        <v>967</v>
      </c>
      <c r="C642" s="0" t="s">
        <v>968</v>
      </c>
      <c r="D642" s="0" t="s">
        <v>968</v>
      </c>
      <c r="E642" s="0" t="s">
        <v>13</v>
      </c>
      <c r="F642" s="0" t="s">
        <v>17</v>
      </c>
      <c r="G642" s="0" t="s">
        <v>446</v>
      </c>
      <c r="H642" s="5">
        <v>532.151300</v>
      </c>
    </row>
    <row r="643" spans="1:9">
      <c r="A643" s="22" t="str">
        <f>HYPERLINK("https://app.vivvix.com/360/KMI/IntelliDrive/ApplUI/Pages/CreativePages/CustomReportCreativeDetail.aspx?App=23&amp;ReportView=4&amp;Qid=1711245&amp;Row=635&amp;Col=1","No Title Assigned - #15264650704")</f>
        <v/>
      </c>
      <c r="B643" s="0" t="s">
        <v>969</v>
      </c>
      <c r="C643" s="0" t="s">
        <v>970</v>
      </c>
      <c r="D643" s="0" t="s">
        <v>970</v>
      </c>
      <c r="E643" s="0" t="s">
        <v>13</v>
      </c>
      <c r="F643" s="0" t="s">
        <v>14</v>
      </c>
      <c r="G643" s="0" t="s">
        <v>15</v>
      </c>
      <c r="H643" s="5">
        <v>254.426300</v>
      </c>
    </row>
    <row r="644" spans="1:9">
      <c r="A644" s="22" t="str">
        <f>HYPERLINK("https://app.vivvix.com/360/KMI/IntelliDrive/ApplUI/Pages/CreativePages/CustomReportCreativeDetail.aspx?App=23&amp;ReportView=4&amp;Qid=1711245&amp;Row=636&amp;Col=1","No Title Assigned - #15264654353")</f>
        <v/>
      </c>
      <c r="B644" s="0" t="s">
        <v>971</v>
      </c>
      <c r="C644" s="0" t="s">
        <v>972</v>
      </c>
      <c r="D644" s="0" t="s">
        <v>972</v>
      </c>
      <c r="E644" s="0" t="s">
        <v>13</v>
      </c>
      <c r="F644" s="0" t="s">
        <v>28</v>
      </c>
      <c r="G644" s="0" t="s">
        <v>110</v>
      </c>
      <c r="H644" s="5">
        <v>182.356800</v>
      </c>
    </row>
    <row r="645" spans="1:9">
      <c r="A645" s="22" t="str">
        <f>HYPERLINK("https://app.vivvix.com/360/KMI/IntelliDrive/ApplUI/Pages/CreativePages/CustomReportCreativeDetail.aspx?App=23&amp;ReportView=4&amp;Qid=1711245&amp;Row=637&amp;Col=1","No Title Assigned - #15264654353")</f>
        <v/>
      </c>
      <c r="B645" s="0" t="s">
        <v>971</v>
      </c>
      <c r="E645" s="0" t="s">
        <v>13</v>
      </c>
      <c r="F645" s="0" t="s">
        <v>28</v>
      </c>
      <c r="G645" s="0" t="s">
        <v>110</v>
      </c>
      <c r="H645" s="5">
        <v>1476.748900</v>
      </c>
    </row>
    <row r="646" spans="1:9">
      <c r="A646" s="22" t="str">
        <f>HYPERLINK("https://app.vivvix.com/360/KMI/IntelliDrive/ApplUI/Pages/CreativePages/CustomReportCreativeDetail.aspx?App=23&amp;ReportView=4&amp;Qid=1711245&amp;Row=638&amp;Col=1","No Title Assigned - #15264666450")</f>
        <v/>
      </c>
      <c r="B646" s="0" t="s">
        <v>973</v>
      </c>
      <c r="E646" s="0" t="s">
        <v>13</v>
      </c>
      <c r="F646" s="0" t="s">
        <v>14</v>
      </c>
      <c r="G646" s="0" t="s">
        <v>15</v>
      </c>
      <c r="H646" s="5">
        <v>48353.715800</v>
      </c>
    </row>
    <row r="647" spans="1:9">
      <c r="A647" s="22" t="str">
        <f>HYPERLINK("https://app.vivvix.com/360/KMI/IntelliDrive/ApplUI/Pages/CreativePages/CustomReportCreativeDetail.aspx?App=23&amp;ReportView=4&amp;Qid=1711245&amp;Row=639&amp;Col=1","No Title Assigned - #15264666450")</f>
        <v/>
      </c>
      <c r="B647" s="0" t="s">
        <v>973</v>
      </c>
      <c r="C647" s="0" t="s">
        <v>974</v>
      </c>
      <c r="D647" s="0" t="s">
        <v>974</v>
      </c>
      <c r="E647" s="0" t="s">
        <v>13</v>
      </c>
      <c r="F647" s="0" t="s">
        <v>14</v>
      </c>
      <c r="G647" s="0" t="s">
        <v>15</v>
      </c>
      <c r="H647" s="5">
        <v>131970.507500</v>
      </c>
    </row>
    <row r="648" spans="1:9">
      <c r="A648" s="22" t="str">
        <f>HYPERLINK("https://app.vivvix.com/360/KMI/IntelliDrive/ApplUI/Pages/CreativePages/CustomReportCreativeDetail.aspx?App=23&amp;ReportView=4&amp;Qid=1711245&amp;Row=640&amp;Col=1","No Title Assigned - #15264669611")</f>
        <v/>
      </c>
      <c r="B648" s="0" t="s">
        <v>975</v>
      </c>
      <c r="C648" s="0" t="s">
        <v>976</v>
      </c>
      <c r="D648" s="0" t="s">
        <v>976</v>
      </c>
      <c r="E648" s="0" t="s">
        <v>13</v>
      </c>
      <c r="F648" s="0" t="s">
        <v>28</v>
      </c>
      <c r="G648" s="0" t="s">
        <v>110</v>
      </c>
      <c r="H648" s="5">
        <v>661.208200</v>
      </c>
    </row>
    <row r="649" spans="1:9">
      <c r="A649" s="22" t="str">
        <f>HYPERLINK("https://app.vivvix.com/360/KMI/IntelliDrive/ApplUI/Pages/CreativePages/CustomReportCreativeDetail.aspx?App=23&amp;ReportView=4&amp;Qid=1711245&amp;Row=641&amp;Col=1","No Title Assigned - #15264669611")</f>
        <v/>
      </c>
      <c r="B649" s="0" t="s">
        <v>975</v>
      </c>
      <c r="E649" s="0" t="s">
        <v>13</v>
      </c>
      <c r="F649" s="0" t="s">
        <v>28</v>
      </c>
      <c r="G649" s="0" t="s">
        <v>110</v>
      </c>
      <c r="H649" s="5">
        <v>1476.748900</v>
      </c>
    </row>
    <row r="650" spans="1:9">
      <c r="A650" s="22" t="str">
        <f>HYPERLINK("https://app.vivvix.com/360/KMI/IntelliDrive/ApplUI/Pages/CreativePages/CustomReportCreativeDetail.aspx?App=23&amp;ReportView=4&amp;Qid=1711245&amp;Row=642&amp;Col=1","No Title Assigned - #15264687983")</f>
        <v/>
      </c>
      <c r="B650" s="0" t="s">
        <v>977</v>
      </c>
      <c r="C650" s="0" t="s">
        <v>978</v>
      </c>
      <c r="D650" s="0" t="s">
        <v>978</v>
      </c>
      <c r="E650" s="0" t="s">
        <v>13</v>
      </c>
      <c r="F650" s="0" t="s">
        <v>13</v>
      </c>
      <c r="G650" s="0" t="s">
        <v>54</v>
      </c>
    </row>
    <row r="651" spans="1:9">
      <c r="A651" s="22" t="str">
        <f>HYPERLINK("https://app.vivvix.com/360/KMI/IntelliDrive/ApplUI/Pages/CreativePages/CustomReportCreativeDetail.aspx?App=23&amp;ReportView=4&amp;Qid=1711245&amp;Row=643&amp;Col=1","No Title Assigned - #15264687983")</f>
        <v/>
      </c>
      <c r="B651" s="0" t="s">
        <v>977</v>
      </c>
      <c r="E651" s="0" t="s">
        <v>13</v>
      </c>
      <c r="F651" s="0" t="s">
        <v>13</v>
      </c>
      <c r="G651" s="0" t="s">
        <v>54</v>
      </c>
    </row>
    <row r="652" spans="1:9">
      <c r="A652" s="22" t="str">
        <f>HYPERLINK("https://app.vivvix.com/360/KMI/IntelliDrive/ApplUI/Pages/CreativePages/CustomReportCreativeDetail.aspx?App=23&amp;ReportView=4&amp;Qid=1711245&amp;Row=644&amp;Col=1","No Title Assigned - #15264688812")</f>
        <v/>
      </c>
      <c r="B652" s="0" t="s">
        <v>979</v>
      </c>
      <c r="E652" s="0" t="s">
        <v>13</v>
      </c>
      <c r="F652" s="0" t="s">
        <v>13</v>
      </c>
      <c r="G652" s="0" t="s">
        <v>54</v>
      </c>
      <c r="H652" s="5">
        <v>7429.430400</v>
      </c>
    </row>
    <row r="653" spans="1:9">
      <c r="A653" s="22" t="str">
        <f>HYPERLINK("https://app.vivvix.com/360/KMI/IntelliDrive/ApplUI/Pages/CreativePages/CustomReportCreativeDetail.aspx?App=23&amp;ReportView=4&amp;Qid=1711245&amp;Row=645&amp;Col=1","No Title Assigned - #15264699766")</f>
        <v/>
      </c>
      <c r="B653" s="0" t="s">
        <v>980</v>
      </c>
      <c r="E653" s="0" t="s">
        <v>13</v>
      </c>
      <c r="F653" s="0" t="s">
        <v>13</v>
      </c>
      <c r="G653" s="0" t="s">
        <v>54</v>
      </c>
    </row>
    <row r="654" spans="1:9">
      <c r="A654" s="22" t="str">
        <f>HYPERLINK("https://app.vivvix.com/360/KMI/IntelliDrive/ApplUI/Pages/CreativePages/CustomReportCreativeDetail.aspx?App=23&amp;ReportView=4&amp;Qid=1711245&amp;Row=646&amp;Col=1","No Title Assigned - #15264703500")</f>
        <v/>
      </c>
      <c r="B654" s="0" t="s">
        <v>981</v>
      </c>
      <c r="E654" s="0" t="s">
        <v>13</v>
      </c>
      <c r="F654" s="0" t="s">
        <v>13</v>
      </c>
      <c r="G654" s="0" t="s">
        <v>54</v>
      </c>
      <c r="H654" s="5">
        <v>23.663500</v>
      </c>
    </row>
    <row r="655" spans="1:9">
      <c r="A655" s="22" t="str">
        <f>HYPERLINK("https://app.vivvix.com/360/KMI/IntelliDrive/ApplUI/Pages/CreativePages/CustomReportCreativeDetail.aspx?App=23&amp;ReportView=4&amp;Qid=1711245&amp;Row=647&amp;Col=1","No Title Assigned - #15264704648")</f>
        <v/>
      </c>
      <c r="B655" s="0" t="s">
        <v>982</v>
      </c>
      <c r="E655" s="0" t="s">
        <v>13</v>
      </c>
      <c r="F655" s="0" t="s">
        <v>14</v>
      </c>
      <c r="G655" s="0" t="s">
        <v>15</v>
      </c>
      <c r="H655" s="5">
        <v>75643.492800</v>
      </c>
    </row>
    <row r="656" spans="1:9">
      <c r="A656" s="22" t="str">
        <f>HYPERLINK("https://app.vivvix.com/360/KMI/IntelliDrive/ApplUI/Pages/CreativePages/CustomReportCreativeDetail.aspx?App=23&amp;ReportView=4&amp;Qid=1711245&amp;Row=648&amp;Col=1","No Title Assigned - #15264704648")</f>
        <v/>
      </c>
      <c r="B656" s="0" t="s">
        <v>982</v>
      </c>
      <c r="C656" s="0" t="s">
        <v>983</v>
      </c>
      <c r="D656" s="0" t="s">
        <v>983</v>
      </c>
      <c r="E656" s="0" t="s">
        <v>13</v>
      </c>
      <c r="F656" s="0" t="s">
        <v>14</v>
      </c>
      <c r="G656" s="0" t="s">
        <v>15</v>
      </c>
      <c r="H656" s="5">
        <v>2775.685500</v>
      </c>
    </row>
    <row r="657" spans="1:9">
      <c r="A657" s="22" t="str">
        <f>HYPERLINK("https://app.vivvix.com/360/KMI/IntelliDrive/ApplUI/Pages/CreativePages/CustomReportCreativeDetail.aspx?App=23&amp;ReportView=4&amp;Qid=1711245&amp;Row=649&amp;Col=1","No Title Assigned - #15264707188")</f>
        <v/>
      </c>
      <c r="B657" s="0" t="s">
        <v>984</v>
      </c>
      <c r="C657" s="0" t="s">
        <v>985</v>
      </c>
      <c r="D657" s="0" t="s">
        <v>985</v>
      </c>
      <c r="E657" s="0" t="s">
        <v>13</v>
      </c>
      <c r="F657" s="0" t="s">
        <v>14</v>
      </c>
      <c r="G657" s="0" t="s">
        <v>15</v>
      </c>
      <c r="H657" s="5">
        <v>64762.527100</v>
      </c>
    </row>
    <row r="658" spans="1:9">
      <c r="A658" s="22" t="str">
        <f>HYPERLINK("https://app.vivvix.com/360/KMI/IntelliDrive/ApplUI/Pages/CreativePages/CustomReportCreativeDetail.aspx?App=23&amp;ReportView=4&amp;Qid=1711245&amp;Row=650&amp;Col=1","No Title Assigned - #15264707245")</f>
        <v/>
      </c>
      <c r="B658" s="0" t="s">
        <v>986</v>
      </c>
      <c r="C658" s="0" t="s">
        <v>987</v>
      </c>
      <c r="D658" s="0" t="s">
        <v>987</v>
      </c>
      <c r="E658" s="0" t="s">
        <v>13</v>
      </c>
      <c r="F658" s="0" t="s">
        <v>14</v>
      </c>
      <c r="G658" s="0" t="s">
        <v>15</v>
      </c>
      <c r="H658" s="5">
        <v>1076.228800</v>
      </c>
    </row>
    <row r="659" spans="1:9">
      <c r="A659" s="22" t="str">
        <f>HYPERLINK("https://app.vivvix.com/360/KMI/IntelliDrive/ApplUI/Pages/CreativePages/CustomReportCreativeDetail.aspx?App=23&amp;ReportView=4&amp;Qid=1711245&amp;Row=651&amp;Col=1","No Title Assigned - #15264708325")</f>
        <v/>
      </c>
      <c r="B659" s="0" t="s">
        <v>988</v>
      </c>
      <c r="E659" s="0" t="s">
        <v>13</v>
      </c>
      <c r="F659" s="0" t="s">
        <v>13</v>
      </c>
      <c r="G659" s="0" t="s">
        <v>54</v>
      </c>
    </row>
    <row r="660" spans="1:9">
      <c r="A660" s="22" t="str">
        <f>HYPERLINK("https://app.vivvix.com/360/KMI/IntelliDrive/ApplUI/Pages/CreativePages/CustomReportCreativeDetail.aspx?App=23&amp;ReportView=4&amp;Qid=1711245&amp;Row=652&amp;Col=1","No Title Assigned - #15264711590")</f>
        <v/>
      </c>
      <c r="B660" s="0" t="s">
        <v>989</v>
      </c>
      <c r="C660" s="0" t="s">
        <v>990</v>
      </c>
      <c r="D660" s="0" t="s">
        <v>990</v>
      </c>
      <c r="E660" s="0" t="s">
        <v>13</v>
      </c>
      <c r="F660" s="0" t="s">
        <v>14</v>
      </c>
      <c r="G660" s="0" t="s">
        <v>15</v>
      </c>
      <c r="H660" s="5">
        <v>16822.736500</v>
      </c>
    </row>
    <row r="661" spans="1:9">
      <c r="A661" s="22" t="str">
        <f>HYPERLINK("https://app.vivvix.com/360/KMI/IntelliDrive/ApplUI/Pages/CreativePages/CustomReportCreativeDetail.aspx?App=23&amp;ReportView=4&amp;Qid=1711245&amp;Row=653&amp;Col=1","No Title Assigned - #15264712734")</f>
        <v/>
      </c>
      <c r="B661" s="0" t="s">
        <v>991</v>
      </c>
      <c r="C661" s="0" t="s">
        <v>992</v>
      </c>
      <c r="D661" s="0" t="s">
        <v>964</v>
      </c>
      <c r="E661" s="0" t="s">
        <v>13</v>
      </c>
      <c r="F661" s="0" t="s">
        <v>17</v>
      </c>
      <c r="G661" s="0" t="s">
        <v>446</v>
      </c>
      <c r="H661" s="5">
        <v>12284.432800</v>
      </c>
    </row>
    <row r="662" spans="1:9">
      <c r="A662" s="22" t="str">
        <f>HYPERLINK("https://app.vivvix.com/360/KMI/IntelliDrive/ApplUI/Pages/CreativePages/CustomReportCreativeDetail.aspx?App=23&amp;ReportView=4&amp;Qid=1711245&amp;Row=654&amp;Col=1","No Title Assigned - #15264716081")</f>
        <v/>
      </c>
      <c r="B662" s="0" t="s">
        <v>993</v>
      </c>
      <c r="C662" s="0" t="s">
        <v>994</v>
      </c>
      <c r="D662" s="0" t="s">
        <v>994</v>
      </c>
      <c r="E662" s="0" t="s">
        <v>13</v>
      </c>
      <c r="F662" s="0" t="s">
        <v>14</v>
      </c>
      <c r="G662" s="0" t="s">
        <v>15</v>
      </c>
      <c r="H662" s="5">
        <v>1350.211600</v>
      </c>
    </row>
    <row r="663" spans="1:9">
      <c r="A663" s="22" t="str">
        <f>HYPERLINK("https://app.vivvix.com/360/KMI/IntelliDrive/ApplUI/Pages/CreativePages/CustomReportCreativeDetail.aspx?App=23&amp;ReportView=4&amp;Qid=1711245&amp;Row=655&amp;Col=1","No Title Assigned - #15264725478")</f>
        <v/>
      </c>
      <c r="B663" s="0" t="s">
        <v>995</v>
      </c>
      <c r="C663" s="0" t="s">
        <v>996</v>
      </c>
      <c r="D663" s="0" t="s">
        <v>996</v>
      </c>
      <c r="E663" s="0" t="s">
        <v>13</v>
      </c>
      <c r="F663" s="0" t="s">
        <v>14</v>
      </c>
      <c r="G663" s="0" t="s">
        <v>15</v>
      </c>
      <c r="H663" s="5">
        <v>1150.835600</v>
      </c>
    </row>
    <row r="664" spans="1:9">
      <c r="A664" s="22" t="str">
        <f>HYPERLINK("https://app.vivvix.com/360/KMI/IntelliDrive/ApplUI/Pages/CreativePages/CustomReportCreativeDetail.aspx?App=23&amp;ReportView=4&amp;Qid=1711245&amp;Row=656&amp;Col=1","No Title Assigned - #15264732503")</f>
        <v/>
      </c>
      <c r="B664" s="0" t="s">
        <v>997</v>
      </c>
      <c r="C664" s="0" t="s">
        <v>998</v>
      </c>
      <c r="D664" s="0" t="s">
        <v>998</v>
      </c>
      <c r="E664" s="0" t="s">
        <v>13</v>
      </c>
      <c r="F664" s="0" t="s">
        <v>14</v>
      </c>
      <c r="G664" s="0" t="s">
        <v>15</v>
      </c>
      <c r="H664" s="5">
        <v>81.374900</v>
      </c>
    </row>
    <row r="665" spans="1:9">
      <c r="A665" s="22" t="str">
        <f>HYPERLINK("https://app.vivvix.com/360/KMI/IntelliDrive/ApplUI/Pages/CreativePages/CustomReportCreativeDetail.aspx?App=23&amp;ReportView=4&amp;Qid=1711245&amp;Row=657&amp;Col=1","No Title Assigned - #15264749737")</f>
        <v/>
      </c>
      <c r="B665" s="0" t="s">
        <v>999</v>
      </c>
      <c r="E665" s="0" t="s">
        <v>13</v>
      </c>
      <c r="F665" s="0" t="s">
        <v>13</v>
      </c>
      <c r="G665" s="0" t="s">
        <v>54</v>
      </c>
    </row>
    <row r="666" spans="1:9">
      <c r="A666" s="22" t="str">
        <f>HYPERLINK("https://app.vivvix.com/360/KMI/IntelliDrive/ApplUI/Pages/CreativePages/CustomReportCreativeDetail.aspx?App=23&amp;ReportView=4&amp;Qid=1711245&amp;Row=658&amp;Col=1","No Title Assigned - #15264752048")</f>
        <v/>
      </c>
      <c r="B666" s="0" t="s">
        <v>1000</v>
      </c>
      <c r="E666" s="0" t="s">
        <v>13</v>
      </c>
      <c r="F666" s="0" t="s">
        <v>13</v>
      </c>
      <c r="G666" s="0" t="s">
        <v>54</v>
      </c>
    </row>
    <row r="667" spans="1:9">
      <c r="A667" s="22" t="str">
        <f>HYPERLINK("https://app.vivvix.com/360/KMI/IntelliDrive/ApplUI/Pages/CreativePages/CustomReportCreativeDetail.aspx?App=23&amp;ReportView=4&amp;Qid=1711245&amp;Row=659&amp;Col=1","No Title Assigned - #15264752258")</f>
        <v/>
      </c>
      <c r="B667" s="0" t="s">
        <v>1001</v>
      </c>
      <c r="E667" s="0" t="s">
        <v>13</v>
      </c>
      <c r="F667" s="0" t="s">
        <v>13</v>
      </c>
      <c r="G667" s="0" t="s">
        <v>54</v>
      </c>
      <c r="H667" s="5">
        <v>21165.992600</v>
      </c>
    </row>
    <row r="668" spans="1:9">
      <c r="A668" s="22" t="str">
        <f>HYPERLINK("https://app.vivvix.com/360/KMI/IntelliDrive/ApplUI/Pages/CreativePages/CustomReportCreativeDetail.aspx?App=23&amp;ReportView=4&amp;Qid=1711245&amp;Row=660&amp;Col=1","No Title Assigned - #15264754733")</f>
        <v/>
      </c>
      <c r="B668" s="0" t="s">
        <v>1002</v>
      </c>
      <c r="E668" s="0" t="s">
        <v>13</v>
      </c>
      <c r="F668" s="0" t="s">
        <v>13</v>
      </c>
      <c r="G668" s="0" t="s">
        <v>54</v>
      </c>
    </row>
    <row r="669" spans="1:9">
      <c r="A669" s="22" t="str">
        <f>HYPERLINK("https://app.vivvix.com/360/KMI/IntelliDrive/ApplUI/Pages/CreativePages/CustomReportCreativeDetail.aspx?App=23&amp;ReportView=4&amp;Qid=1711245&amp;Row=661&amp;Col=1","No Title Assigned - #15264766172")</f>
        <v/>
      </c>
      <c r="B669" s="0" t="s">
        <v>1003</v>
      </c>
      <c r="E669" s="0" t="s">
        <v>13</v>
      </c>
      <c r="F669" s="0" t="s">
        <v>13</v>
      </c>
      <c r="G669" s="0" t="s">
        <v>54</v>
      </c>
      <c r="H669" s="5">
        <v>1276.133500</v>
      </c>
    </row>
    <row r="670" spans="1:9">
      <c r="A670" s="22" t="str">
        <f>HYPERLINK("https://app.vivvix.com/360/KMI/IntelliDrive/ApplUI/Pages/CreativePages/CustomReportCreativeDetail.aspx?App=23&amp;ReportView=4&amp;Qid=1711245&amp;Row=662&amp;Col=1","No Title Assigned - #15264773413")</f>
        <v/>
      </c>
      <c r="B670" s="0" t="s">
        <v>1004</v>
      </c>
      <c r="C670" s="0" t="s">
        <v>1005</v>
      </c>
      <c r="D670" s="0" t="s">
        <v>1005</v>
      </c>
      <c r="E670" s="0" t="s">
        <v>13</v>
      </c>
      <c r="F670" s="0" t="s">
        <v>14</v>
      </c>
      <c r="G670" s="0" t="s">
        <v>15</v>
      </c>
      <c r="H670" s="5">
        <v>415.003800</v>
      </c>
    </row>
    <row r="671" spans="1:9">
      <c r="A671" s="22" t="str">
        <f>HYPERLINK("https://app.vivvix.com/360/KMI/IntelliDrive/ApplUI/Pages/CreativePages/CustomReportCreativeDetail.aspx?App=23&amp;ReportView=4&amp;Qid=1711245&amp;Row=663&amp;Col=1","No Title Assigned - #15264773522")</f>
        <v/>
      </c>
      <c r="B671" s="0" t="s">
        <v>1006</v>
      </c>
      <c r="C671" s="0" t="s">
        <v>1007</v>
      </c>
      <c r="D671" s="0" t="s">
        <v>1007</v>
      </c>
      <c r="E671" s="0" t="s">
        <v>13</v>
      </c>
      <c r="F671" s="0" t="s">
        <v>540</v>
      </c>
      <c r="G671" s="0" t="s">
        <v>541</v>
      </c>
      <c r="H671" s="5">
        <v>19.588400</v>
      </c>
    </row>
    <row r="672" spans="1:9">
      <c r="A672" s="22" t="str">
        <f>HYPERLINK("https://app.vivvix.com/360/KMI/IntelliDrive/ApplUI/Pages/CreativePages/CustomReportCreativeDetail.aspx?App=23&amp;ReportView=4&amp;Qid=1711245&amp;Row=664&amp;Col=1","No Title Assigned - #15264773631")</f>
        <v/>
      </c>
      <c r="B672" s="0" t="s">
        <v>1008</v>
      </c>
      <c r="C672" s="0" t="s">
        <v>1009</v>
      </c>
      <c r="D672" s="0" t="s">
        <v>1009</v>
      </c>
      <c r="E672" s="0" t="s">
        <v>13</v>
      </c>
      <c r="F672" s="0" t="s">
        <v>14</v>
      </c>
      <c r="G672" s="0" t="s">
        <v>15</v>
      </c>
      <c r="H672" s="5">
        <v>295.378800</v>
      </c>
    </row>
    <row r="673" spans="1:9">
      <c r="A673" s="22" t="str">
        <f>HYPERLINK("https://app.vivvix.com/360/KMI/IntelliDrive/ApplUI/Pages/CreativePages/CustomReportCreativeDetail.aspx?App=23&amp;ReportView=4&amp;Qid=1711245&amp;Row=665&amp;Col=1","No Title Assigned - #15264777701")</f>
        <v/>
      </c>
      <c r="B673" s="0" t="s">
        <v>1010</v>
      </c>
      <c r="C673" s="0" t="s">
        <v>1011</v>
      </c>
      <c r="D673" s="0" t="s">
        <v>1011</v>
      </c>
      <c r="E673" s="0" t="s">
        <v>13</v>
      </c>
      <c r="F673" s="0" t="s">
        <v>14</v>
      </c>
      <c r="G673" s="0" t="s">
        <v>15</v>
      </c>
      <c r="H673" s="5">
        <v>2208.787200</v>
      </c>
    </row>
    <row r="674" spans="1:9">
      <c r="A674" s="22" t="str">
        <f>HYPERLINK("https://app.vivvix.com/360/KMI/IntelliDrive/ApplUI/Pages/CreativePages/CustomReportCreativeDetail.aspx?App=23&amp;ReportView=4&amp;Qid=1711245&amp;Row=666&amp;Col=1","No Title Assigned - #15264805384")</f>
        <v/>
      </c>
      <c r="B674" s="0" t="s">
        <v>1012</v>
      </c>
      <c r="C674" s="0" t="s">
        <v>1013</v>
      </c>
      <c r="D674" s="0" t="s">
        <v>1013</v>
      </c>
      <c r="E674" s="0" t="s">
        <v>13</v>
      </c>
      <c r="F674" s="0" t="s">
        <v>13</v>
      </c>
      <c r="G674" s="0" t="s">
        <v>54</v>
      </c>
      <c r="H674" s="5">
        <v>4417.625700</v>
      </c>
    </row>
    <row r="675" spans="1:9">
      <c r="A675" s="22" t="str">
        <f>HYPERLINK("https://app.vivvix.com/360/KMI/IntelliDrive/ApplUI/Pages/CreativePages/CustomReportCreativeDetail.aspx?App=23&amp;ReportView=4&amp;Qid=1711245&amp;Row=667&amp;Col=1","No Title Assigned - #15264835407")</f>
        <v/>
      </c>
      <c r="B675" s="0" t="s">
        <v>1014</v>
      </c>
      <c r="C675" s="0" t="s">
        <v>1015</v>
      </c>
      <c r="D675" s="0" t="s">
        <v>1015</v>
      </c>
      <c r="E675" s="0" t="s">
        <v>13</v>
      </c>
      <c r="F675" s="0" t="s">
        <v>540</v>
      </c>
      <c r="G675" s="0" t="s">
        <v>541</v>
      </c>
      <c r="H675" s="5">
        <v>1773.288000</v>
      </c>
    </row>
    <row r="676" spans="1:9">
      <c r="A676" s="22" t="str">
        <f>HYPERLINK("https://app.vivvix.com/360/KMI/IntelliDrive/ApplUI/Pages/CreativePages/CustomReportCreativeDetail.aspx?App=23&amp;ReportView=4&amp;Qid=1711245&amp;Row=668&amp;Col=1","No Title Assigned - #15264836186")</f>
        <v/>
      </c>
      <c r="B676" s="0" t="s">
        <v>1016</v>
      </c>
      <c r="C676" s="0" t="s">
        <v>1017</v>
      </c>
      <c r="D676" s="0" t="s">
        <v>1017</v>
      </c>
      <c r="E676" s="0" t="s">
        <v>13</v>
      </c>
      <c r="F676" s="0" t="s">
        <v>540</v>
      </c>
      <c r="G676" s="0" t="s">
        <v>541</v>
      </c>
      <c r="H676" s="5">
        <v>200.853800</v>
      </c>
    </row>
    <row r="677" spans="1:9">
      <c r="A677" s="22" t="str">
        <f>HYPERLINK("https://app.vivvix.com/360/KMI/IntelliDrive/ApplUI/Pages/CreativePages/CustomReportCreativeDetail.aspx?App=23&amp;ReportView=4&amp;Qid=1711245&amp;Row=669&amp;Col=1","No Title Assigned - #15264861410")</f>
        <v/>
      </c>
      <c r="B677" s="0" t="s">
        <v>1018</v>
      </c>
      <c r="C677" s="0" t="s">
        <v>1019</v>
      </c>
      <c r="D677" s="0" t="s">
        <v>1019</v>
      </c>
      <c r="E677" s="0" t="s">
        <v>13</v>
      </c>
      <c r="F677" s="0" t="s">
        <v>14</v>
      </c>
      <c r="G677" s="0" t="s">
        <v>15</v>
      </c>
      <c r="H677" s="5">
        <v>1480.683700</v>
      </c>
    </row>
    <row r="678" spans="1:9">
      <c r="A678" s="22" t="str">
        <f>HYPERLINK("https://app.vivvix.com/360/KMI/IntelliDrive/ApplUI/Pages/CreativePages/CustomReportCreativeDetail.aspx?App=23&amp;ReportView=4&amp;Qid=1711245&amp;Row=670&amp;Col=1","No Title Assigned - #15264866088")</f>
        <v/>
      </c>
      <c r="B678" s="0" t="s">
        <v>1020</v>
      </c>
      <c r="C678" s="0" t="s">
        <v>1021</v>
      </c>
      <c r="D678" s="0" t="s">
        <v>1021</v>
      </c>
      <c r="E678" s="0" t="s">
        <v>13</v>
      </c>
      <c r="F678" s="0" t="s">
        <v>14</v>
      </c>
      <c r="G678" s="0" t="s">
        <v>15</v>
      </c>
      <c r="H678" s="5">
        <v>271.010200</v>
      </c>
    </row>
    <row r="679" spans="1:9">
      <c r="A679" s="22" t="str">
        <f>HYPERLINK("https://app.vivvix.com/360/KMI/IntelliDrive/ApplUI/Pages/CreativePages/CustomReportCreativeDetail.aspx?App=23&amp;ReportView=4&amp;Qid=1711245&amp;Row=671&amp;Col=1","No Title Assigned - #15264874280")</f>
        <v/>
      </c>
      <c r="B679" s="0" t="s">
        <v>1022</v>
      </c>
      <c r="C679" s="0" t="s">
        <v>1023</v>
      </c>
      <c r="D679" s="0" t="s">
        <v>1023</v>
      </c>
      <c r="E679" s="0" t="s">
        <v>13</v>
      </c>
      <c r="F679" s="0" t="s">
        <v>17</v>
      </c>
      <c r="G679" s="0" t="s">
        <v>446</v>
      </c>
      <c r="H679" s="5">
        <v>39.176800</v>
      </c>
    </row>
    <row r="680" spans="1:9">
      <c r="A680" s="22" t="str">
        <f>HYPERLINK("https://app.vivvix.com/360/KMI/IntelliDrive/ApplUI/Pages/CreativePages/CustomReportCreativeDetail.aspx?App=23&amp;ReportView=4&amp;Qid=1711245&amp;Row=672&amp;Col=1","No Title Assigned - #15264879632")</f>
        <v/>
      </c>
      <c r="B680" s="0" t="s">
        <v>1024</v>
      </c>
      <c r="E680" s="0" t="s">
        <v>13</v>
      </c>
      <c r="F680" s="0" t="s">
        <v>13</v>
      </c>
      <c r="G680" s="0" t="s">
        <v>35</v>
      </c>
      <c r="H680" s="5">
        <v>117890.226400</v>
      </c>
    </row>
    <row r="681" spans="1:9">
      <c r="A681" s="22" t="str">
        <f>HYPERLINK("https://app.vivvix.com/360/KMI/IntelliDrive/ApplUI/Pages/CreativePages/CustomReportCreativeDetail.aspx?App=23&amp;ReportView=4&amp;Qid=1711245&amp;Row=673&amp;Col=1","No Title Assigned - #15264883307")</f>
        <v/>
      </c>
      <c r="B681" s="0" t="s">
        <v>1025</v>
      </c>
      <c r="C681" s="0" t="s">
        <v>1026</v>
      </c>
      <c r="D681" s="0" t="s">
        <v>1026</v>
      </c>
      <c r="E681" s="0" t="s">
        <v>13</v>
      </c>
      <c r="F681" s="0" t="s">
        <v>14</v>
      </c>
      <c r="G681" s="0" t="s">
        <v>15</v>
      </c>
      <c r="H681" s="5">
        <v>24170.542400</v>
      </c>
    </row>
    <row r="682" spans="1:9">
      <c r="A682" s="22" t="str">
        <f>HYPERLINK("https://app.vivvix.com/360/KMI/IntelliDrive/ApplUI/Pages/CreativePages/CustomReportCreativeDetail.aspx?App=23&amp;ReportView=4&amp;Qid=1711245&amp;Row=674&amp;Col=1","No Title Assigned - #15264916463")</f>
        <v/>
      </c>
      <c r="B682" s="0" t="s">
        <v>1027</v>
      </c>
      <c r="E682" s="0" t="s">
        <v>13</v>
      </c>
      <c r="F682" s="0" t="s">
        <v>13</v>
      </c>
      <c r="G682" s="0" t="s">
        <v>54</v>
      </c>
    </row>
    <row r="683" spans="1:9">
      <c r="A683" s="22" t="str">
        <f>HYPERLINK("https://app.vivvix.com/360/KMI/IntelliDrive/ApplUI/Pages/CreativePages/CustomReportCreativeDetail.aspx?App=23&amp;ReportView=4&amp;Qid=1711245&amp;Row=675&amp;Col=1","No Title Assigned - #15264930749")</f>
        <v/>
      </c>
      <c r="B683" s="0" t="s">
        <v>1028</v>
      </c>
      <c r="C683" s="0" t="s">
        <v>1029</v>
      </c>
      <c r="D683" s="0" t="s">
        <v>1029</v>
      </c>
      <c r="E683" s="0" t="s">
        <v>13</v>
      </c>
      <c r="F683" s="0" t="s">
        <v>14</v>
      </c>
      <c r="G683" s="0" t="s">
        <v>15</v>
      </c>
      <c r="H683" s="5">
        <v>4438.665000</v>
      </c>
    </row>
    <row r="684" spans="1:9">
      <c r="A684" s="22" t="str">
        <f>HYPERLINK("https://app.vivvix.com/360/KMI/IntelliDrive/ApplUI/Pages/CreativePages/CustomReportCreativeDetail.aspx?App=23&amp;ReportView=4&amp;Qid=1711245&amp;Row=676&amp;Col=1","No Title Assigned - #15264938291")</f>
        <v/>
      </c>
      <c r="B684" s="0" t="s">
        <v>1030</v>
      </c>
      <c r="E684" s="0" t="s">
        <v>13</v>
      </c>
      <c r="F684" s="0" t="s">
        <v>13</v>
      </c>
      <c r="G684" s="0" t="s">
        <v>54</v>
      </c>
    </row>
    <row r="685" spans="1:9">
      <c r="A685" s="22" t="str">
        <f>HYPERLINK("https://app.vivvix.com/360/KMI/IntelliDrive/ApplUI/Pages/CreativePages/CustomReportCreativeDetail.aspx?App=23&amp;ReportView=4&amp;Qid=1711245&amp;Row=677&amp;Col=1","No Title Assigned - #15264944399")</f>
        <v/>
      </c>
      <c r="B685" s="0" t="s">
        <v>1031</v>
      </c>
      <c r="C685" s="0" t="s">
        <v>1032</v>
      </c>
      <c r="D685" s="0" t="s">
        <v>1032</v>
      </c>
      <c r="E685" s="0" t="s">
        <v>13</v>
      </c>
      <c r="F685" s="0" t="s">
        <v>14</v>
      </c>
      <c r="G685" s="0" t="s">
        <v>15</v>
      </c>
      <c r="H685" s="5">
        <v>271.315100</v>
      </c>
    </row>
    <row r="686" spans="1:9">
      <c r="A686" s="22" t="str">
        <f>HYPERLINK("https://app.vivvix.com/360/KMI/IntelliDrive/ApplUI/Pages/CreativePages/CustomReportCreativeDetail.aspx?App=23&amp;ReportView=4&amp;Qid=1711245&amp;Row=678&amp;Col=1","No Title Assigned - #15264987652")</f>
        <v/>
      </c>
      <c r="B686" s="0" t="s">
        <v>1033</v>
      </c>
      <c r="C686" s="0" t="s">
        <v>1034</v>
      </c>
      <c r="D686" s="0" t="s">
        <v>1034</v>
      </c>
      <c r="E686" s="0" t="s">
        <v>13</v>
      </c>
      <c r="F686" s="0" t="s">
        <v>13</v>
      </c>
      <c r="G686" s="0" t="s">
        <v>576</v>
      </c>
      <c r="H686" s="5">
        <v>918.245100</v>
      </c>
    </row>
    <row r="687" spans="1:9">
      <c r="A687" s="22" t="str">
        <f>HYPERLINK("https://app.vivvix.com/360/KMI/IntelliDrive/ApplUI/Pages/CreativePages/CustomReportCreativeDetail.aspx?App=23&amp;ReportView=4&amp;Qid=1711245&amp;Row=679&amp;Col=1","No Title Assigned - #15264996882")</f>
        <v/>
      </c>
      <c r="B687" s="0" t="s">
        <v>1035</v>
      </c>
      <c r="C687" s="0" t="s">
        <v>1036</v>
      </c>
      <c r="D687" s="0" t="s">
        <v>1036</v>
      </c>
      <c r="E687" s="0" t="s">
        <v>13</v>
      </c>
      <c r="F687" s="0" t="s">
        <v>17</v>
      </c>
      <c r="G687" s="0" t="s">
        <v>446</v>
      </c>
      <c r="H687" s="5">
        <v>3719.082400</v>
      </c>
    </row>
    <row r="688" spans="1:9">
      <c r="A688" s="22" t="str">
        <f>HYPERLINK("https://app.vivvix.com/360/KMI/IntelliDrive/ApplUI/Pages/CreativePages/CustomReportCreativeDetail.aspx?App=23&amp;ReportView=4&amp;Qid=1711245&amp;Row=680&amp;Col=1","No Title Assigned - #15264998949")</f>
        <v/>
      </c>
      <c r="B688" s="0" t="s">
        <v>1037</v>
      </c>
      <c r="E688" s="0" t="s">
        <v>13</v>
      </c>
      <c r="F688" s="0" t="s">
        <v>13</v>
      </c>
      <c r="G688" s="0" t="s">
        <v>54</v>
      </c>
    </row>
    <row r="689" spans="1:9">
      <c r="A689" s="22" t="str">
        <f>HYPERLINK("https://app.vivvix.com/360/KMI/IntelliDrive/ApplUI/Pages/CreativePages/CustomReportCreativeDetail.aspx?App=23&amp;ReportView=4&amp;Qid=1711245&amp;Row=681&amp;Col=1","No Title Assigned - #15264999000")</f>
        <v/>
      </c>
      <c r="B689" s="0" t="s">
        <v>1038</v>
      </c>
      <c r="E689" s="0" t="s">
        <v>13</v>
      </c>
      <c r="F689" s="0" t="s">
        <v>13</v>
      </c>
      <c r="G689" s="0" t="s">
        <v>54</v>
      </c>
    </row>
    <row r="690" spans="1:9">
      <c r="A690" s="22" t="str">
        <f>HYPERLINK("https://app.vivvix.com/360/KMI/IntelliDrive/ApplUI/Pages/CreativePages/CustomReportCreativeDetail.aspx?App=23&amp;ReportView=4&amp;Qid=1711245&amp;Row=682&amp;Col=1","No Title Assigned - #15265007405")</f>
        <v/>
      </c>
      <c r="B690" s="0" t="s">
        <v>1039</v>
      </c>
      <c r="C690" s="0" t="s">
        <v>1040</v>
      </c>
      <c r="D690" s="0" t="s">
        <v>1040</v>
      </c>
      <c r="E690" s="0" t="s">
        <v>13</v>
      </c>
      <c r="F690" s="0" t="s">
        <v>14</v>
      </c>
      <c r="G690" s="0" t="s">
        <v>15</v>
      </c>
      <c r="H690" s="5">
        <v>1074.315200</v>
      </c>
    </row>
    <row r="691" spans="1:9">
      <c r="A691" s="22" t="str">
        <f>HYPERLINK("https://app.vivvix.com/360/KMI/IntelliDrive/ApplUI/Pages/CreativePages/CustomReportCreativeDetail.aspx?App=23&amp;ReportView=4&amp;Qid=1711245&amp;Row=683&amp;Col=1","No Title Assigned - #15265012557")</f>
        <v/>
      </c>
      <c r="B691" s="0" t="s">
        <v>1041</v>
      </c>
      <c r="C691" s="0" t="s">
        <v>1042</v>
      </c>
      <c r="D691" s="0" t="s">
        <v>1042</v>
      </c>
      <c r="E691" s="0" t="s">
        <v>13</v>
      </c>
      <c r="F691" s="0" t="s">
        <v>540</v>
      </c>
      <c r="G691" s="0" t="s">
        <v>541</v>
      </c>
      <c r="H691" s="5">
        <v>58.765200</v>
      </c>
    </row>
    <row r="692" spans="1:9">
      <c r="A692" s="22" t="str">
        <f>HYPERLINK("https://app.vivvix.com/360/KMI/IntelliDrive/ApplUI/Pages/CreativePages/CustomReportCreativeDetail.aspx?App=23&amp;ReportView=4&amp;Qid=1711245&amp;Row=684&amp;Col=1","No Title Assigned - #15265013046")</f>
        <v/>
      </c>
      <c r="B692" s="0" t="s">
        <v>1043</v>
      </c>
      <c r="C692" s="0" t="s">
        <v>1044</v>
      </c>
      <c r="D692" s="0" t="s">
        <v>1044</v>
      </c>
      <c r="E692" s="0" t="s">
        <v>13</v>
      </c>
      <c r="F692" s="0" t="s">
        <v>28</v>
      </c>
      <c r="G692" s="0" t="s">
        <v>453</v>
      </c>
      <c r="H692" s="5">
        <v>170.755600</v>
      </c>
    </row>
    <row r="693" spans="1:9">
      <c r="A693" s="22" t="str">
        <f>HYPERLINK("https://app.vivvix.com/360/KMI/IntelliDrive/ApplUI/Pages/CreativePages/CustomReportCreativeDetail.aspx?App=23&amp;ReportView=4&amp;Qid=1711245&amp;Row=685&amp;Col=1","No Title Assigned - #15265013067")</f>
        <v/>
      </c>
      <c r="B693" s="0" t="s">
        <v>1045</v>
      </c>
      <c r="C693" s="0" t="s">
        <v>1046</v>
      </c>
      <c r="D693" s="0" t="s">
        <v>1046</v>
      </c>
      <c r="E693" s="0" t="s">
        <v>13</v>
      </c>
      <c r="F693" s="0" t="s">
        <v>28</v>
      </c>
      <c r="G693" s="0" t="s">
        <v>453</v>
      </c>
      <c r="H693" s="5">
        <v>19.588400</v>
      </c>
    </row>
    <row r="694" spans="1:9">
      <c r="A694" s="22" t="str">
        <f>HYPERLINK("https://app.vivvix.com/360/KMI/IntelliDrive/ApplUI/Pages/CreativePages/CustomReportCreativeDetail.aspx?App=23&amp;ReportView=4&amp;Qid=1711245&amp;Row=686&amp;Col=1","No Title Assigned - #15265013078")</f>
        <v/>
      </c>
      <c r="B694" s="0" t="s">
        <v>1047</v>
      </c>
      <c r="C694" s="0" t="s">
        <v>1048</v>
      </c>
      <c r="D694" s="0" t="s">
        <v>1048</v>
      </c>
      <c r="E694" s="0" t="s">
        <v>13</v>
      </c>
      <c r="F694" s="0" t="s">
        <v>28</v>
      </c>
      <c r="G694" s="0" t="s">
        <v>453</v>
      </c>
      <c r="H694" s="5">
        <v>19.588400</v>
      </c>
    </row>
    <row r="695" spans="1:9">
      <c r="A695" s="22" t="str">
        <f>HYPERLINK("https://app.vivvix.com/360/KMI/IntelliDrive/ApplUI/Pages/CreativePages/CustomReportCreativeDetail.aspx?App=23&amp;ReportView=4&amp;Qid=1711245&amp;Row=687&amp;Col=1","No Title Assigned - #15265015081")</f>
        <v/>
      </c>
      <c r="B695" s="0" t="s">
        <v>1049</v>
      </c>
      <c r="C695" s="0" t="s">
        <v>1050</v>
      </c>
      <c r="D695" s="0" t="s">
        <v>1050</v>
      </c>
      <c r="E695" s="0" t="s">
        <v>13</v>
      </c>
      <c r="F695" s="0" t="s">
        <v>128</v>
      </c>
      <c r="G695" s="0" t="s">
        <v>456</v>
      </c>
      <c r="H695" s="5">
        <v>19.588400</v>
      </c>
    </row>
    <row r="696" spans="1:9">
      <c r="A696" s="22" t="str">
        <f>HYPERLINK("https://app.vivvix.com/360/KMI/IntelliDrive/ApplUI/Pages/CreativePages/CustomReportCreativeDetail.aspx?App=23&amp;ReportView=4&amp;Qid=1711245&amp;Row=688&amp;Col=1","No Title Assigned - #15265016303")</f>
        <v/>
      </c>
      <c r="B696" s="0" t="s">
        <v>1051</v>
      </c>
      <c r="C696" s="0" t="s">
        <v>1052</v>
      </c>
      <c r="D696" s="0" t="s">
        <v>1052</v>
      </c>
      <c r="E696" s="0" t="s">
        <v>13</v>
      </c>
      <c r="F696" s="0" t="s">
        <v>14</v>
      </c>
      <c r="G696" s="0" t="s">
        <v>15</v>
      </c>
      <c r="H696" s="5">
        <v>2256.966800</v>
      </c>
    </row>
    <row r="697" spans="1:9">
      <c r="A697" s="22" t="str">
        <f>HYPERLINK("https://app.vivvix.com/360/KMI/IntelliDrive/ApplUI/Pages/CreativePages/CustomReportCreativeDetail.aspx?App=23&amp;ReportView=4&amp;Qid=1711245&amp;Row=689&amp;Col=1","No Title Assigned - #15265020341")</f>
        <v/>
      </c>
      <c r="B697" s="0" t="s">
        <v>1053</v>
      </c>
      <c r="C697" s="0" t="s">
        <v>1054</v>
      </c>
      <c r="D697" s="0" t="s">
        <v>1054</v>
      </c>
      <c r="E697" s="0" t="s">
        <v>13</v>
      </c>
      <c r="F697" s="0" t="s">
        <v>14</v>
      </c>
      <c r="G697" s="0" t="s">
        <v>15</v>
      </c>
      <c r="H697" s="5">
        <v>243.342700</v>
      </c>
    </row>
    <row r="698" spans="1:9">
      <c r="A698" s="22" t="str">
        <f>HYPERLINK("https://app.vivvix.com/360/KMI/IntelliDrive/ApplUI/Pages/CreativePages/CustomReportCreativeDetail.aspx?App=23&amp;ReportView=4&amp;Qid=1711245&amp;Row=690&amp;Col=1","No Title Assigned - #15265042124")</f>
        <v/>
      </c>
      <c r="B698" s="0" t="s">
        <v>1055</v>
      </c>
      <c r="C698" s="0" t="s">
        <v>1056</v>
      </c>
      <c r="D698" s="0" t="s">
        <v>1056</v>
      </c>
      <c r="E698" s="0" t="s">
        <v>13</v>
      </c>
      <c r="F698" s="0" t="s">
        <v>28</v>
      </c>
      <c r="G698" s="0" t="s">
        <v>453</v>
      </c>
      <c r="H698" s="5">
        <v>6191.640600</v>
      </c>
    </row>
    <row r="699" spans="1:9">
      <c r="A699" s="22" t="str">
        <f>HYPERLINK("https://app.vivvix.com/360/KMI/IntelliDrive/ApplUI/Pages/CreativePages/CustomReportCreativeDetail.aspx?App=23&amp;ReportView=4&amp;Qid=1711245&amp;Row=691&amp;Col=1","No Title Assigned - #15265057252")</f>
        <v/>
      </c>
      <c r="B699" s="0" t="s">
        <v>1057</v>
      </c>
      <c r="E699" s="0" t="s">
        <v>13</v>
      </c>
      <c r="F699" s="0" t="s">
        <v>13</v>
      </c>
      <c r="G699" s="0" t="s">
        <v>54</v>
      </c>
    </row>
    <row r="700" spans="1:9">
      <c r="A700" s="22" t="str">
        <f>HYPERLINK("https://app.vivvix.com/360/KMI/IntelliDrive/ApplUI/Pages/CreativePages/CustomReportCreativeDetail.aspx?App=23&amp;ReportView=4&amp;Qid=1711245&amp;Row=692&amp;Col=1","No Title Assigned - #15265068115")</f>
        <v/>
      </c>
      <c r="B700" s="0" t="s">
        <v>1058</v>
      </c>
      <c r="E700" s="0" t="s">
        <v>13</v>
      </c>
      <c r="F700" s="0" t="s">
        <v>13</v>
      </c>
      <c r="G700" s="0" t="s">
        <v>54</v>
      </c>
      <c r="H700" s="5">
        <v>791.664200</v>
      </c>
    </row>
    <row r="701" spans="1:9">
      <c r="A701" s="22" t="str">
        <f>HYPERLINK("https://app.vivvix.com/360/KMI/IntelliDrive/ApplUI/Pages/CreativePages/CustomReportCreativeDetail.aspx?App=23&amp;ReportView=4&amp;Qid=1711245&amp;Row=693&amp;Col=1","No Title Assigned - #15265070069")</f>
        <v/>
      </c>
      <c r="B701" s="0" t="s">
        <v>1059</v>
      </c>
      <c r="C701" s="0" t="s">
        <v>1060</v>
      </c>
      <c r="D701" s="0" t="s">
        <v>1060</v>
      </c>
      <c r="E701" s="0" t="s">
        <v>13</v>
      </c>
      <c r="F701" s="0" t="s">
        <v>13</v>
      </c>
      <c r="G701" s="0" t="s">
        <v>54</v>
      </c>
    </row>
    <row r="702" spans="1:9">
      <c r="A702" s="22" t="str">
        <f>HYPERLINK("https://app.vivvix.com/360/KMI/IntelliDrive/ApplUI/Pages/CreativePages/CustomReportCreativeDetail.aspx?App=23&amp;ReportView=4&amp;Qid=1711245&amp;Row=694&amp;Col=1","No Title Assigned - #15265076357")</f>
        <v/>
      </c>
      <c r="B702" s="0" t="s">
        <v>1061</v>
      </c>
      <c r="E702" s="0" t="s">
        <v>13</v>
      </c>
      <c r="F702" s="0" t="s">
        <v>13</v>
      </c>
      <c r="G702" s="0" t="s">
        <v>54</v>
      </c>
    </row>
    <row r="703" spans="1:9">
      <c r="A703" s="22" t="str">
        <f>HYPERLINK("https://app.vivvix.com/360/KMI/IntelliDrive/ApplUI/Pages/CreativePages/CustomReportCreativeDetail.aspx?App=23&amp;ReportView=4&amp;Qid=1711245&amp;Row=695&amp;Col=1","No Title Assigned - #15265076357")</f>
        <v/>
      </c>
      <c r="B703" s="0" t="s">
        <v>1061</v>
      </c>
      <c r="E703" s="0" t="s">
        <v>13</v>
      </c>
      <c r="F703" s="0" t="s">
        <v>13</v>
      </c>
      <c r="G703" s="0" t="s">
        <v>54</v>
      </c>
    </row>
    <row r="704" spans="1:9">
      <c r="A704" s="22" t="str">
        <f>HYPERLINK("https://app.vivvix.com/360/KMI/IntelliDrive/ApplUI/Pages/CreativePages/CustomReportCreativeDetail.aspx?App=23&amp;ReportView=4&amp;Qid=1711245&amp;Row=696&amp;Col=1","No Title Assigned - #15265121180")</f>
        <v/>
      </c>
      <c r="B704" s="0" t="s">
        <v>1062</v>
      </c>
      <c r="C704" s="0" t="s">
        <v>1063</v>
      </c>
      <c r="D704" s="0" t="s">
        <v>1063</v>
      </c>
      <c r="E704" s="0" t="s">
        <v>13</v>
      </c>
      <c r="F704" s="0" t="s">
        <v>128</v>
      </c>
      <c r="G704" s="0" t="s">
        <v>456</v>
      </c>
      <c r="H704" s="5">
        <v>19.588400</v>
      </c>
    </row>
    <row r="705" spans="1:9">
      <c r="A705" s="22" t="str">
        <f>HYPERLINK("https://app.vivvix.com/360/KMI/IntelliDrive/ApplUI/Pages/CreativePages/CustomReportCreativeDetail.aspx?App=23&amp;ReportView=4&amp;Qid=1711245&amp;Row=697&amp;Col=1","No Title Assigned - #15265136379")</f>
        <v/>
      </c>
      <c r="B705" s="0" t="s">
        <v>1064</v>
      </c>
      <c r="C705" s="0" t="s">
        <v>1065</v>
      </c>
      <c r="D705" s="0" t="s">
        <v>1065</v>
      </c>
      <c r="E705" s="0" t="s">
        <v>13</v>
      </c>
      <c r="F705" s="0" t="s">
        <v>14</v>
      </c>
      <c r="G705" s="0" t="s">
        <v>15</v>
      </c>
      <c r="H705" s="5">
        <v>448.864400</v>
      </c>
    </row>
    <row r="706" spans="1:9">
      <c r="A706" s="22" t="str">
        <f>HYPERLINK("https://app.vivvix.com/360/KMI/IntelliDrive/ApplUI/Pages/CreativePages/CustomReportCreativeDetail.aspx?App=23&amp;ReportView=4&amp;Qid=1711245&amp;Row=698&amp;Col=1","No Title Assigned - #15265148253")</f>
        <v/>
      </c>
      <c r="B706" s="0" t="s">
        <v>1066</v>
      </c>
      <c r="C706" s="0" t="s">
        <v>1067</v>
      </c>
      <c r="D706" s="0" t="s">
        <v>1067</v>
      </c>
      <c r="E706" s="0" t="s">
        <v>13</v>
      </c>
      <c r="F706" s="0" t="s">
        <v>14</v>
      </c>
      <c r="G706" s="0" t="s">
        <v>15</v>
      </c>
      <c r="H706" s="5">
        <v>295.378800</v>
      </c>
    </row>
    <row r="707" spans="1:9">
      <c r="A707" s="22" t="str">
        <f>HYPERLINK("https://app.vivvix.com/360/KMI/IntelliDrive/ApplUI/Pages/CreativePages/CustomReportCreativeDetail.aspx?App=23&amp;ReportView=4&amp;Qid=1711245&amp;Row=699&amp;Col=1","No Title Assigned - #15265202635")</f>
        <v/>
      </c>
      <c r="B707" s="0" t="s">
        <v>1068</v>
      </c>
      <c r="C707" s="0" t="s">
        <v>1069</v>
      </c>
      <c r="D707" s="0" t="s">
        <v>1069</v>
      </c>
      <c r="E707" s="0" t="s">
        <v>13</v>
      </c>
      <c r="F707" s="0" t="s">
        <v>14</v>
      </c>
      <c r="G707" s="0" t="s">
        <v>15</v>
      </c>
      <c r="H707" s="5">
        <v>271.010200</v>
      </c>
    </row>
    <row r="708" spans="1:9">
      <c r="A708" s="22" t="str">
        <f>HYPERLINK("https://app.vivvix.com/360/KMI/IntelliDrive/ApplUI/Pages/CreativePages/CustomReportCreativeDetail.aspx?App=23&amp;ReportView=4&amp;Qid=1711245&amp;Row=700&amp;Col=1","No Title Assigned - #15265208722")</f>
        <v/>
      </c>
      <c r="B708" s="0" t="s">
        <v>1070</v>
      </c>
      <c r="C708" s="0" t="s">
        <v>1071</v>
      </c>
      <c r="D708" s="0" t="s">
        <v>1071</v>
      </c>
      <c r="E708" s="0" t="s">
        <v>13</v>
      </c>
      <c r="F708" s="0" t="s">
        <v>14</v>
      </c>
      <c r="G708" s="0" t="s">
        <v>15</v>
      </c>
      <c r="H708" s="5">
        <v>19.588400</v>
      </c>
    </row>
    <row r="709" spans="1:9">
      <c r="A709" s="22" t="str">
        <f>HYPERLINK("https://app.vivvix.com/360/KMI/IntelliDrive/ApplUI/Pages/CreativePages/CustomReportCreativeDetail.aspx?App=23&amp;ReportView=4&amp;Qid=1711245&amp;Row=701&amp;Col=1","No Title Assigned - #15265259347")</f>
        <v/>
      </c>
      <c r="B709" s="0" t="s">
        <v>1072</v>
      </c>
      <c r="C709" s="0" t="s">
        <v>1073</v>
      </c>
      <c r="D709" s="0" t="s">
        <v>1073</v>
      </c>
      <c r="E709" s="0" t="s">
        <v>13</v>
      </c>
      <c r="F709" s="0" t="s">
        <v>14</v>
      </c>
      <c r="G709" s="0" t="s">
        <v>15</v>
      </c>
      <c r="H709" s="5">
        <v>611.740400</v>
      </c>
    </row>
    <row r="710" spans="1:9">
      <c r="A710" s="22" t="str">
        <f>HYPERLINK("https://app.vivvix.com/360/KMI/IntelliDrive/ApplUI/Pages/CreativePages/CustomReportCreativeDetail.aspx?App=23&amp;ReportView=4&amp;Qid=1711245&amp;Row=702&amp;Col=1","No Title Assigned - #15265263084")</f>
        <v/>
      </c>
      <c r="B710" s="0" t="s">
        <v>1074</v>
      </c>
      <c r="C710" s="0" t="s">
        <v>1075</v>
      </c>
      <c r="D710" s="0" t="s">
        <v>1075</v>
      </c>
      <c r="E710" s="0" t="s">
        <v>13</v>
      </c>
      <c r="F710" s="0" t="s">
        <v>128</v>
      </c>
      <c r="G710" s="0" t="s">
        <v>456</v>
      </c>
      <c r="H710" s="5">
        <v>19.588400</v>
      </c>
    </row>
    <row r="711" spans="1:9">
      <c r="A711" s="22" t="str">
        <f>HYPERLINK("https://app.vivvix.com/360/KMI/IntelliDrive/ApplUI/Pages/CreativePages/CustomReportCreativeDetail.aspx?App=23&amp;ReportView=4&amp;Qid=1711245&amp;Row=703&amp;Col=1","No Title Assigned - #15265312219")</f>
        <v/>
      </c>
      <c r="B711" s="0" t="s">
        <v>1076</v>
      </c>
      <c r="C711" s="0" t="s">
        <v>1077</v>
      </c>
      <c r="D711" s="0" t="s">
        <v>1077</v>
      </c>
      <c r="E711" s="0" t="s">
        <v>13</v>
      </c>
      <c r="F711" s="0" t="s">
        <v>13</v>
      </c>
      <c r="G711" s="0" t="s">
        <v>78</v>
      </c>
      <c r="H711" s="5">
        <v>2295.793200</v>
      </c>
    </row>
    <row r="712" spans="1:9">
      <c r="A712" s="22" t="str">
        <f>HYPERLINK("https://app.vivvix.com/360/KMI/IntelliDrive/ApplUI/Pages/CreativePages/CustomReportCreativeDetail.aspx?App=23&amp;ReportView=4&amp;Qid=1711245&amp;Row=704&amp;Col=1","No Title Assigned - #15265375754")</f>
        <v/>
      </c>
      <c r="B712" s="0" t="s">
        <v>1078</v>
      </c>
      <c r="C712" s="0" t="s">
        <v>1079</v>
      </c>
      <c r="D712" s="0" t="s">
        <v>1079</v>
      </c>
      <c r="E712" s="0" t="s">
        <v>13</v>
      </c>
      <c r="F712" s="0" t="s">
        <v>14</v>
      </c>
      <c r="G712" s="0" t="s">
        <v>15</v>
      </c>
      <c r="H712" s="5">
        <v>591.553800</v>
      </c>
    </row>
    <row r="713" spans="1:9">
      <c r="A713" s="22" t="str">
        <f>HYPERLINK("https://app.vivvix.com/360/KMI/IntelliDrive/ApplUI/Pages/CreativePages/CustomReportCreativeDetail.aspx?App=23&amp;ReportView=4&amp;Qid=1711245&amp;Row=705&amp;Col=1","No Title Assigned - #15265384900")</f>
        <v/>
      </c>
      <c r="B713" s="0" t="s">
        <v>1080</v>
      </c>
      <c r="C713" s="0" t="s">
        <v>1081</v>
      </c>
      <c r="D713" s="0" t="s">
        <v>565</v>
      </c>
      <c r="E713" s="0" t="s">
        <v>13</v>
      </c>
      <c r="F713" s="0" t="s">
        <v>530</v>
      </c>
      <c r="G713" s="0" t="s">
        <v>531</v>
      </c>
      <c r="H713" s="5">
        <v>396.550300</v>
      </c>
    </row>
    <row r="714" spans="1:9">
      <c r="A714" s="22" t="str">
        <f>HYPERLINK("https://app.vivvix.com/360/KMI/IntelliDrive/ApplUI/Pages/CreativePages/CustomReportCreativeDetail.aspx?App=23&amp;ReportView=4&amp;Qid=1711245&amp;Row=706&amp;Col=1","No Title Assigned - #15265433624")</f>
        <v/>
      </c>
      <c r="B714" s="0" t="s">
        <v>1082</v>
      </c>
      <c r="C714" s="0" t="s">
        <v>1083</v>
      </c>
      <c r="D714" s="0" t="s">
        <v>1083</v>
      </c>
      <c r="E714" s="0" t="s">
        <v>13</v>
      </c>
      <c r="F714" s="0" t="s">
        <v>14</v>
      </c>
      <c r="G714" s="0" t="s">
        <v>15</v>
      </c>
      <c r="H714" s="5">
        <v>105.368800</v>
      </c>
    </row>
    <row r="715" spans="1:9">
      <c r="A715" s="22" t="str">
        <f>HYPERLINK("https://app.vivvix.com/360/KMI/IntelliDrive/ApplUI/Pages/CreativePages/CustomReportCreativeDetail.aspx?App=23&amp;ReportView=4&amp;Qid=1711245&amp;Row=707&amp;Col=1","No Title Assigned - #15265447150")</f>
        <v/>
      </c>
      <c r="B715" s="0" t="s">
        <v>1084</v>
      </c>
      <c r="C715" s="0" t="s">
        <v>1085</v>
      </c>
      <c r="D715" s="0" t="s">
        <v>1085</v>
      </c>
      <c r="E715" s="0" t="s">
        <v>13</v>
      </c>
      <c r="F715" s="0" t="s">
        <v>13</v>
      </c>
      <c r="G715" s="0" t="s">
        <v>54</v>
      </c>
      <c r="H715" s="5">
        <v>2838.349500</v>
      </c>
    </row>
    <row r="716" spans="1:9">
      <c r="A716" s="22" t="str">
        <f>HYPERLINK("https://app.vivvix.com/360/KMI/IntelliDrive/ApplUI/Pages/CreativePages/CustomReportCreativeDetail.aspx?App=23&amp;ReportView=4&amp;Qid=1711245&amp;Row=708&amp;Col=1","No Title Assigned - #15265526277")</f>
        <v/>
      </c>
      <c r="B716" s="0" t="s">
        <v>1086</v>
      </c>
      <c r="C716" s="0" t="s">
        <v>765</v>
      </c>
      <c r="D716" s="0" t="s">
        <v>765</v>
      </c>
      <c r="E716" s="0" t="s">
        <v>13</v>
      </c>
      <c r="F716" s="0" t="s">
        <v>14</v>
      </c>
      <c r="G716" s="0" t="s">
        <v>15</v>
      </c>
      <c r="H716" s="5">
        <v>1089.854300</v>
      </c>
    </row>
    <row r="717" spans="1:9">
      <c r="A717" s="22" t="str">
        <f>HYPERLINK("https://app.vivvix.com/360/KMI/IntelliDrive/ApplUI/Pages/CreativePages/CustomReportCreativeDetail.aspx?App=23&amp;ReportView=4&amp;Qid=1711245&amp;Row=709&amp;Col=1","No Title Assigned - #15265558896")</f>
        <v/>
      </c>
      <c r="B717" s="0" t="s">
        <v>1087</v>
      </c>
      <c r="C717" s="0" t="s">
        <v>1088</v>
      </c>
      <c r="D717" s="0" t="s">
        <v>1088</v>
      </c>
      <c r="E717" s="0" t="s">
        <v>13</v>
      </c>
      <c r="F717" s="0" t="s">
        <v>14</v>
      </c>
      <c r="G717" s="0" t="s">
        <v>15</v>
      </c>
      <c r="H717" s="5">
        <v>290.604300</v>
      </c>
    </row>
    <row r="718" spans="1:9">
      <c r="A718" s="22" t="str">
        <f>HYPERLINK("https://app.vivvix.com/360/KMI/IntelliDrive/ApplUI/Pages/CreativePages/CustomReportCreativeDetail.aspx?App=23&amp;ReportView=4&amp;Qid=1711245&amp;Row=710&amp;Col=1","No Title Assigned - #15265558897")</f>
        <v/>
      </c>
      <c r="B718" s="0" t="s">
        <v>1089</v>
      </c>
      <c r="C718" s="0" t="s">
        <v>1090</v>
      </c>
      <c r="D718" s="0" t="s">
        <v>1090</v>
      </c>
      <c r="E718" s="0" t="s">
        <v>13</v>
      </c>
      <c r="F718" s="0" t="s">
        <v>14</v>
      </c>
      <c r="G718" s="0" t="s">
        <v>15</v>
      </c>
      <c r="H718" s="5">
        <v>290.604300</v>
      </c>
    </row>
    <row r="719" spans="1:9">
      <c r="A719" s="22" t="str">
        <f>HYPERLINK("https://app.vivvix.com/360/KMI/IntelliDrive/ApplUI/Pages/CreativePages/CustomReportCreativeDetail.aspx?App=23&amp;ReportView=4&amp;Qid=1711245&amp;Row=711&amp;Col=1","No Title Assigned - #15265569287")</f>
        <v/>
      </c>
      <c r="B719" s="0" t="s">
        <v>1091</v>
      </c>
      <c r="C719" s="0" t="s">
        <v>1092</v>
      </c>
      <c r="D719" s="0" t="s">
        <v>1092</v>
      </c>
      <c r="E719" s="0" t="s">
        <v>13</v>
      </c>
      <c r="F719" s="0" t="s">
        <v>13</v>
      </c>
      <c r="G719" s="0" t="s">
        <v>622</v>
      </c>
      <c r="H719" s="5">
        <v>810.642000</v>
      </c>
    </row>
    <row r="720" spans="1:9">
      <c r="A720" s="22" t="str">
        <f>HYPERLINK("https://app.vivvix.com/360/KMI/IntelliDrive/ApplUI/Pages/CreativePages/CustomReportCreativeDetail.aspx?App=23&amp;ReportView=4&amp;Qid=1711245&amp;Row=712&amp;Col=1","No Title Assigned - #15265574313")</f>
        <v/>
      </c>
      <c r="B720" s="0" t="s">
        <v>1093</v>
      </c>
      <c r="C720" s="0" t="s">
        <v>1094</v>
      </c>
      <c r="D720" s="0" t="s">
        <v>1094</v>
      </c>
      <c r="E720" s="0" t="s">
        <v>13</v>
      </c>
      <c r="F720" s="0" t="s">
        <v>14</v>
      </c>
      <c r="G720" s="0" t="s">
        <v>15</v>
      </c>
      <c r="H720" s="5">
        <v>285.402300</v>
      </c>
    </row>
    <row r="721" spans="1:9">
      <c r="A721" s="22" t="str">
        <f>HYPERLINK("https://app.vivvix.com/360/KMI/IntelliDrive/ApplUI/Pages/CreativePages/CustomReportCreativeDetail.aspx?App=23&amp;ReportView=4&amp;Qid=1711245&amp;Row=713&amp;Col=1","No Title Assigned - #15265578367")</f>
        <v/>
      </c>
      <c r="B721" s="0" t="s">
        <v>1095</v>
      </c>
      <c r="C721" s="0" t="s">
        <v>1096</v>
      </c>
      <c r="D721" s="0" t="s">
        <v>1096</v>
      </c>
      <c r="E721" s="0" t="s">
        <v>13</v>
      </c>
      <c r="F721" s="0" t="s">
        <v>17</v>
      </c>
      <c r="G721" s="0" t="s">
        <v>446</v>
      </c>
      <c r="H721" s="5">
        <v>58.765200</v>
      </c>
    </row>
    <row r="722" spans="1:9">
      <c r="A722" s="22" t="str">
        <f>HYPERLINK("https://app.vivvix.com/360/KMI/IntelliDrive/ApplUI/Pages/CreativePages/CustomReportCreativeDetail.aspx?App=23&amp;ReportView=4&amp;Qid=1711245&amp;Row=714&amp;Col=1","No Title Assigned - #15265578446")</f>
        <v/>
      </c>
      <c r="B722" s="0" t="s">
        <v>1097</v>
      </c>
      <c r="C722" s="0" t="s">
        <v>1098</v>
      </c>
      <c r="D722" s="0" t="s">
        <v>1098</v>
      </c>
      <c r="E722" s="0" t="s">
        <v>13</v>
      </c>
      <c r="F722" s="0" t="s">
        <v>17</v>
      </c>
      <c r="G722" s="0" t="s">
        <v>446</v>
      </c>
      <c r="H722" s="5">
        <v>10368.750500</v>
      </c>
    </row>
    <row r="723" spans="1:9">
      <c r="A723" s="22" t="str">
        <f>HYPERLINK("https://app.vivvix.com/360/KMI/IntelliDrive/ApplUI/Pages/CreativePages/CustomReportCreativeDetail.aspx?App=23&amp;ReportView=4&amp;Qid=1711245&amp;Row=715&amp;Col=1","No Title Assigned - #15265596390")</f>
        <v/>
      </c>
      <c r="B723" s="0" t="s">
        <v>1099</v>
      </c>
      <c r="C723" s="0" t="s">
        <v>1100</v>
      </c>
      <c r="D723" s="0" t="s">
        <v>1100</v>
      </c>
      <c r="E723" s="0" t="s">
        <v>13</v>
      </c>
      <c r="F723" s="0" t="s">
        <v>13</v>
      </c>
      <c r="G723" s="0" t="s">
        <v>35</v>
      </c>
      <c r="H723" s="5">
        <v>71480.172900</v>
      </c>
    </row>
    <row r="724" spans="1:9">
      <c r="A724" s="22" t="str">
        <f>HYPERLINK("https://app.vivvix.com/360/KMI/IntelliDrive/ApplUI/Pages/CreativePages/CustomReportCreativeDetail.aspx?App=23&amp;ReportView=4&amp;Qid=1711245&amp;Row=716&amp;Col=1","No Title Assigned - #15265646839")</f>
        <v/>
      </c>
      <c r="B724" s="0" t="s">
        <v>1101</v>
      </c>
      <c r="E724" s="0" t="s">
        <v>13</v>
      </c>
      <c r="F724" s="0" t="s">
        <v>13</v>
      </c>
      <c r="G724" s="0" t="s">
        <v>54</v>
      </c>
    </row>
    <row r="725" spans="1:9">
      <c r="A725" s="22" t="str">
        <f>HYPERLINK("https://app.vivvix.com/360/KMI/IntelliDrive/ApplUI/Pages/CreativePages/CustomReportCreativeDetail.aspx?App=23&amp;ReportView=4&amp;Qid=1711245&amp;Row=717&amp;Col=1","No Title Assigned - #15265646863")</f>
        <v/>
      </c>
      <c r="B725" s="0" t="s">
        <v>1102</v>
      </c>
      <c r="E725" s="0" t="s">
        <v>13</v>
      </c>
      <c r="F725" s="0" t="s">
        <v>13</v>
      </c>
      <c r="G725" s="0" t="s">
        <v>54</v>
      </c>
      <c r="H725" s="5">
        <v>139.011600</v>
      </c>
    </row>
    <row r="726" spans="1:9">
      <c r="A726" s="22" t="str">
        <f>HYPERLINK("https://app.vivvix.com/360/KMI/IntelliDrive/ApplUI/Pages/CreativePages/CustomReportCreativeDetail.aspx?App=23&amp;ReportView=4&amp;Qid=1711245&amp;Row=718&amp;Col=1","No Title Assigned - #15265657752")</f>
        <v/>
      </c>
      <c r="B726" s="0" t="s">
        <v>1103</v>
      </c>
      <c r="C726" s="0" t="s">
        <v>1104</v>
      </c>
      <c r="D726" s="0" t="s">
        <v>1104</v>
      </c>
      <c r="E726" s="0" t="s">
        <v>13</v>
      </c>
      <c r="F726" s="0" t="s">
        <v>14</v>
      </c>
      <c r="G726" s="0" t="s">
        <v>15</v>
      </c>
      <c r="H726" s="5">
        <v>5649.939500</v>
      </c>
    </row>
    <row r="727" spans="1:9">
      <c r="A727" s="22" t="str">
        <f>HYPERLINK("https://app.vivvix.com/360/KMI/IntelliDrive/ApplUI/Pages/CreativePages/CustomReportCreativeDetail.aspx?App=23&amp;ReportView=4&amp;Qid=1711245&amp;Row=719&amp;Col=1","No Title Assigned - #15265657861")</f>
        <v/>
      </c>
      <c r="B727" s="0" t="s">
        <v>1105</v>
      </c>
      <c r="E727" s="0" t="s">
        <v>13</v>
      </c>
      <c r="F727" s="0" t="s">
        <v>13</v>
      </c>
      <c r="G727" s="0" t="s">
        <v>54</v>
      </c>
      <c r="H727" s="5">
        <v>110.394600</v>
      </c>
    </row>
    <row r="728" spans="1:9">
      <c r="A728" s="22" t="str">
        <f>HYPERLINK("https://app.vivvix.com/360/KMI/IntelliDrive/ApplUI/Pages/CreativePages/CustomReportCreativeDetail.aspx?App=23&amp;ReportView=4&amp;Qid=1711245&amp;Row=720&amp;Col=1","No Title Assigned - #15265666557")</f>
        <v/>
      </c>
      <c r="B728" s="0" t="s">
        <v>1106</v>
      </c>
      <c r="C728" s="0" t="s">
        <v>1107</v>
      </c>
      <c r="D728" s="0" t="s">
        <v>1107</v>
      </c>
      <c r="E728" s="0" t="s">
        <v>13</v>
      </c>
      <c r="F728" s="0" t="s">
        <v>14</v>
      </c>
      <c r="G728" s="0" t="s">
        <v>15</v>
      </c>
      <c r="H728" s="5">
        <v>285.402300</v>
      </c>
    </row>
    <row r="729" spans="1:9">
      <c r="A729" s="22" t="str">
        <f>HYPERLINK("https://app.vivvix.com/360/KMI/IntelliDrive/ApplUI/Pages/CreativePages/CustomReportCreativeDetail.aspx?App=23&amp;ReportView=4&amp;Qid=1711245&amp;Row=721&amp;Col=1","No Title Assigned - #15265671240")</f>
        <v/>
      </c>
      <c r="B729" s="0" t="s">
        <v>1108</v>
      </c>
      <c r="C729" s="0" t="s">
        <v>1109</v>
      </c>
      <c r="D729" s="0" t="s">
        <v>1109</v>
      </c>
      <c r="E729" s="0" t="s">
        <v>13</v>
      </c>
      <c r="F729" s="0" t="s">
        <v>14</v>
      </c>
      <c r="G729" s="0" t="s">
        <v>15</v>
      </c>
      <c r="H729" s="5">
        <v>205.402000</v>
      </c>
    </row>
    <row r="730" spans="1:9">
      <c r="A730" s="22" t="str">
        <f>HYPERLINK("https://app.vivvix.com/360/KMI/IntelliDrive/ApplUI/Pages/CreativePages/CustomReportCreativeDetail.aspx?App=23&amp;ReportView=4&amp;Qid=1711245&amp;Row=722&amp;Col=1","No Title Assigned - #15265772209")</f>
        <v/>
      </c>
      <c r="B730" s="0" t="s">
        <v>1110</v>
      </c>
      <c r="C730" s="0" t="s">
        <v>1111</v>
      </c>
      <c r="D730" s="0" t="s">
        <v>1111</v>
      </c>
      <c r="E730" s="0" t="s">
        <v>13</v>
      </c>
      <c r="F730" s="0" t="s">
        <v>14</v>
      </c>
      <c r="G730" s="0" t="s">
        <v>15</v>
      </c>
      <c r="H730" s="5">
        <v>6588.327000</v>
      </c>
    </row>
    <row r="731" spans="1:9">
      <c r="A731" s="22" t="str">
        <f>HYPERLINK("https://app.vivvix.com/360/KMI/IntelliDrive/ApplUI/Pages/CreativePages/CustomReportCreativeDetail.aspx?App=23&amp;ReportView=4&amp;Qid=1711245&amp;Row=723&amp;Col=1","No Title Assigned - #15265773752")</f>
        <v/>
      </c>
      <c r="B731" s="0" t="s">
        <v>1112</v>
      </c>
      <c r="C731" s="0" t="s">
        <v>1113</v>
      </c>
      <c r="D731" s="0" t="s">
        <v>1113</v>
      </c>
      <c r="E731" s="0" t="s">
        <v>13</v>
      </c>
      <c r="F731" s="0" t="s">
        <v>14</v>
      </c>
      <c r="G731" s="0" t="s">
        <v>15</v>
      </c>
      <c r="H731" s="5">
        <v>4301.257500</v>
      </c>
    </row>
    <row r="732" spans="1:9">
      <c r="A732" s="22" t="str">
        <f>HYPERLINK("https://app.vivvix.com/360/KMI/IntelliDrive/ApplUI/Pages/CreativePages/CustomReportCreativeDetail.aspx?App=23&amp;ReportView=4&amp;Qid=1711245&amp;Row=724&amp;Col=1","No Title Assigned - #15265774896")</f>
        <v/>
      </c>
      <c r="B732" s="0" t="s">
        <v>1114</v>
      </c>
      <c r="C732" s="0" t="s">
        <v>1115</v>
      </c>
      <c r="D732" s="0" t="s">
        <v>1115</v>
      </c>
      <c r="E732" s="0" t="s">
        <v>13</v>
      </c>
      <c r="F732" s="0" t="s">
        <v>530</v>
      </c>
      <c r="G732" s="0" t="s">
        <v>531</v>
      </c>
      <c r="H732" s="5">
        <v>559.821100</v>
      </c>
    </row>
    <row r="733" spans="1:9">
      <c r="A733" s="22" t="str">
        <f>HYPERLINK("https://app.vivvix.com/360/KMI/IntelliDrive/ApplUI/Pages/CreativePages/CustomReportCreativeDetail.aspx?App=23&amp;ReportView=4&amp;Qid=1711245&amp;Row=725&amp;Col=1","No Title Assigned - #15265822881")</f>
        <v/>
      </c>
      <c r="B733" s="0" t="s">
        <v>1116</v>
      </c>
      <c r="E733" s="0" t="s">
        <v>13</v>
      </c>
      <c r="F733" s="0" t="s">
        <v>13</v>
      </c>
      <c r="G733" s="0" t="s">
        <v>54</v>
      </c>
      <c r="H733" s="5">
        <v>438.313100</v>
      </c>
    </row>
    <row r="734" spans="1:9">
      <c r="A734" s="22" t="str">
        <f>HYPERLINK("https://app.vivvix.com/360/KMI/IntelliDrive/ApplUI/Pages/CreativePages/CustomReportCreativeDetail.aspx?App=23&amp;ReportView=4&amp;Qid=1711245&amp;Row=726&amp;Col=1","No Title Assigned - #15265832638")</f>
        <v/>
      </c>
      <c r="B734" s="0" t="s">
        <v>1117</v>
      </c>
      <c r="C734" s="0" t="s">
        <v>1118</v>
      </c>
      <c r="D734" s="0" t="s">
        <v>1118</v>
      </c>
      <c r="E734" s="0" t="s">
        <v>13</v>
      </c>
      <c r="F734" s="0" t="s">
        <v>14</v>
      </c>
      <c r="G734" s="0" t="s">
        <v>15</v>
      </c>
      <c r="H734" s="5">
        <v>59.812500</v>
      </c>
    </row>
    <row r="735" spans="1:9">
      <c r="A735" s="22" t="str">
        <f>HYPERLINK("https://app.vivvix.com/360/KMI/IntelliDrive/ApplUI/Pages/CreativePages/CustomReportCreativeDetail.aspx?App=23&amp;ReportView=4&amp;Qid=1711245&amp;Row=727&amp;Col=1","No Title Assigned - #15265845940")</f>
        <v/>
      </c>
      <c r="B735" s="0" t="s">
        <v>1119</v>
      </c>
      <c r="E735" s="0" t="s">
        <v>13</v>
      </c>
      <c r="F735" s="0" t="s">
        <v>13</v>
      </c>
      <c r="G735" s="0" t="s">
        <v>54</v>
      </c>
      <c r="H735" s="5">
        <v>1232.481700</v>
      </c>
    </row>
    <row r="736" spans="1:9">
      <c r="A736" s="22" t="str">
        <f>HYPERLINK("https://app.vivvix.com/360/KMI/IntelliDrive/ApplUI/Pages/CreativePages/CustomReportCreativeDetail.aspx?App=23&amp;ReportView=4&amp;Qid=1711245&amp;Row=728&amp;Col=1","No Title Assigned - #15265902848")</f>
        <v/>
      </c>
      <c r="B736" s="0" t="s">
        <v>1120</v>
      </c>
      <c r="E736" s="0" t="s">
        <v>13</v>
      </c>
      <c r="F736" s="0" t="s">
        <v>13</v>
      </c>
      <c r="G736" s="0" t="s">
        <v>54</v>
      </c>
    </row>
    <row r="737" spans="1:9">
      <c r="A737" s="22" t="str">
        <f>HYPERLINK("https://app.vivvix.com/360/KMI/IntelliDrive/ApplUI/Pages/CreativePages/CustomReportCreativeDetail.aspx?App=23&amp;ReportView=4&amp;Qid=1711245&amp;Row=729&amp;Col=1","No Title Assigned - #15265902894")</f>
        <v/>
      </c>
      <c r="B737" s="0" t="s">
        <v>1121</v>
      </c>
      <c r="E737" s="0" t="s">
        <v>13</v>
      </c>
      <c r="F737" s="0" t="s">
        <v>13</v>
      </c>
      <c r="G737" s="0" t="s">
        <v>54</v>
      </c>
    </row>
    <row r="738" spans="1:9">
      <c r="A738" s="22" t="str">
        <f>HYPERLINK("https://app.vivvix.com/360/KMI/IntelliDrive/ApplUI/Pages/CreativePages/CustomReportCreativeDetail.aspx?App=23&amp;ReportView=4&amp;Qid=1711245&amp;Row=730&amp;Col=1","No Title Assigned - #15265902911")</f>
        <v/>
      </c>
      <c r="B738" s="0" t="s">
        <v>1122</v>
      </c>
      <c r="C738" s="0" t="s">
        <v>1123</v>
      </c>
      <c r="D738" s="0" t="s">
        <v>1123</v>
      </c>
      <c r="E738" s="0" t="s">
        <v>13</v>
      </c>
      <c r="F738" s="0" t="s">
        <v>14</v>
      </c>
      <c r="G738" s="0" t="s">
        <v>15</v>
      </c>
      <c r="H738" s="5">
        <v>2151.811400</v>
      </c>
    </row>
    <row r="739" spans="1:9">
      <c r="A739" s="22" t="str">
        <f>HYPERLINK("https://app.vivvix.com/360/KMI/IntelliDrive/ApplUI/Pages/CreativePages/CustomReportCreativeDetail.aspx?App=23&amp;ReportView=4&amp;Qid=1711245&amp;Row=731&amp;Col=1","No Title Assigned - #15265902937")</f>
        <v/>
      </c>
      <c r="B739" s="0" t="s">
        <v>1124</v>
      </c>
      <c r="C739" s="0" t="s">
        <v>1125</v>
      </c>
      <c r="D739" s="0" t="s">
        <v>1125</v>
      </c>
      <c r="E739" s="0" t="s">
        <v>13</v>
      </c>
      <c r="F739" s="0" t="s">
        <v>14</v>
      </c>
      <c r="G739" s="0" t="s">
        <v>15</v>
      </c>
      <c r="H739" s="5">
        <v>39.176800</v>
      </c>
    </row>
    <row r="740" spans="1:9">
      <c r="A740" s="22" t="str">
        <f>HYPERLINK("https://app.vivvix.com/360/KMI/IntelliDrive/ApplUI/Pages/CreativePages/CustomReportCreativeDetail.aspx?App=23&amp;ReportView=4&amp;Qid=1711245&amp;Row=732&amp;Col=1","No Title Assigned - #15265902963")</f>
        <v/>
      </c>
      <c r="B740" s="0" t="s">
        <v>1126</v>
      </c>
      <c r="C740" s="0" t="s">
        <v>1127</v>
      </c>
      <c r="D740" s="0" t="s">
        <v>1127</v>
      </c>
      <c r="E740" s="0" t="s">
        <v>13</v>
      </c>
      <c r="F740" s="0" t="s">
        <v>17</v>
      </c>
      <c r="G740" s="0" t="s">
        <v>446</v>
      </c>
      <c r="H740" s="5">
        <v>339.479300</v>
      </c>
    </row>
    <row r="741" spans="1:9">
      <c r="A741" s="22" t="str">
        <f>HYPERLINK("https://app.vivvix.com/360/KMI/IntelliDrive/ApplUI/Pages/CreativePages/CustomReportCreativeDetail.aspx?App=23&amp;ReportView=4&amp;Qid=1711245&amp;Row=733&amp;Col=1","No Title Assigned - #15265902980")</f>
        <v/>
      </c>
      <c r="B741" s="0" t="s">
        <v>1128</v>
      </c>
      <c r="C741" s="0" t="s">
        <v>1129</v>
      </c>
      <c r="D741" s="0" t="s">
        <v>1129</v>
      </c>
      <c r="E741" s="0" t="s">
        <v>13</v>
      </c>
      <c r="F741" s="0" t="s">
        <v>17</v>
      </c>
      <c r="G741" s="0" t="s">
        <v>446</v>
      </c>
      <c r="H741" s="5">
        <v>19.588400</v>
      </c>
    </row>
    <row r="742" spans="1:9">
      <c r="A742" s="22" t="str">
        <f>HYPERLINK("https://app.vivvix.com/360/KMI/IntelliDrive/ApplUI/Pages/CreativePages/CustomReportCreativeDetail.aspx?App=23&amp;ReportView=4&amp;Qid=1711245&amp;Row=734&amp;Col=1","No Title Assigned - #15265904317")</f>
        <v/>
      </c>
      <c r="B742" s="0" t="s">
        <v>1130</v>
      </c>
      <c r="C742" s="0" t="s">
        <v>1131</v>
      </c>
      <c r="D742" s="0" t="s">
        <v>1131</v>
      </c>
      <c r="E742" s="0" t="s">
        <v>13</v>
      </c>
      <c r="F742" s="0" t="s">
        <v>13</v>
      </c>
      <c r="G742" s="0" t="s">
        <v>945</v>
      </c>
      <c r="H742" s="5">
        <v>1094.031600</v>
      </c>
    </row>
    <row r="743" spans="1:9">
      <c r="A743" s="22" t="str">
        <f>HYPERLINK("https://app.vivvix.com/360/KMI/IntelliDrive/ApplUI/Pages/CreativePages/CustomReportCreativeDetail.aspx?App=23&amp;ReportView=4&amp;Qid=1711245&amp;Row=735&amp;Col=1","No Title Assigned - #15265929397")</f>
        <v/>
      </c>
      <c r="B743" s="0" t="s">
        <v>1132</v>
      </c>
      <c r="C743" s="0" t="s">
        <v>1133</v>
      </c>
      <c r="D743" s="0" t="s">
        <v>1133</v>
      </c>
      <c r="E743" s="0" t="s">
        <v>13</v>
      </c>
      <c r="F743" s="0" t="s">
        <v>530</v>
      </c>
      <c r="G743" s="0" t="s">
        <v>531</v>
      </c>
      <c r="H743" s="5">
        <v>19.588400</v>
      </c>
    </row>
    <row r="744" spans="1:9">
      <c r="A744" s="22" t="str">
        <f>HYPERLINK("https://app.vivvix.com/360/KMI/IntelliDrive/ApplUI/Pages/CreativePages/CustomReportCreativeDetail.aspx?App=23&amp;ReportView=4&amp;Qid=1711245&amp;Row=736&amp;Col=1","No Title Assigned - #15265929916")</f>
        <v/>
      </c>
      <c r="B744" s="0" t="s">
        <v>1134</v>
      </c>
      <c r="C744" s="0" t="s">
        <v>1135</v>
      </c>
      <c r="D744" s="0" t="s">
        <v>1135</v>
      </c>
      <c r="E744" s="0" t="s">
        <v>13</v>
      </c>
      <c r="F744" s="0" t="s">
        <v>530</v>
      </c>
      <c r="G744" s="0" t="s">
        <v>531</v>
      </c>
      <c r="H744" s="5">
        <v>19.588400</v>
      </c>
    </row>
    <row r="745" spans="1:9">
      <c r="A745" s="22" t="str">
        <f>HYPERLINK("https://app.vivvix.com/360/KMI/IntelliDrive/ApplUI/Pages/CreativePages/CustomReportCreativeDetail.aspx?App=23&amp;ReportView=4&amp;Qid=1711245&amp;Row=737&amp;Col=1","No Title Assigned - #15265951490")</f>
        <v/>
      </c>
      <c r="B745" s="0" t="s">
        <v>1136</v>
      </c>
      <c r="E745" s="0" t="s">
        <v>13</v>
      </c>
      <c r="F745" s="0" t="s">
        <v>13</v>
      </c>
      <c r="G745" s="0" t="s">
        <v>54</v>
      </c>
    </row>
    <row r="746" spans="1:9">
      <c r="A746" s="22" t="str">
        <f>HYPERLINK("https://app.vivvix.com/360/KMI/IntelliDrive/ApplUI/Pages/CreativePages/CustomReportCreativeDetail.aspx?App=23&amp;ReportView=4&amp;Qid=1711245&amp;Row=738&amp;Col=1","No Title Assigned - #15265962864")</f>
        <v/>
      </c>
      <c r="B746" s="0" t="s">
        <v>1137</v>
      </c>
      <c r="C746" s="0" t="s">
        <v>1138</v>
      </c>
      <c r="D746" s="0" t="s">
        <v>1138</v>
      </c>
      <c r="E746" s="0" t="s">
        <v>13</v>
      </c>
      <c r="F746" s="0" t="s">
        <v>14</v>
      </c>
      <c r="G746" s="0" t="s">
        <v>15</v>
      </c>
      <c r="H746" s="5">
        <v>280.514900</v>
      </c>
    </row>
    <row r="747" spans="1:9">
      <c r="A747" s="22" t="str">
        <f>HYPERLINK("https://app.vivvix.com/360/KMI/IntelliDrive/ApplUI/Pages/CreativePages/CustomReportCreativeDetail.aspx?App=23&amp;ReportView=4&amp;Qid=1711245&amp;Row=739&amp;Col=1","No Title Assigned - #15265965875")</f>
        <v/>
      </c>
      <c r="B747" s="0" t="s">
        <v>1139</v>
      </c>
      <c r="C747" s="0" t="s">
        <v>1140</v>
      </c>
      <c r="D747" s="0" t="s">
        <v>1140</v>
      </c>
      <c r="E747" s="0" t="s">
        <v>13</v>
      </c>
      <c r="F747" s="0" t="s">
        <v>17</v>
      </c>
      <c r="G747" s="0" t="s">
        <v>446</v>
      </c>
      <c r="H747" s="5">
        <v>19.588400</v>
      </c>
    </row>
    <row r="748" spans="1:9">
      <c r="A748" s="22" t="str">
        <f>HYPERLINK("https://app.vivvix.com/360/KMI/IntelliDrive/ApplUI/Pages/CreativePages/CustomReportCreativeDetail.aspx?App=23&amp;ReportView=4&amp;Qid=1711245&amp;Row=740&amp;Col=1","No Title Assigned - #15265965920")</f>
        <v/>
      </c>
      <c r="B748" s="0" t="s">
        <v>1141</v>
      </c>
      <c r="C748" s="0" t="s">
        <v>1142</v>
      </c>
      <c r="D748" s="0" t="s">
        <v>1142</v>
      </c>
      <c r="E748" s="0" t="s">
        <v>13</v>
      </c>
      <c r="F748" s="0" t="s">
        <v>17</v>
      </c>
      <c r="G748" s="0" t="s">
        <v>446</v>
      </c>
      <c r="H748" s="5">
        <v>19.588400</v>
      </c>
    </row>
    <row r="749" spans="1:9">
      <c r="A749" s="22" t="str">
        <f>HYPERLINK("https://app.vivvix.com/360/KMI/IntelliDrive/ApplUI/Pages/CreativePages/CustomReportCreativeDetail.aspx?App=23&amp;ReportView=4&amp;Qid=1711245&amp;Row=741&amp;Col=1","No Title Assigned - #15265965981")</f>
        <v/>
      </c>
      <c r="B749" s="0" t="s">
        <v>1143</v>
      </c>
      <c r="C749" s="0" t="s">
        <v>1144</v>
      </c>
      <c r="D749" s="0" t="s">
        <v>1144</v>
      </c>
      <c r="E749" s="0" t="s">
        <v>13</v>
      </c>
      <c r="F749" s="0" t="s">
        <v>14</v>
      </c>
      <c r="G749" s="0" t="s">
        <v>15</v>
      </c>
      <c r="H749" s="5">
        <v>19.588400</v>
      </c>
    </row>
    <row r="750" spans="1:9">
      <c r="A750" s="22" t="str">
        <f>HYPERLINK("https://app.vivvix.com/360/KMI/IntelliDrive/ApplUI/Pages/CreativePages/CustomReportCreativeDetail.aspx?App=23&amp;ReportView=4&amp;Qid=1711245&amp;Row=742&amp;Col=1","No Title Assigned - #15265972955")</f>
        <v/>
      </c>
      <c r="B750" s="0" t="s">
        <v>1145</v>
      </c>
      <c r="C750" s="0" t="s">
        <v>1146</v>
      </c>
      <c r="D750" s="0" t="s">
        <v>1146</v>
      </c>
      <c r="E750" s="0" t="s">
        <v>13</v>
      </c>
      <c r="F750" s="0" t="s">
        <v>530</v>
      </c>
      <c r="G750" s="0" t="s">
        <v>531</v>
      </c>
      <c r="H750" s="5">
        <v>39.176800</v>
      </c>
    </row>
    <row r="751" spans="1:9">
      <c r="A751" s="22" t="str">
        <f>HYPERLINK("https://app.vivvix.com/360/KMI/IntelliDrive/ApplUI/Pages/CreativePages/CustomReportCreativeDetail.aspx?App=23&amp;ReportView=4&amp;Qid=1711245&amp;Row=743&amp;Col=1","No Title Assigned - #15265972956")</f>
        <v/>
      </c>
      <c r="B751" s="0" t="s">
        <v>1147</v>
      </c>
      <c r="C751" s="0" t="s">
        <v>1148</v>
      </c>
      <c r="D751" s="0" t="s">
        <v>1148</v>
      </c>
      <c r="E751" s="0" t="s">
        <v>13</v>
      </c>
      <c r="F751" s="0" t="s">
        <v>530</v>
      </c>
      <c r="G751" s="0" t="s">
        <v>531</v>
      </c>
      <c r="H751" s="5">
        <v>19.588400</v>
      </c>
    </row>
    <row r="752" spans="1:9">
      <c r="A752" s="22" t="str">
        <f>HYPERLINK("https://app.vivvix.com/360/KMI/IntelliDrive/ApplUI/Pages/CreativePages/CustomReportCreativeDetail.aspx?App=23&amp;ReportView=4&amp;Qid=1711245&amp;Row=744&amp;Col=1","No Title Assigned - #15265972973")</f>
        <v/>
      </c>
      <c r="B752" s="0" t="s">
        <v>1149</v>
      </c>
      <c r="C752" s="0" t="s">
        <v>1150</v>
      </c>
      <c r="D752" s="0" t="s">
        <v>1150</v>
      </c>
      <c r="E752" s="0" t="s">
        <v>13</v>
      </c>
      <c r="F752" s="0" t="s">
        <v>14</v>
      </c>
      <c r="G752" s="0" t="s">
        <v>15</v>
      </c>
      <c r="H752" s="5">
        <v>19.588400</v>
      </c>
    </row>
    <row r="753" spans="1:9">
      <c r="A753" s="22" t="str">
        <f>HYPERLINK("https://app.vivvix.com/360/KMI/IntelliDrive/ApplUI/Pages/CreativePages/CustomReportCreativeDetail.aspx?App=23&amp;ReportView=4&amp;Qid=1711245&amp;Row=745&amp;Col=1","No Title Assigned - #15265973382")</f>
        <v/>
      </c>
      <c r="B753" s="0" t="s">
        <v>1151</v>
      </c>
      <c r="E753" s="0" t="s">
        <v>13</v>
      </c>
      <c r="F753" s="0" t="s">
        <v>13</v>
      </c>
      <c r="G753" s="0" t="s">
        <v>54</v>
      </c>
      <c r="H753" s="5">
        <v>19.858800</v>
      </c>
    </row>
    <row r="754" spans="1:9">
      <c r="A754" s="22" t="str">
        <f>HYPERLINK("https://app.vivvix.com/360/KMI/IntelliDrive/ApplUI/Pages/CreativePages/CustomReportCreativeDetail.aspx?App=23&amp;ReportView=4&amp;Qid=1711245&amp;Row=746&amp;Col=1","No Title Assigned - #15265974999")</f>
        <v/>
      </c>
      <c r="B754" s="0" t="s">
        <v>1152</v>
      </c>
      <c r="C754" s="0" t="s">
        <v>1153</v>
      </c>
      <c r="D754" s="0" t="s">
        <v>1153</v>
      </c>
      <c r="E754" s="0" t="s">
        <v>13</v>
      </c>
      <c r="F754" s="0" t="s">
        <v>17</v>
      </c>
      <c r="G754" s="0" t="s">
        <v>446</v>
      </c>
      <c r="H754" s="5">
        <v>28414.642900</v>
      </c>
    </row>
    <row r="755" spans="1:9">
      <c r="A755" s="22" t="str">
        <f>HYPERLINK("https://app.vivvix.com/360/KMI/IntelliDrive/ApplUI/Pages/CreativePages/CustomReportCreativeDetail.aspx?App=23&amp;ReportView=4&amp;Qid=1711245&amp;Row=747&amp;Col=1","No Title Assigned - #15265978879")</f>
        <v/>
      </c>
      <c r="B755" s="0" t="s">
        <v>1154</v>
      </c>
      <c r="C755" s="0" t="s">
        <v>1155</v>
      </c>
      <c r="D755" s="0" t="s">
        <v>1155</v>
      </c>
      <c r="E755" s="0" t="s">
        <v>13</v>
      </c>
      <c r="F755" s="0" t="s">
        <v>13</v>
      </c>
      <c r="G755" s="0" t="s">
        <v>121</v>
      </c>
      <c r="H755" s="5">
        <v>2179.817600</v>
      </c>
    </row>
    <row r="756" spans="1:9">
      <c r="A756" s="22" t="str">
        <f>HYPERLINK("https://app.vivvix.com/360/KMI/IntelliDrive/ApplUI/Pages/CreativePages/CustomReportCreativeDetail.aspx?App=23&amp;ReportView=4&amp;Qid=1711245&amp;Row=748&amp;Col=1","No Title Assigned - #15265980628")</f>
        <v/>
      </c>
      <c r="B756" s="0" t="s">
        <v>1156</v>
      </c>
      <c r="C756" s="0" t="s">
        <v>1157</v>
      </c>
      <c r="D756" s="0" t="s">
        <v>1157</v>
      </c>
      <c r="E756" s="0" t="s">
        <v>13</v>
      </c>
      <c r="F756" s="0" t="s">
        <v>14</v>
      </c>
      <c r="G756" s="0" t="s">
        <v>15</v>
      </c>
      <c r="H756" s="5">
        <v>616.176600</v>
      </c>
    </row>
    <row r="757" spans="1:9">
      <c r="A757" s="22" t="str">
        <f>HYPERLINK("https://app.vivvix.com/360/KMI/IntelliDrive/ApplUI/Pages/CreativePages/CustomReportCreativeDetail.aspx?App=23&amp;ReportView=4&amp;Qid=1711245&amp;Row=749&amp;Col=1","No Title Assigned - #15265981345")</f>
        <v/>
      </c>
      <c r="B757" s="0" t="s">
        <v>1158</v>
      </c>
      <c r="C757" s="0" t="s">
        <v>1159</v>
      </c>
      <c r="D757" s="0" t="s">
        <v>1159</v>
      </c>
      <c r="E757" s="0" t="s">
        <v>13</v>
      </c>
      <c r="F757" s="0" t="s">
        <v>14</v>
      </c>
      <c r="G757" s="0" t="s">
        <v>15</v>
      </c>
      <c r="H757" s="5">
        <v>65901.886900</v>
      </c>
    </row>
    <row r="758" spans="1:9">
      <c r="A758" s="22" t="str">
        <f>HYPERLINK("https://app.vivvix.com/360/KMI/IntelliDrive/ApplUI/Pages/CreativePages/CustomReportCreativeDetail.aspx?App=23&amp;ReportView=4&amp;Qid=1711245&amp;Row=750&amp;Col=1","No Title Assigned - #15265981842")</f>
        <v/>
      </c>
      <c r="B758" s="0" t="s">
        <v>1160</v>
      </c>
      <c r="C758" s="0" t="s">
        <v>1161</v>
      </c>
      <c r="D758" s="0" t="s">
        <v>1161</v>
      </c>
      <c r="E758" s="0" t="s">
        <v>13</v>
      </c>
      <c r="F758" s="0" t="s">
        <v>13</v>
      </c>
      <c r="G758" s="0" t="s">
        <v>576</v>
      </c>
      <c r="H758" s="5">
        <v>82064.570000</v>
      </c>
    </row>
    <row r="759" spans="1:9">
      <c r="A759" s="22" t="str">
        <f>HYPERLINK("https://app.vivvix.com/360/KMI/IntelliDrive/ApplUI/Pages/CreativePages/CustomReportCreativeDetail.aspx?App=23&amp;ReportView=4&amp;Qid=1711245&amp;Row=751&amp;Col=1","No Title Assigned - #15265982481")</f>
        <v/>
      </c>
      <c r="B759" s="0" t="s">
        <v>1162</v>
      </c>
      <c r="C759" s="0" t="s">
        <v>1163</v>
      </c>
      <c r="D759" s="0" t="s">
        <v>1163</v>
      </c>
      <c r="E759" s="0" t="s">
        <v>13</v>
      </c>
      <c r="F759" s="0" t="s">
        <v>128</v>
      </c>
      <c r="G759" s="0" t="s">
        <v>456</v>
      </c>
      <c r="H759" s="5">
        <v>20261.749900</v>
      </c>
    </row>
    <row r="760" spans="1:9">
      <c r="A760" s="22" t="str">
        <f>HYPERLINK("https://app.vivvix.com/360/KMI/IntelliDrive/ApplUI/Pages/CreativePages/CustomReportCreativeDetail.aspx?App=23&amp;ReportView=4&amp;Qid=1711245&amp;Row=752&amp;Col=1","No Title Assigned - #15265983618")</f>
        <v/>
      </c>
      <c r="B760" s="0" t="s">
        <v>1164</v>
      </c>
      <c r="C760" s="0" t="s">
        <v>1165</v>
      </c>
      <c r="D760" s="0" t="s">
        <v>1165</v>
      </c>
      <c r="E760" s="0" t="s">
        <v>13</v>
      </c>
      <c r="F760" s="0" t="s">
        <v>13</v>
      </c>
      <c r="G760" s="0" t="s">
        <v>576</v>
      </c>
      <c r="H760" s="5">
        <v>17374.260500</v>
      </c>
    </row>
    <row r="761" spans="1:9">
      <c r="A761" s="22" t="str">
        <f>HYPERLINK("https://app.vivvix.com/360/KMI/IntelliDrive/ApplUI/Pages/CreativePages/CustomReportCreativeDetail.aspx?App=23&amp;ReportView=4&amp;Qid=1711245&amp;Row=753&amp;Col=1","No Title Assigned - #15265984794")</f>
        <v/>
      </c>
      <c r="B761" s="0" t="s">
        <v>1166</v>
      </c>
      <c r="C761" s="0" t="s">
        <v>1167</v>
      </c>
      <c r="D761" s="0" t="s">
        <v>1167</v>
      </c>
      <c r="E761" s="0" t="s">
        <v>13</v>
      </c>
      <c r="F761" s="0" t="s">
        <v>17</v>
      </c>
      <c r="G761" s="0" t="s">
        <v>446</v>
      </c>
      <c r="H761" s="5">
        <v>8317.232600</v>
      </c>
    </row>
    <row r="762" spans="1:9">
      <c r="A762" s="22" t="str">
        <f>HYPERLINK("https://app.vivvix.com/360/KMI/IntelliDrive/ApplUI/Pages/CreativePages/CustomReportCreativeDetail.aspx?App=23&amp;ReportView=4&amp;Qid=1711245&amp;Row=754&amp;Col=1","No Title Assigned - #15265984796")</f>
        <v/>
      </c>
      <c r="B762" s="0" t="s">
        <v>1168</v>
      </c>
      <c r="C762" s="0" t="s">
        <v>1169</v>
      </c>
      <c r="D762" s="0" t="s">
        <v>1169</v>
      </c>
      <c r="E762" s="0" t="s">
        <v>13</v>
      </c>
      <c r="F762" s="0" t="s">
        <v>17</v>
      </c>
      <c r="G762" s="0" t="s">
        <v>446</v>
      </c>
      <c r="H762" s="5">
        <v>30166.244300</v>
      </c>
    </row>
    <row r="763" spans="1:9">
      <c r="A763" s="22" t="str">
        <f>HYPERLINK("https://app.vivvix.com/360/KMI/IntelliDrive/ApplUI/Pages/CreativePages/CustomReportCreativeDetail.aspx?App=23&amp;ReportView=4&amp;Qid=1711245&amp;Row=755&amp;Col=1","No Title Assigned - #15265987961")</f>
        <v/>
      </c>
      <c r="B763" s="0" t="s">
        <v>1170</v>
      </c>
      <c r="C763" s="0" t="s">
        <v>1171</v>
      </c>
      <c r="D763" s="0" t="s">
        <v>1171</v>
      </c>
      <c r="E763" s="0" t="s">
        <v>13</v>
      </c>
      <c r="F763" s="0" t="s">
        <v>17</v>
      </c>
      <c r="G763" s="0" t="s">
        <v>446</v>
      </c>
      <c r="H763" s="5">
        <v>52971.682600</v>
      </c>
    </row>
    <row r="764" spans="1:9">
      <c r="A764" s="22" t="str">
        <f>HYPERLINK("https://app.vivvix.com/360/KMI/IntelliDrive/ApplUI/Pages/CreativePages/CustomReportCreativeDetail.aspx?App=23&amp;ReportView=4&amp;Qid=1711245&amp;Row=756&amp;Col=1","No Title Assigned - #15265992042")</f>
        <v/>
      </c>
      <c r="B764" s="0" t="s">
        <v>1172</v>
      </c>
      <c r="C764" s="0" t="s">
        <v>1173</v>
      </c>
      <c r="D764" s="0" t="s">
        <v>1173</v>
      </c>
      <c r="E764" s="0" t="s">
        <v>13</v>
      </c>
      <c r="F764" s="0" t="s">
        <v>14</v>
      </c>
      <c r="G764" s="0" t="s">
        <v>15</v>
      </c>
      <c r="H764" s="5">
        <v>15945.596300</v>
      </c>
    </row>
    <row r="765" spans="1:9">
      <c r="A765" s="22" t="str">
        <f>HYPERLINK("https://app.vivvix.com/360/KMI/IntelliDrive/ApplUI/Pages/CreativePages/CustomReportCreativeDetail.aspx?App=23&amp;ReportView=4&amp;Qid=1711245&amp;Row=757&amp;Col=1","No Title Assigned - #15266016417")</f>
        <v/>
      </c>
      <c r="B765" s="0" t="s">
        <v>1174</v>
      </c>
      <c r="C765" s="0" t="s">
        <v>1175</v>
      </c>
      <c r="D765" s="0" t="s">
        <v>1175</v>
      </c>
      <c r="E765" s="0" t="s">
        <v>13</v>
      </c>
      <c r="F765" s="0" t="s">
        <v>14</v>
      </c>
      <c r="G765" s="0" t="s">
        <v>15</v>
      </c>
      <c r="H765" s="5">
        <v>79.032000</v>
      </c>
    </row>
    <row r="766" spans="1:9">
      <c r="A766" s="22" t="str">
        <f>HYPERLINK("https://app.vivvix.com/360/KMI/IntelliDrive/ApplUI/Pages/CreativePages/CustomReportCreativeDetail.aspx?App=23&amp;ReportView=4&amp;Qid=1711245&amp;Row=758&amp;Col=1","No Title Assigned - #15266032911")</f>
        <v/>
      </c>
      <c r="B766" s="0" t="s">
        <v>1176</v>
      </c>
      <c r="C766" s="0" t="s">
        <v>1177</v>
      </c>
      <c r="D766" s="0" t="s">
        <v>1177</v>
      </c>
      <c r="E766" s="0" t="s">
        <v>13</v>
      </c>
      <c r="F766" s="0" t="s">
        <v>14</v>
      </c>
      <c r="G766" s="0" t="s">
        <v>15</v>
      </c>
      <c r="H766" s="5">
        <v>643.139600</v>
      </c>
    </row>
    <row r="767" spans="1:9">
      <c r="A767" s="22" t="str">
        <f>HYPERLINK("https://app.vivvix.com/360/KMI/IntelliDrive/ApplUI/Pages/CreativePages/CustomReportCreativeDetail.aspx?App=23&amp;ReportView=4&amp;Qid=1711245&amp;Row=759&amp;Col=1","No Title Assigned - #15266033728")</f>
        <v/>
      </c>
      <c r="B767" s="0" t="s">
        <v>1178</v>
      </c>
      <c r="C767" s="0" t="s">
        <v>1179</v>
      </c>
      <c r="D767" s="0" t="s">
        <v>1179</v>
      </c>
      <c r="E767" s="0" t="s">
        <v>13</v>
      </c>
      <c r="F767" s="0" t="s">
        <v>540</v>
      </c>
      <c r="G767" s="0" t="s">
        <v>541</v>
      </c>
      <c r="H767" s="5">
        <v>31813.707300</v>
      </c>
    </row>
    <row r="768" spans="1:9">
      <c r="A768" s="22" t="str">
        <f>HYPERLINK("https://app.vivvix.com/360/KMI/IntelliDrive/ApplUI/Pages/CreativePages/CustomReportCreativeDetail.aspx?App=23&amp;ReportView=4&amp;Qid=1711245&amp;Row=760&amp;Col=1","No Title Assigned - #15266033747")</f>
        <v/>
      </c>
      <c r="B768" s="0" t="s">
        <v>1180</v>
      </c>
      <c r="E768" s="0" t="s">
        <v>13</v>
      </c>
      <c r="F768" s="0" t="s">
        <v>13</v>
      </c>
      <c r="G768" s="0" t="s">
        <v>54</v>
      </c>
    </row>
    <row r="769" spans="1:9">
      <c r="A769" s="22" t="str">
        <f>HYPERLINK("https://app.vivvix.com/360/KMI/IntelliDrive/ApplUI/Pages/CreativePages/CustomReportCreativeDetail.aspx?App=23&amp;ReportView=4&amp;Qid=1711245&amp;Row=761&amp;Col=1","No Title Assigned - #15266036970")</f>
        <v/>
      </c>
      <c r="B769" s="0" t="s">
        <v>1181</v>
      </c>
      <c r="E769" s="0" t="s">
        <v>13</v>
      </c>
      <c r="F769" s="0" t="s">
        <v>13</v>
      </c>
      <c r="G769" s="0" t="s">
        <v>54</v>
      </c>
      <c r="H769" s="5">
        <v>33374.347900</v>
      </c>
    </row>
    <row r="770" spans="1:9">
      <c r="A770" s="22" t="str">
        <f>HYPERLINK("https://app.vivvix.com/360/KMI/IntelliDrive/ApplUI/Pages/CreativePages/CustomReportCreativeDetail.aspx?App=23&amp;ReportView=4&amp;Qid=1711245&amp;Row=762&amp;Col=1","No Title Assigned - #15266038977")</f>
        <v/>
      </c>
      <c r="B770" s="0" t="s">
        <v>1182</v>
      </c>
      <c r="E770" s="0" t="s">
        <v>13</v>
      </c>
      <c r="F770" s="0" t="s">
        <v>13</v>
      </c>
      <c r="G770" s="0" t="s">
        <v>54</v>
      </c>
      <c r="H770" s="5">
        <v>20511.337100</v>
      </c>
    </row>
    <row r="771" spans="1:9">
      <c r="A771" s="22" t="str">
        <f>HYPERLINK("https://app.vivvix.com/360/KMI/IntelliDrive/ApplUI/Pages/CreativePages/CustomReportCreativeDetail.aspx?App=23&amp;ReportView=4&amp;Qid=1711245&amp;Row=763&amp;Col=1","No Title Assigned - #15266039014")</f>
        <v/>
      </c>
      <c r="B771" s="0" t="s">
        <v>1183</v>
      </c>
      <c r="E771" s="0" t="s">
        <v>13</v>
      </c>
      <c r="F771" s="0" t="s">
        <v>13</v>
      </c>
      <c r="G771" s="0" t="s">
        <v>54</v>
      </c>
      <c r="H771" s="5">
        <v>14585.715000</v>
      </c>
    </row>
    <row r="772" spans="1:9">
      <c r="A772" s="22" t="str">
        <f>HYPERLINK("https://app.vivvix.com/360/KMI/IntelliDrive/ApplUI/Pages/CreativePages/CustomReportCreativeDetail.aspx?App=23&amp;ReportView=4&amp;Qid=1711245&amp;Row=764&amp;Col=1","No Title Assigned - #15266039437")</f>
        <v/>
      </c>
      <c r="B772" s="0" t="s">
        <v>1184</v>
      </c>
      <c r="E772" s="0" t="s">
        <v>13</v>
      </c>
      <c r="F772" s="0" t="s">
        <v>13</v>
      </c>
      <c r="G772" s="0" t="s">
        <v>54</v>
      </c>
      <c r="H772" s="5">
        <v>16432.458500</v>
      </c>
    </row>
    <row r="773" spans="1:9">
      <c r="A773" s="22" t="str">
        <f>HYPERLINK("https://app.vivvix.com/360/KMI/IntelliDrive/ApplUI/Pages/CreativePages/CustomReportCreativeDetail.aspx?App=23&amp;ReportView=4&amp;Qid=1711245&amp;Row=765&amp;Col=1","No Title Assigned - #15266039957")</f>
        <v/>
      </c>
      <c r="B773" s="0" t="s">
        <v>1185</v>
      </c>
      <c r="E773" s="0" t="s">
        <v>13</v>
      </c>
      <c r="F773" s="0" t="s">
        <v>13</v>
      </c>
      <c r="G773" s="0" t="s">
        <v>54</v>
      </c>
      <c r="H773" s="5">
        <v>64688.536900</v>
      </c>
    </row>
    <row r="774" spans="1:9">
      <c r="A774" s="22" t="str">
        <f>HYPERLINK("https://app.vivvix.com/360/KMI/IntelliDrive/ApplUI/Pages/CreativePages/CustomReportCreativeDetail.aspx?App=23&amp;ReportView=4&amp;Qid=1711245&amp;Row=766&amp;Col=1","No Title Assigned - #15266040015")</f>
        <v/>
      </c>
      <c r="B774" s="0" t="s">
        <v>1186</v>
      </c>
      <c r="E774" s="0" t="s">
        <v>13</v>
      </c>
      <c r="F774" s="0" t="s">
        <v>13</v>
      </c>
      <c r="G774" s="0" t="s">
        <v>54</v>
      </c>
      <c r="H774" s="5">
        <v>1787.629300</v>
      </c>
    </row>
    <row r="775" spans="1:9">
      <c r="A775" s="22" t="str">
        <f>HYPERLINK("https://app.vivvix.com/360/KMI/IntelliDrive/ApplUI/Pages/CreativePages/CustomReportCreativeDetail.aspx?App=23&amp;ReportView=4&amp;Qid=1711245&amp;Row=767&amp;Col=1","No Title Assigned - #15266048249")</f>
        <v/>
      </c>
      <c r="B775" s="0" t="s">
        <v>1187</v>
      </c>
      <c r="E775" s="0" t="s">
        <v>13</v>
      </c>
      <c r="F775" s="0" t="s">
        <v>14</v>
      </c>
      <c r="G775" s="0" t="s">
        <v>15</v>
      </c>
      <c r="H775" s="5">
        <v>51670.479900</v>
      </c>
    </row>
    <row r="776" spans="1:9">
      <c r="A776" s="22" t="str">
        <f>HYPERLINK("https://app.vivvix.com/360/KMI/IntelliDrive/ApplUI/Pages/CreativePages/CustomReportCreativeDetail.aspx?App=23&amp;ReportView=4&amp;Qid=1711245&amp;Row=768&amp;Col=1","No Title Assigned - #15266052571")</f>
        <v/>
      </c>
      <c r="B776" s="0" t="s">
        <v>1188</v>
      </c>
      <c r="E776" s="0" t="s">
        <v>13</v>
      </c>
      <c r="F776" s="0" t="s">
        <v>13</v>
      </c>
      <c r="G776" s="0" t="s">
        <v>54</v>
      </c>
      <c r="H776" s="5">
        <v>2078.089400</v>
      </c>
    </row>
    <row r="777" spans="1:9">
      <c r="A777" s="22" t="str">
        <f>HYPERLINK("https://app.vivvix.com/360/KMI/IntelliDrive/ApplUI/Pages/CreativePages/CustomReportCreativeDetail.aspx?App=23&amp;ReportView=4&amp;Qid=1711245&amp;Row=769&amp;Col=1","No Title Assigned - #15266053442")</f>
        <v/>
      </c>
      <c r="B777" s="0" t="s">
        <v>1189</v>
      </c>
      <c r="C777" s="0" t="s">
        <v>1190</v>
      </c>
      <c r="D777" s="0" t="s">
        <v>1190</v>
      </c>
      <c r="E777" s="0" t="s">
        <v>13</v>
      </c>
      <c r="F777" s="0" t="s">
        <v>128</v>
      </c>
      <c r="G777" s="0" t="s">
        <v>456</v>
      </c>
      <c r="H777" s="5">
        <v>27713.341600</v>
      </c>
    </row>
    <row r="778" spans="1:9">
      <c r="A778" s="22" t="str">
        <f>HYPERLINK("https://app.vivvix.com/360/KMI/IntelliDrive/ApplUI/Pages/CreativePages/CustomReportCreativeDetail.aspx?App=23&amp;ReportView=4&amp;Qid=1711245&amp;Row=770&amp;Col=1","No Title Assigned - #15266053632")</f>
        <v/>
      </c>
      <c r="B778" s="0" t="s">
        <v>1191</v>
      </c>
      <c r="C778" s="0" t="s">
        <v>1192</v>
      </c>
      <c r="D778" s="0" t="s">
        <v>1192</v>
      </c>
      <c r="E778" s="0" t="s">
        <v>13</v>
      </c>
      <c r="F778" s="0" t="s">
        <v>13</v>
      </c>
      <c r="G778" s="0" t="s">
        <v>121</v>
      </c>
      <c r="H778" s="5">
        <v>3160.147500</v>
      </c>
    </row>
    <row r="779" spans="1:9">
      <c r="A779" s="22" t="str">
        <f>HYPERLINK("https://app.vivvix.com/360/KMI/IntelliDrive/ApplUI/Pages/CreativePages/CustomReportCreativeDetail.aspx?App=23&amp;ReportView=4&amp;Qid=1711245&amp;Row=771&amp;Col=1","No Title Assigned - #15266061672")</f>
        <v/>
      </c>
      <c r="B779" s="0" t="s">
        <v>1193</v>
      </c>
      <c r="C779" s="0" t="s">
        <v>1194</v>
      </c>
      <c r="D779" s="0" t="s">
        <v>1194</v>
      </c>
      <c r="E779" s="0" t="s">
        <v>13</v>
      </c>
      <c r="F779" s="0" t="s">
        <v>17</v>
      </c>
      <c r="G779" s="0" t="s">
        <v>446</v>
      </c>
      <c r="H779" s="5">
        <v>69522.081400</v>
      </c>
    </row>
    <row r="780" spans="1:9">
      <c r="A780" s="22" t="str">
        <f>HYPERLINK("https://app.vivvix.com/360/KMI/IntelliDrive/ApplUI/Pages/CreativePages/CustomReportCreativeDetail.aspx?App=23&amp;ReportView=4&amp;Qid=1711245&amp;Row=772&amp;Col=1","No Title Assigned - #15266061681")</f>
        <v/>
      </c>
      <c r="B780" s="0" t="s">
        <v>1195</v>
      </c>
      <c r="C780" s="0" t="s">
        <v>992</v>
      </c>
      <c r="D780" s="0" t="s">
        <v>964</v>
      </c>
      <c r="E780" s="0" t="s">
        <v>13</v>
      </c>
      <c r="F780" s="0" t="s">
        <v>17</v>
      </c>
      <c r="G780" s="0" t="s">
        <v>446</v>
      </c>
      <c r="H780" s="5">
        <v>1655.863900</v>
      </c>
    </row>
    <row r="781" spans="1:9">
      <c r="A781" s="22" t="str">
        <f>HYPERLINK("https://app.vivvix.com/360/KMI/IntelliDrive/ApplUI/Pages/CreativePages/CustomReportCreativeDetail.aspx?App=23&amp;ReportView=4&amp;Qid=1711245&amp;Row=773&amp;Col=1","No Title Assigned - #15266061752")</f>
        <v/>
      </c>
      <c r="B781" s="0" t="s">
        <v>1196</v>
      </c>
      <c r="C781" s="0" t="s">
        <v>1197</v>
      </c>
      <c r="D781" s="0" t="s">
        <v>1197</v>
      </c>
      <c r="E781" s="0" t="s">
        <v>13</v>
      </c>
      <c r="F781" s="0" t="s">
        <v>17</v>
      </c>
      <c r="G781" s="0" t="s">
        <v>446</v>
      </c>
      <c r="H781" s="5">
        <v>8754.133700</v>
      </c>
    </row>
    <row r="782" spans="1:9">
      <c r="A782" s="22" t="str">
        <f>HYPERLINK("https://app.vivvix.com/360/KMI/IntelliDrive/ApplUI/Pages/CreativePages/CustomReportCreativeDetail.aspx?App=23&amp;ReportView=4&amp;Qid=1711245&amp;Row=774&amp;Col=1","No Title Assigned - #15266061825")</f>
        <v/>
      </c>
      <c r="B782" s="0" t="s">
        <v>1198</v>
      </c>
      <c r="E782" s="0" t="s">
        <v>13</v>
      </c>
      <c r="F782" s="0" t="s">
        <v>13</v>
      </c>
      <c r="G782" s="0" t="s">
        <v>54</v>
      </c>
      <c r="H782" s="5">
        <v>4386.129700</v>
      </c>
    </row>
    <row r="783" spans="1:9">
      <c r="A783" s="22" t="str">
        <f>HYPERLINK("https://app.vivvix.com/360/KMI/IntelliDrive/ApplUI/Pages/CreativePages/CustomReportCreativeDetail.aspx?App=23&amp;ReportView=4&amp;Qid=1711245&amp;Row=775&amp;Col=1","No Title Assigned - #15266061861")</f>
        <v/>
      </c>
      <c r="B783" s="0" t="s">
        <v>1199</v>
      </c>
      <c r="E783" s="0" t="s">
        <v>13</v>
      </c>
      <c r="F783" s="0" t="s">
        <v>13</v>
      </c>
      <c r="G783" s="0" t="s">
        <v>54</v>
      </c>
      <c r="H783" s="5">
        <v>7234.988800</v>
      </c>
    </row>
    <row r="784" spans="1:9">
      <c r="A784" s="22" t="str">
        <f>HYPERLINK("https://app.vivvix.com/360/KMI/IntelliDrive/ApplUI/Pages/CreativePages/CustomReportCreativeDetail.aspx?App=23&amp;ReportView=4&amp;Qid=1711245&amp;Row=776&amp;Col=1","No Title Assigned - #15266062089")</f>
        <v/>
      </c>
      <c r="B784" s="0" t="s">
        <v>1200</v>
      </c>
      <c r="E784" s="0" t="s">
        <v>13</v>
      </c>
      <c r="F784" s="0" t="s">
        <v>13</v>
      </c>
      <c r="G784" s="0" t="s">
        <v>54</v>
      </c>
      <c r="H784" s="5">
        <v>52207.748500</v>
      </c>
    </row>
    <row r="785" spans="1:9">
      <c r="A785" s="22" t="str">
        <f>HYPERLINK("https://app.vivvix.com/360/KMI/IntelliDrive/ApplUI/Pages/CreativePages/CustomReportCreativeDetail.aspx?App=23&amp;ReportView=4&amp;Qid=1711245&amp;Row=777&amp;Col=1","No Title Assigned - #15266062577")</f>
        <v/>
      </c>
      <c r="B785" s="0" t="s">
        <v>1201</v>
      </c>
      <c r="E785" s="0" t="s">
        <v>13</v>
      </c>
      <c r="F785" s="0" t="s">
        <v>14</v>
      </c>
      <c r="G785" s="0" t="s">
        <v>15</v>
      </c>
      <c r="H785" s="5">
        <v>97424.126000</v>
      </c>
    </row>
    <row r="786" spans="1:9">
      <c r="A786" s="22" t="str">
        <f>HYPERLINK("https://app.vivvix.com/360/KMI/IntelliDrive/ApplUI/Pages/CreativePages/CustomReportCreativeDetail.aspx?App=23&amp;ReportView=4&amp;Qid=1711245&amp;Row=778&amp;Col=1","No Title Assigned - #15266062618")</f>
        <v/>
      </c>
      <c r="B786" s="0" t="s">
        <v>1202</v>
      </c>
      <c r="E786" s="0" t="s">
        <v>13</v>
      </c>
      <c r="F786" s="0" t="s">
        <v>13</v>
      </c>
      <c r="G786" s="0" t="s">
        <v>54</v>
      </c>
      <c r="H786" s="5">
        <v>4404.692400</v>
      </c>
    </row>
    <row r="787" spans="1:9">
      <c r="A787" s="22" t="str">
        <f>HYPERLINK("https://app.vivvix.com/360/KMI/IntelliDrive/ApplUI/Pages/CreativePages/CustomReportCreativeDetail.aspx?App=23&amp;ReportView=4&amp;Qid=1711245&amp;Row=779&amp;Col=1","No Title Assigned - #15266062716")</f>
        <v/>
      </c>
      <c r="B787" s="0" t="s">
        <v>1203</v>
      </c>
      <c r="C787" s="0" t="s">
        <v>1204</v>
      </c>
      <c r="D787" s="0" t="s">
        <v>492</v>
      </c>
      <c r="E787" s="0" t="s">
        <v>13</v>
      </c>
      <c r="F787" s="0" t="s">
        <v>28</v>
      </c>
      <c r="G787" s="0" t="s">
        <v>453</v>
      </c>
      <c r="H787" s="5">
        <v>62643.022400</v>
      </c>
    </row>
    <row r="788" spans="1:9">
      <c r="A788" s="22" t="str">
        <f>HYPERLINK("https://app.vivvix.com/360/KMI/IntelliDrive/ApplUI/Pages/CreativePages/CustomReportCreativeDetail.aspx?App=23&amp;ReportView=4&amp;Qid=1711245&amp;Row=780&amp;Col=1","No Title Assigned - #15266064556")</f>
        <v/>
      </c>
      <c r="B788" s="0" t="s">
        <v>1205</v>
      </c>
      <c r="C788" s="0" t="s">
        <v>1206</v>
      </c>
      <c r="D788" s="0" t="s">
        <v>1206</v>
      </c>
      <c r="E788" s="0" t="s">
        <v>13</v>
      </c>
      <c r="F788" s="0" t="s">
        <v>28</v>
      </c>
      <c r="G788" s="0" t="s">
        <v>453</v>
      </c>
      <c r="H788" s="5">
        <v>4443.558200</v>
      </c>
    </row>
    <row r="789" spans="1:9">
      <c r="A789" s="22" t="str">
        <f>HYPERLINK("https://app.vivvix.com/360/KMI/IntelliDrive/ApplUI/Pages/CreativePages/CustomReportCreativeDetail.aspx?App=23&amp;ReportView=4&amp;Qid=1711245&amp;Row=781&amp;Col=1","No Title Assigned - #15266064573")</f>
        <v/>
      </c>
      <c r="B789" s="0" t="s">
        <v>1207</v>
      </c>
      <c r="C789" s="0" t="s">
        <v>1208</v>
      </c>
      <c r="D789" s="0" t="s">
        <v>1208</v>
      </c>
      <c r="E789" s="0" t="s">
        <v>13</v>
      </c>
      <c r="F789" s="0" t="s">
        <v>28</v>
      </c>
      <c r="G789" s="0" t="s">
        <v>453</v>
      </c>
      <c r="H789" s="5">
        <v>928.366200</v>
      </c>
    </row>
    <row r="790" spans="1:9">
      <c r="A790" s="22" t="str">
        <f>HYPERLINK("https://app.vivvix.com/360/KMI/IntelliDrive/ApplUI/Pages/CreativePages/CustomReportCreativeDetail.aspx?App=23&amp;ReportView=4&amp;Qid=1711245&amp;Row=782&amp;Col=1","No Title Assigned - #15266064574")</f>
        <v/>
      </c>
      <c r="B790" s="0" t="s">
        <v>1209</v>
      </c>
      <c r="C790" s="0" t="s">
        <v>565</v>
      </c>
      <c r="D790" s="0" t="s">
        <v>565</v>
      </c>
      <c r="E790" s="0" t="s">
        <v>13</v>
      </c>
      <c r="F790" s="0" t="s">
        <v>530</v>
      </c>
      <c r="G790" s="0" t="s">
        <v>531</v>
      </c>
      <c r="H790" s="5">
        <v>3675.099900</v>
      </c>
    </row>
    <row r="791" spans="1:9">
      <c r="A791" s="22" t="str">
        <f>HYPERLINK("https://app.vivvix.com/360/KMI/IntelliDrive/ApplUI/Pages/CreativePages/CustomReportCreativeDetail.aspx?App=23&amp;ReportView=4&amp;Qid=1711245&amp;Row=783&amp;Col=1","No Title Assigned - #15266087261")</f>
        <v/>
      </c>
      <c r="B791" s="0" t="s">
        <v>1210</v>
      </c>
      <c r="C791" s="0" t="s">
        <v>1211</v>
      </c>
      <c r="D791" s="0" t="s">
        <v>1211</v>
      </c>
      <c r="E791" s="0" t="s">
        <v>13</v>
      </c>
      <c r="F791" s="0" t="s">
        <v>13</v>
      </c>
      <c r="G791" s="0" t="s">
        <v>576</v>
      </c>
      <c r="H791" s="5">
        <v>19376.816600</v>
      </c>
    </row>
    <row r="792" spans="1:9">
      <c r="A792" s="22" t="str">
        <f>HYPERLINK("https://app.vivvix.com/360/KMI/IntelliDrive/ApplUI/Pages/CreativePages/CustomReportCreativeDetail.aspx?App=23&amp;ReportView=4&amp;Qid=1711245&amp;Row=784&amp;Col=1","No Title Assigned - #15266089616")</f>
        <v/>
      </c>
      <c r="B792" s="0" t="s">
        <v>1212</v>
      </c>
      <c r="C792" s="0" t="s">
        <v>1213</v>
      </c>
      <c r="D792" s="0" t="s">
        <v>1213</v>
      </c>
      <c r="E792" s="0" t="s">
        <v>13</v>
      </c>
      <c r="F792" s="0" t="s">
        <v>17</v>
      </c>
      <c r="G792" s="0" t="s">
        <v>446</v>
      </c>
      <c r="H792" s="5">
        <v>69910.413600</v>
      </c>
    </row>
    <row r="793" spans="1:9">
      <c r="A793" s="22" t="str">
        <f>HYPERLINK("https://app.vivvix.com/360/KMI/IntelliDrive/ApplUI/Pages/CreativePages/CustomReportCreativeDetail.aspx?App=23&amp;ReportView=4&amp;Qid=1711245&amp;Row=785&amp;Col=1","No Title Assigned - #15266101361")</f>
        <v/>
      </c>
      <c r="B793" s="0" t="s">
        <v>1214</v>
      </c>
      <c r="C793" s="0" t="s">
        <v>1215</v>
      </c>
      <c r="D793" s="0" t="s">
        <v>1215</v>
      </c>
      <c r="E793" s="0" t="s">
        <v>13</v>
      </c>
      <c r="F793" s="0" t="s">
        <v>530</v>
      </c>
      <c r="G793" s="0" t="s">
        <v>531</v>
      </c>
      <c r="H793" s="5">
        <v>1254.652000</v>
      </c>
    </row>
    <row r="794" spans="1:9">
      <c r="A794" s="22" t="str">
        <f>HYPERLINK("https://app.vivvix.com/360/KMI/IntelliDrive/ApplUI/Pages/CreativePages/CustomReportCreativeDetail.aspx?App=23&amp;ReportView=4&amp;Qid=1711245&amp;Row=786&amp;Col=1","No Title Assigned - #15266105531")</f>
        <v/>
      </c>
      <c r="B794" s="0" t="s">
        <v>1216</v>
      </c>
      <c r="C794" s="0" t="s">
        <v>1217</v>
      </c>
      <c r="D794" s="0" t="s">
        <v>1217</v>
      </c>
      <c r="E794" s="0" t="s">
        <v>13</v>
      </c>
      <c r="F794" s="0" t="s">
        <v>540</v>
      </c>
      <c r="G794" s="0" t="s">
        <v>541</v>
      </c>
      <c r="H794" s="5">
        <v>2281.281800</v>
      </c>
    </row>
    <row r="795" spans="1:9">
      <c r="A795" s="22" t="str">
        <f>HYPERLINK("https://app.vivvix.com/360/KMI/IntelliDrive/ApplUI/Pages/CreativePages/CustomReportCreativeDetail.aspx?App=23&amp;ReportView=4&amp;Qid=1711245&amp;Row=787&amp;Col=1","No Title Assigned - #15266112877")</f>
        <v/>
      </c>
      <c r="B795" s="0" t="s">
        <v>1218</v>
      </c>
      <c r="E795" s="0" t="s">
        <v>13</v>
      </c>
      <c r="F795" s="0" t="s">
        <v>13</v>
      </c>
      <c r="G795" s="0" t="s">
        <v>54</v>
      </c>
      <c r="H795" s="5">
        <v>2608.539600</v>
      </c>
    </row>
    <row r="796" spans="1:9">
      <c r="A796" s="22" t="str">
        <f>HYPERLINK("https://app.vivvix.com/360/KMI/IntelliDrive/ApplUI/Pages/CreativePages/CustomReportCreativeDetail.aspx?App=23&amp;ReportView=4&amp;Qid=1711245&amp;Row=788&amp;Col=1","No Title Assigned - #15266112906")</f>
        <v/>
      </c>
      <c r="B796" s="0" t="s">
        <v>1219</v>
      </c>
      <c r="E796" s="0" t="s">
        <v>13</v>
      </c>
      <c r="F796" s="0" t="s">
        <v>13</v>
      </c>
      <c r="G796" s="0" t="s">
        <v>54</v>
      </c>
      <c r="H796" s="5">
        <v>10290.895500</v>
      </c>
    </row>
    <row r="797" spans="1:9">
      <c r="A797" s="22" t="str">
        <f>HYPERLINK("https://app.vivvix.com/360/KMI/IntelliDrive/ApplUI/Pages/CreativePages/CustomReportCreativeDetail.aspx?App=23&amp;ReportView=4&amp;Qid=1711245&amp;Row=789&amp;Col=1","No Title Assigned - #15266113299")</f>
        <v/>
      </c>
      <c r="B797" s="0" t="s">
        <v>1220</v>
      </c>
      <c r="E797" s="0" t="s">
        <v>13</v>
      </c>
      <c r="F797" s="0" t="s">
        <v>13</v>
      </c>
      <c r="G797" s="0" t="s">
        <v>54</v>
      </c>
      <c r="H797" s="5">
        <v>1459.527200</v>
      </c>
    </row>
    <row r="798" spans="1:9">
      <c r="A798" s="22" t="str">
        <f>HYPERLINK("https://app.vivvix.com/360/KMI/IntelliDrive/ApplUI/Pages/CreativePages/CustomReportCreativeDetail.aspx?App=23&amp;ReportView=4&amp;Qid=1711245&amp;Row=790&amp;Col=1","No Title Assigned - #15266116008")</f>
        <v/>
      </c>
      <c r="B798" s="0" t="s">
        <v>1221</v>
      </c>
      <c r="C798" s="0" t="s">
        <v>1222</v>
      </c>
      <c r="D798" s="0" t="s">
        <v>1222</v>
      </c>
      <c r="E798" s="0" t="s">
        <v>13</v>
      </c>
      <c r="F798" s="0" t="s">
        <v>540</v>
      </c>
      <c r="G798" s="0" t="s">
        <v>541</v>
      </c>
      <c r="H798" s="5">
        <v>54424.037400</v>
      </c>
    </row>
    <row r="799" spans="1:9">
      <c r="A799" s="22" t="str">
        <f>HYPERLINK("https://app.vivvix.com/360/KMI/IntelliDrive/ApplUI/Pages/CreativePages/CustomReportCreativeDetail.aspx?App=23&amp;ReportView=4&amp;Qid=1711245&amp;Row=791&amp;Col=1","No Title Assigned - #15266117279")</f>
        <v/>
      </c>
      <c r="B799" s="0" t="s">
        <v>1223</v>
      </c>
      <c r="C799" s="0" t="s">
        <v>671</v>
      </c>
      <c r="D799" s="0" t="s">
        <v>671</v>
      </c>
      <c r="E799" s="0" t="s">
        <v>13</v>
      </c>
      <c r="F799" s="0" t="s">
        <v>540</v>
      </c>
      <c r="G799" s="0" t="s">
        <v>541</v>
      </c>
      <c r="H799" s="5">
        <v>46022.479300</v>
      </c>
    </row>
    <row r="800" spans="1:9">
      <c r="A800" s="22" t="str">
        <f>HYPERLINK("https://app.vivvix.com/360/KMI/IntelliDrive/ApplUI/Pages/CreativePages/CustomReportCreativeDetail.aspx?App=23&amp;ReportView=4&amp;Qid=1711245&amp;Row=792&amp;Col=1","No Title Assigned - #15266117780")</f>
        <v/>
      </c>
      <c r="B800" s="0" t="s">
        <v>1224</v>
      </c>
      <c r="E800" s="0" t="s">
        <v>13</v>
      </c>
      <c r="F800" s="0" t="s">
        <v>13</v>
      </c>
      <c r="G800" s="0" t="s">
        <v>35</v>
      </c>
      <c r="H800" s="5">
        <v>1268.190000</v>
      </c>
    </row>
    <row r="801" spans="1:9">
      <c r="A801" s="22" t="str">
        <f>HYPERLINK("https://app.vivvix.com/360/KMI/IntelliDrive/ApplUI/Pages/CreativePages/CustomReportCreativeDetail.aspx?App=23&amp;ReportView=4&amp;Qid=1711245&amp;Row=793&amp;Col=1","No Title Assigned - #15266119749")</f>
        <v/>
      </c>
      <c r="B801" s="0" t="s">
        <v>1225</v>
      </c>
      <c r="E801" s="0" t="s">
        <v>13</v>
      </c>
      <c r="F801" s="0" t="s">
        <v>13</v>
      </c>
      <c r="G801" s="0" t="s">
        <v>54</v>
      </c>
      <c r="H801" s="5">
        <v>26679.353800</v>
      </c>
    </row>
    <row r="802" spans="1:9">
      <c r="A802" s="22" t="str">
        <f>HYPERLINK("https://app.vivvix.com/360/KMI/IntelliDrive/ApplUI/Pages/CreativePages/CustomReportCreativeDetail.aspx?App=23&amp;ReportView=4&amp;Qid=1711245&amp;Row=794&amp;Col=1","No Title Assigned - #15266120398")</f>
        <v/>
      </c>
      <c r="B802" s="0" t="s">
        <v>1226</v>
      </c>
      <c r="C802" s="0" t="s">
        <v>1227</v>
      </c>
      <c r="D802" s="0" t="s">
        <v>1227</v>
      </c>
      <c r="E802" s="0" t="s">
        <v>13</v>
      </c>
      <c r="F802" s="0" t="s">
        <v>28</v>
      </c>
      <c r="G802" s="0" t="s">
        <v>453</v>
      </c>
      <c r="H802" s="5">
        <v>1514.462500</v>
      </c>
    </row>
    <row r="803" spans="1:9">
      <c r="A803" s="22" t="str">
        <f>HYPERLINK("https://app.vivvix.com/360/KMI/IntelliDrive/ApplUI/Pages/CreativePages/CustomReportCreativeDetail.aspx?App=23&amp;ReportView=4&amp;Qid=1711245&amp;Row=795&amp;Col=1","No Title Assigned - #15266122525")</f>
        <v/>
      </c>
      <c r="B803" s="0" t="s">
        <v>1228</v>
      </c>
      <c r="E803" s="0" t="s">
        <v>13</v>
      </c>
      <c r="F803" s="0" t="s">
        <v>13</v>
      </c>
      <c r="G803" s="0" t="s">
        <v>54</v>
      </c>
      <c r="H803" s="5">
        <v>10151.334100</v>
      </c>
    </row>
    <row r="804" spans="1:9">
      <c r="A804" s="22" t="str">
        <f>HYPERLINK("https://app.vivvix.com/360/KMI/IntelliDrive/ApplUI/Pages/CreativePages/CustomReportCreativeDetail.aspx?App=23&amp;ReportView=4&amp;Qid=1711245&amp;Row=796&amp;Col=1","No Title Assigned - #15266123708")</f>
        <v/>
      </c>
      <c r="B804" s="0" t="s">
        <v>1229</v>
      </c>
      <c r="C804" s="0" t="s">
        <v>1230</v>
      </c>
      <c r="D804" s="0" t="s">
        <v>1230</v>
      </c>
      <c r="E804" s="0" t="s">
        <v>13</v>
      </c>
      <c r="F804" s="0" t="s">
        <v>14</v>
      </c>
      <c r="G804" s="0" t="s">
        <v>15</v>
      </c>
      <c r="H804" s="5">
        <v>860.969600</v>
      </c>
    </row>
    <row r="805" spans="1:9">
      <c r="A805" s="22" t="str">
        <f>HYPERLINK("https://app.vivvix.com/360/KMI/IntelliDrive/ApplUI/Pages/CreativePages/CustomReportCreativeDetail.aspx?App=23&amp;ReportView=4&amp;Qid=1711245&amp;Row=797&amp;Col=1","No Title Assigned - #15266124219")</f>
        <v/>
      </c>
      <c r="B805" s="0" t="s">
        <v>1231</v>
      </c>
      <c r="C805" s="0" t="s">
        <v>1232</v>
      </c>
      <c r="D805" s="0" t="s">
        <v>1232</v>
      </c>
      <c r="E805" s="0" t="s">
        <v>13</v>
      </c>
      <c r="F805" s="0" t="s">
        <v>14</v>
      </c>
      <c r="G805" s="0" t="s">
        <v>15</v>
      </c>
      <c r="H805" s="5">
        <v>2486.921900</v>
      </c>
    </row>
    <row r="806" spans="1:9">
      <c r="A806" s="22" t="str">
        <f>HYPERLINK("https://app.vivvix.com/360/KMI/IntelliDrive/ApplUI/Pages/CreativePages/CustomReportCreativeDetail.aspx?App=23&amp;ReportView=4&amp;Qid=1711245&amp;Row=798&amp;Col=1","No Title Assigned - #15266154622")</f>
        <v/>
      </c>
      <c r="B806" s="0" t="s">
        <v>1233</v>
      </c>
      <c r="C806" s="0" t="s">
        <v>1234</v>
      </c>
      <c r="D806" s="0" t="s">
        <v>1234</v>
      </c>
      <c r="E806" s="0" t="s">
        <v>13</v>
      </c>
      <c r="F806" s="0" t="s">
        <v>28</v>
      </c>
      <c r="G806" s="0" t="s">
        <v>453</v>
      </c>
      <c r="H806" s="5">
        <v>8578.005800</v>
      </c>
    </row>
    <row r="807" spans="1:9">
      <c r="A807" s="22" t="str">
        <f>HYPERLINK("https://app.vivvix.com/360/KMI/IntelliDrive/ApplUI/Pages/CreativePages/CustomReportCreativeDetail.aspx?App=23&amp;ReportView=4&amp;Qid=1711245&amp;Row=799&amp;Col=1","No Title Assigned - #15266159515")</f>
        <v/>
      </c>
      <c r="B807" s="0" t="s">
        <v>1235</v>
      </c>
      <c r="C807" s="0" t="s">
        <v>1236</v>
      </c>
      <c r="D807" s="0" t="s">
        <v>1236</v>
      </c>
      <c r="E807" s="0" t="s">
        <v>13</v>
      </c>
      <c r="F807" s="0" t="s">
        <v>28</v>
      </c>
      <c r="G807" s="0" t="s">
        <v>453</v>
      </c>
      <c r="H807" s="5">
        <v>8464.645500</v>
      </c>
    </row>
    <row r="808" spans="1:9">
      <c r="A808" s="22" t="str">
        <f>HYPERLINK("https://app.vivvix.com/360/KMI/IntelliDrive/ApplUI/Pages/CreativePages/CustomReportCreativeDetail.aspx?App=23&amp;ReportView=4&amp;Qid=1711245&amp;Row=800&amp;Col=1","No Title Assigned - #15266163375")</f>
        <v/>
      </c>
      <c r="B808" s="0" t="s">
        <v>1237</v>
      </c>
      <c r="E808" s="0" t="s">
        <v>13</v>
      </c>
      <c r="F808" s="0" t="s">
        <v>13</v>
      </c>
      <c r="G808" s="0" t="s">
        <v>54</v>
      </c>
      <c r="H808" s="5">
        <v>12277.209000</v>
      </c>
    </row>
    <row r="809" spans="1:9">
      <c r="A809" s="22" t="str">
        <f>HYPERLINK("https://app.vivvix.com/360/KMI/IntelliDrive/ApplUI/Pages/CreativePages/CustomReportCreativeDetail.aspx?App=23&amp;ReportView=4&amp;Qid=1711245&amp;Row=801&amp;Col=1","No Title Assigned - #15266164055")</f>
        <v/>
      </c>
      <c r="B809" s="0" t="s">
        <v>1238</v>
      </c>
      <c r="C809" s="0" t="s">
        <v>1239</v>
      </c>
      <c r="D809" s="0" t="s">
        <v>1239</v>
      </c>
      <c r="E809" s="0" t="s">
        <v>13</v>
      </c>
      <c r="F809" s="0" t="s">
        <v>14</v>
      </c>
      <c r="G809" s="0" t="s">
        <v>15</v>
      </c>
      <c r="H809" s="5">
        <v>10972.608900</v>
      </c>
    </row>
    <row r="810" spans="1:9">
      <c r="A810" s="22" t="str">
        <f>HYPERLINK("https://app.vivvix.com/360/KMI/IntelliDrive/ApplUI/Pages/CreativePages/CustomReportCreativeDetail.aspx?App=23&amp;ReportView=4&amp;Qid=1711245&amp;Row=802&amp;Col=1","No Title Assigned - #15266165049")</f>
        <v/>
      </c>
      <c r="B810" s="0" t="s">
        <v>1240</v>
      </c>
      <c r="C810" s="0" t="s">
        <v>1241</v>
      </c>
      <c r="D810" s="0" t="s">
        <v>1241</v>
      </c>
      <c r="E810" s="0" t="s">
        <v>13</v>
      </c>
      <c r="F810" s="0" t="s">
        <v>17</v>
      </c>
      <c r="G810" s="0" t="s">
        <v>446</v>
      </c>
      <c r="H810" s="5">
        <v>49331.932300</v>
      </c>
    </row>
    <row r="811" spans="1:9">
      <c r="A811" s="22" t="str">
        <f>HYPERLINK("https://app.vivvix.com/360/KMI/IntelliDrive/ApplUI/Pages/CreativePages/CustomReportCreativeDetail.aspx?App=23&amp;ReportView=4&amp;Qid=1711245&amp;Row=803&amp;Col=1","No Title Assigned - #15266176597")</f>
        <v/>
      </c>
      <c r="B811" s="0" t="s">
        <v>1242</v>
      </c>
      <c r="C811" s="0" t="s">
        <v>1243</v>
      </c>
      <c r="D811" s="0" t="s">
        <v>1243</v>
      </c>
      <c r="E811" s="0" t="s">
        <v>13</v>
      </c>
      <c r="F811" s="0" t="s">
        <v>13</v>
      </c>
      <c r="G811" s="0" t="s">
        <v>576</v>
      </c>
      <c r="H811" s="5">
        <v>31678.668700</v>
      </c>
    </row>
    <row r="812" spans="1:9">
      <c r="A812" s="22" t="str">
        <f>HYPERLINK("https://app.vivvix.com/360/KMI/IntelliDrive/ApplUI/Pages/CreativePages/CustomReportCreativeDetail.aspx?App=23&amp;ReportView=4&amp;Qid=1711245&amp;Row=804&amp;Col=1","No Title Assigned - #15266176688")</f>
        <v/>
      </c>
      <c r="B812" s="0" t="s">
        <v>1244</v>
      </c>
      <c r="C812" s="0" t="s">
        <v>1245</v>
      </c>
      <c r="D812" s="0" t="s">
        <v>1245</v>
      </c>
      <c r="E812" s="0" t="s">
        <v>13</v>
      </c>
      <c r="F812" s="0" t="s">
        <v>14</v>
      </c>
      <c r="G812" s="0" t="s">
        <v>15</v>
      </c>
      <c r="H812" s="5">
        <v>59.812500</v>
      </c>
    </row>
    <row r="813" spans="1:9">
      <c r="A813" s="22" t="str">
        <f>HYPERLINK("https://app.vivvix.com/360/KMI/IntelliDrive/ApplUI/Pages/CreativePages/CustomReportCreativeDetail.aspx?App=23&amp;ReportView=4&amp;Qid=1711245&amp;Row=805&amp;Col=1","No Title Assigned - #15266183459")</f>
        <v/>
      </c>
      <c r="B813" s="0" t="s">
        <v>1246</v>
      </c>
      <c r="C813" s="0" t="s">
        <v>1247</v>
      </c>
      <c r="D813" s="0" t="s">
        <v>1247</v>
      </c>
      <c r="E813" s="0" t="s">
        <v>13</v>
      </c>
      <c r="F813" s="0" t="s">
        <v>530</v>
      </c>
      <c r="G813" s="0" t="s">
        <v>531</v>
      </c>
      <c r="H813" s="5">
        <v>7006.281300</v>
      </c>
    </row>
    <row r="814" spans="1:9">
      <c r="A814" s="22" t="str">
        <f>HYPERLINK("https://app.vivvix.com/360/KMI/IntelliDrive/ApplUI/Pages/CreativePages/CustomReportCreativeDetail.aspx?App=23&amp;ReportView=4&amp;Qid=1711245&amp;Row=806&amp;Col=1","No Title Assigned - #15266183460")</f>
        <v/>
      </c>
      <c r="B814" s="0" t="s">
        <v>1248</v>
      </c>
      <c r="E814" s="0" t="s">
        <v>13</v>
      </c>
      <c r="F814" s="0" t="s">
        <v>13</v>
      </c>
      <c r="G814" s="0" t="s">
        <v>54</v>
      </c>
      <c r="H814" s="5">
        <v>733.847100</v>
      </c>
    </row>
    <row r="815" spans="1:9">
      <c r="A815" s="22" t="str">
        <f>HYPERLINK("https://app.vivvix.com/360/KMI/IntelliDrive/ApplUI/Pages/CreativePages/CustomReportCreativeDetail.aspx?App=23&amp;ReportView=4&amp;Qid=1711245&amp;Row=807&amp;Col=1","No Title Assigned - #15266183474")</f>
        <v/>
      </c>
      <c r="B815" s="0" t="s">
        <v>1249</v>
      </c>
      <c r="C815" s="0" t="s">
        <v>1250</v>
      </c>
      <c r="D815" s="0" t="s">
        <v>1250</v>
      </c>
      <c r="E815" s="0" t="s">
        <v>13</v>
      </c>
      <c r="F815" s="0" t="s">
        <v>540</v>
      </c>
      <c r="G815" s="0" t="s">
        <v>541</v>
      </c>
      <c r="H815" s="5">
        <v>48118.136000</v>
      </c>
    </row>
    <row r="816" spans="1:9">
      <c r="A816" s="22" t="str">
        <f>HYPERLINK("https://app.vivvix.com/360/KMI/IntelliDrive/ApplUI/Pages/CreativePages/CustomReportCreativeDetail.aspx?App=23&amp;ReportView=4&amp;Qid=1711245&amp;Row=808&amp;Col=1","No Title Assigned - #15266183495")</f>
        <v/>
      </c>
      <c r="B816" s="0" t="s">
        <v>1251</v>
      </c>
      <c r="E816" s="0" t="s">
        <v>13</v>
      </c>
      <c r="F816" s="0" t="s">
        <v>13</v>
      </c>
      <c r="G816" s="0" t="s">
        <v>54</v>
      </c>
      <c r="H816" s="5">
        <v>3752.929600</v>
      </c>
    </row>
    <row r="817" spans="1:9">
      <c r="A817" s="22" t="str">
        <f>HYPERLINK("https://app.vivvix.com/360/KMI/IntelliDrive/ApplUI/Pages/CreativePages/CustomReportCreativeDetail.aspx?App=23&amp;ReportView=4&amp;Qid=1711245&amp;Row=809&amp;Col=1","No Title Assigned - #15266183496")</f>
        <v/>
      </c>
      <c r="B817" s="0" t="s">
        <v>1252</v>
      </c>
      <c r="E817" s="0" t="s">
        <v>13</v>
      </c>
      <c r="F817" s="0" t="s">
        <v>13</v>
      </c>
      <c r="G817" s="0" t="s">
        <v>54</v>
      </c>
      <c r="H817" s="5">
        <v>3362.228700</v>
      </c>
    </row>
    <row r="818" spans="1:9">
      <c r="A818" s="22" t="str">
        <f>HYPERLINK("https://app.vivvix.com/360/KMI/IntelliDrive/ApplUI/Pages/CreativePages/CustomReportCreativeDetail.aspx?App=23&amp;ReportView=4&amp;Qid=1711245&amp;Row=810&amp;Col=1","No Title Assigned - #15266183509")</f>
        <v/>
      </c>
      <c r="B818" s="0" t="s">
        <v>1253</v>
      </c>
      <c r="E818" s="0" t="s">
        <v>13</v>
      </c>
      <c r="F818" s="0" t="s">
        <v>13</v>
      </c>
      <c r="G818" s="0" t="s">
        <v>54</v>
      </c>
      <c r="H818" s="5">
        <v>6641.925200</v>
      </c>
    </row>
    <row r="819" spans="1:9">
      <c r="A819" s="22" t="str">
        <f>HYPERLINK("https://app.vivvix.com/360/KMI/IntelliDrive/ApplUI/Pages/CreativePages/CustomReportCreativeDetail.aspx?App=23&amp;ReportView=4&amp;Qid=1711245&amp;Row=811&amp;Col=1","No Title Assigned - #15266183567")</f>
        <v/>
      </c>
      <c r="B819" s="0" t="s">
        <v>1254</v>
      </c>
      <c r="C819" s="0" t="s">
        <v>1255</v>
      </c>
      <c r="D819" s="0" t="s">
        <v>1255</v>
      </c>
      <c r="E819" s="0" t="s">
        <v>13</v>
      </c>
      <c r="F819" s="0" t="s">
        <v>14</v>
      </c>
      <c r="G819" s="0" t="s">
        <v>15</v>
      </c>
      <c r="H819" s="5">
        <v>23954.034000</v>
      </c>
    </row>
    <row r="820" spans="1:9">
      <c r="A820" s="22" t="str">
        <f>HYPERLINK("https://app.vivvix.com/360/KMI/IntelliDrive/ApplUI/Pages/CreativePages/CustomReportCreativeDetail.aspx?App=23&amp;ReportView=4&amp;Qid=1711245&amp;Row=812&amp;Col=1","No Title Assigned - #15266184943")</f>
        <v/>
      </c>
      <c r="B820" s="0" t="s">
        <v>1256</v>
      </c>
      <c r="C820" s="0" t="s">
        <v>1257</v>
      </c>
      <c r="D820" s="0" t="s">
        <v>1257</v>
      </c>
      <c r="E820" s="0" t="s">
        <v>13</v>
      </c>
      <c r="F820" s="0" t="s">
        <v>14</v>
      </c>
      <c r="G820" s="0" t="s">
        <v>15</v>
      </c>
      <c r="H820" s="5">
        <v>1238.073800</v>
      </c>
    </row>
    <row r="821" spans="1:9">
      <c r="A821" s="22" t="str">
        <f>HYPERLINK("https://app.vivvix.com/360/KMI/IntelliDrive/ApplUI/Pages/CreativePages/CustomReportCreativeDetail.aspx?App=23&amp;ReportView=4&amp;Qid=1711245&amp;Row=813&amp;Col=1","No Title Assigned - #15266214053")</f>
        <v/>
      </c>
      <c r="B821" s="0" t="s">
        <v>1258</v>
      </c>
      <c r="C821" s="0" t="s">
        <v>1259</v>
      </c>
      <c r="D821" s="0" t="s">
        <v>1259</v>
      </c>
      <c r="E821" s="0" t="s">
        <v>13</v>
      </c>
      <c r="F821" s="0" t="s">
        <v>14</v>
      </c>
      <c r="G821" s="0" t="s">
        <v>15</v>
      </c>
      <c r="H821" s="5">
        <v>6796.127700</v>
      </c>
    </row>
    <row r="822" spans="1:9">
      <c r="A822" s="22" t="str">
        <f>HYPERLINK("https://app.vivvix.com/360/KMI/IntelliDrive/ApplUI/Pages/CreativePages/CustomReportCreativeDetail.aspx?App=23&amp;ReportView=4&amp;Qid=1711245&amp;Row=814&amp;Col=1","No Title Assigned - #15266214610")</f>
        <v/>
      </c>
      <c r="B822" s="0" t="s">
        <v>1260</v>
      </c>
      <c r="C822" s="0" t="s">
        <v>1261</v>
      </c>
      <c r="D822" s="0" t="s">
        <v>1261</v>
      </c>
      <c r="E822" s="0" t="s">
        <v>13</v>
      </c>
      <c r="F822" s="0" t="s">
        <v>28</v>
      </c>
      <c r="G822" s="0" t="s">
        <v>453</v>
      </c>
      <c r="H822" s="5">
        <v>9334.113300</v>
      </c>
    </row>
    <row r="823" spans="1:9">
      <c r="A823" s="22" t="str">
        <f>HYPERLINK("https://app.vivvix.com/360/KMI/IntelliDrive/ApplUI/Pages/CreativePages/CustomReportCreativeDetail.aspx?App=23&amp;ReportView=4&amp;Qid=1711245&amp;Row=815&amp;Col=1","No Title Assigned - #15266214638")</f>
        <v/>
      </c>
      <c r="B823" s="0" t="s">
        <v>1262</v>
      </c>
      <c r="C823" s="0" t="s">
        <v>1263</v>
      </c>
      <c r="D823" s="0" t="s">
        <v>1263</v>
      </c>
      <c r="E823" s="0" t="s">
        <v>13</v>
      </c>
      <c r="F823" s="0" t="s">
        <v>128</v>
      </c>
      <c r="G823" s="0" t="s">
        <v>456</v>
      </c>
      <c r="H823" s="5">
        <v>16937.041700</v>
      </c>
    </row>
    <row r="824" spans="1:9">
      <c r="A824" s="22" t="str">
        <f>HYPERLINK("https://app.vivvix.com/360/KMI/IntelliDrive/ApplUI/Pages/CreativePages/CustomReportCreativeDetail.aspx?App=23&amp;ReportView=4&amp;Qid=1711245&amp;Row=816&amp;Col=1","No Title Assigned - #15266220487")</f>
        <v/>
      </c>
      <c r="B824" s="0" t="s">
        <v>1264</v>
      </c>
      <c r="C824" s="0" t="s">
        <v>1265</v>
      </c>
      <c r="D824" s="0" t="s">
        <v>1265</v>
      </c>
      <c r="E824" s="0" t="s">
        <v>13</v>
      </c>
      <c r="F824" s="0" t="s">
        <v>17</v>
      </c>
      <c r="G824" s="0" t="s">
        <v>446</v>
      </c>
      <c r="H824" s="5">
        <v>71258.302700</v>
      </c>
    </row>
    <row r="825" spans="1:9">
      <c r="A825" s="22" t="str">
        <f>HYPERLINK("https://app.vivvix.com/360/KMI/IntelliDrive/ApplUI/Pages/CreativePages/CustomReportCreativeDetail.aspx?App=23&amp;ReportView=4&amp;Qid=1711245&amp;Row=817&amp;Col=1","No Title Assigned - #15266222292")</f>
        <v/>
      </c>
      <c r="B825" s="0" t="s">
        <v>1266</v>
      </c>
      <c r="C825" s="0" t="s">
        <v>1267</v>
      </c>
      <c r="D825" s="0" t="s">
        <v>1267</v>
      </c>
      <c r="E825" s="0" t="s">
        <v>13</v>
      </c>
      <c r="F825" s="0" t="s">
        <v>14</v>
      </c>
      <c r="G825" s="0" t="s">
        <v>15</v>
      </c>
      <c r="H825" s="5">
        <v>68939.787500</v>
      </c>
    </row>
    <row r="826" spans="1:9">
      <c r="A826" s="22" t="str">
        <f>HYPERLINK("https://app.vivvix.com/360/KMI/IntelliDrive/ApplUI/Pages/CreativePages/CustomReportCreativeDetail.aspx?App=23&amp;ReportView=4&amp;Qid=1711245&amp;Row=818&amp;Col=1","No Title Assigned - #15266222771")</f>
        <v/>
      </c>
      <c r="B826" s="0" t="s">
        <v>1268</v>
      </c>
      <c r="E826" s="0" t="s">
        <v>13</v>
      </c>
      <c r="F826" s="0" t="s">
        <v>13</v>
      </c>
      <c r="G826" s="0" t="s">
        <v>54</v>
      </c>
      <c r="H826" s="5">
        <v>262.043000</v>
      </c>
    </row>
    <row r="827" spans="1:9">
      <c r="A827" s="22" t="str">
        <f>HYPERLINK("https://app.vivvix.com/360/KMI/IntelliDrive/ApplUI/Pages/CreativePages/CustomReportCreativeDetail.aspx?App=23&amp;ReportView=4&amp;Qid=1711245&amp;Row=819&amp;Col=1","No Title Assigned - #15266230651")</f>
        <v/>
      </c>
      <c r="B827" s="0" t="s">
        <v>1269</v>
      </c>
      <c r="C827" s="0" t="s">
        <v>1270</v>
      </c>
      <c r="D827" s="0" t="s">
        <v>1270</v>
      </c>
      <c r="E827" s="0" t="s">
        <v>13</v>
      </c>
      <c r="F827" s="0" t="s">
        <v>128</v>
      </c>
      <c r="G827" s="0" t="s">
        <v>456</v>
      </c>
      <c r="H827" s="5">
        <v>42.101600</v>
      </c>
    </row>
    <row r="828" spans="1:9">
      <c r="A828" s="22" t="str">
        <f>HYPERLINK("https://app.vivvix.com/360/KMI/IntelliDrive/ApplUI/Pages/CreativePages/CustomReportCreativeDetail.aspx?App=23&amp;ReportView=4&amp;Qid=1711245&amp;Row=820&amp;Col=1","No Title Assigned - #15266230676")</f>
        <v/>
      </c>
      <c r="B828" s="0" t="s">
        <v>1271</v>
      </c>
      <c r="C828" s="0" t="s">
        <v>1272</v>
      </c>
      <c r="D828" s="0" t="s">
        <v>1272</v>
      </c>
      <c r="E828" s="0" t="s">
        <v>13</v>
      </c>
      <c r="F828" s="0" t="s">
        <v>128</v>
      </c>
      <c r="G828" s="0" t="s">
        <v>456</v>
      </c>
      <c r="H828" s="5">
        <v>16144.084000</v>
      </c>
    </row>
    <row r="829" spans="1:9">
      <c r="A829" s="22" t="str">
        <f>HYPERLINK("https://app.vivvix.com/360/KMI/IntelliDrive/ApplUI/Pages/CreativePages/CustomReportCreativeDetail.aspx?App=23&amp;ReportView=4&amp;Qid=1711245&amp;Row=821&amp;Col=1","No Title Assigned - #15266234393")</f>
        <v/>
      </c>
      <c r="B829" s="0" t="s">
        <v>1273</v>
      </c>
      <c r="C829" s="0" t="s">
        <v>1274</v>
      </c>
      <c r="D829" s="0" t="s">
        <v>1274</v>
      </c>
      <c r="E829" s="0" t="s">
        <v>13</v>
      </c>
      <c r="F829" s="0" t="s">
        <v>14</v>
      </c>
      <c r="G829" s="0" t="s">
        <v>15</v>
      </c>
      <c r="H829" s="5">
        <v>59.812500</v>
      </c>
    </row>
    <row r="830" spans="1:9">
      <c r="A830" s="22" t="str">
        <f>HYPERLINK("https://app.vivvix.com/360/KMI/IntelliDrive/ApplUI/Pages/CreativePages/CustomReportCreativeDetail.aspx?App=23&amp;ReportView=4&amp;Qid=1711245&amp;Row=822&amp;Col=1","No Title Assigned - #15266239656")</f>
        <v/>
      </c>
      <c r="B830" s="0" t="s">
        <v>1275</v>
      </c>
      <c r="E830" s="0" t="s">
        <v>13</v>
      </c>
      <c r="F830" s="0" t="s">
        <v>13</v>
      </c>
      <c r="G830" s="0" t="s">
        <v>54</v>
      </c>
      <c r="H830" s="5">
        <v>2325.187700</v>
      </c>
    </row>
    <row r="831" spans="1:9">
      <c r="A831" s="22" t="str">
        <f>HYPERLINK("https://app.vivvix.com/360/KMI/IntelliDrive/ApplUI/Pages/CreativePages/CustomReportCreativeDetail.aspx?App=23&amp;ReportView=4&amp;Qid=1711245&amp;Row=823&amp;Col=1","No Title Assigned - #15266240822")</f>
        <v/>
      </c>
      <c r="B831" s="0" t="s">
        <v>1276</v>
      </c>
      <c r="C831" s="0" t="s">
        <v>1277</v>
      </c>
      <c r="D831" s="0" t="s">
        <v>1277</v>
      </c>
      <c r="E831" s="0" t="s">
        <v>13</v>
      </c>
      <c r="F831" s="0" t="s">
        <v>14</v>
      </c>
      <c r="G831" s="0" t="s">
        <v>15</v>
      </c>
      <c r="H831" s="5">
        <v>34942.198200</v>
      </c>
    </row>
    <row r="832" spans="1:9">
      <c r="A832" s="22" t="str">
        <f>HYPERLINK("https://app.vivvix.com/360/KMI/IntelliDrive/ApplUI/Pages/CreativePages/CustomReportCreativeDetail.aspx?App=23&amp;ReportView=4&amp;Qid=1711245&amp;Row=824&amp;Col=1","No Title Assigned - #15266241793")</f>
        <v/>
      </c>
      <c r="B832" s="0" t="s">
        <v>1278</v>
      </c>
      <c r="C832" s="0" t="s">
        <v>1279</v>
      </c>
      <c r="D832" s="0" t="s">
        <v>1279</v>
      </c>
      <c r="E832" s="0" t="s">
        <v>13</v>
      </c>
      <c r="F832" s="0" t="s">
        <v>14</v>
      </c>
      <c r="G832" s="0" t="s">
        <v>15</v>
      </c>
      <c r="H832" s="5">
        <v>295.378800</v>
      </c>
    </row>
    <row r="833" spans="1:9">
      <c r="A833" s="22" t="str">
        <f>HYPERLINK("https://app.vivvix.com/360/KMI/IntelliDrive/ApplUI/Pages/CreativePages/CustomReportCreativeDetail.aspx?App=23&amp;ReportView=4&amp;Qid=1711245&amp;Row=825&amp;Col=1","No Title Assigned - #15266241949")</f>
        <v/>
      </c>
      <c r="B833" s="0" t="s">
        <v>1280</v>
      </c>
      <c r="C833" s="0" t="s">
        <v>1281</v>
      </c>
      <c r="D833" s="0" t="s">
        <v>1281</v>
      </c>
      <c r="E833" s="0" t="s">
        <v>13</v>
      </c>
      <c r="F833" s="0" t="s">
        <v>28</v>
      </c>
      <c r="G833" s="0" t="s">
        <v>453</v>
      </c>
      <c r="H833" s="5">
        <v>14541.426200</v>
      </c>
    </row>
    <row r="834" spans="1:9">
      <c r="A834" s="22" t="str">
        <f>HYPERLINK("https://app.vivvix.com/360/KMI/IntelliDrive/ApplUI/Pages/CreativePages/CustomReportCreativeDetail.aspx?App=23&amp;ReportView=4&amp;Qid=1711245&amp;Row=826&amp;Col=1","No Title Assigned - #15266242676")</f>
        <v/>
      </c>
      <c r="B834" s="0" t="s">
        <v>1282</v>
      </c>
      <c r="C834" s="0" t="s">
        <v>1283</v>
      </c>
      <c r="D834" s="0" t="s">
        <v>1283</v>
      </c>
      <c r="E834" s="0" t="s">
        <v>13</v>
      </c>
      <c r="F834" s="0" t="s">
        <v>530</v>
      </c>
      <c r="G834" s="0" t="s">
        <v>531</v>
      </c>
      <c r="H834" s="5">
        <v>16020.213100</v>
      </c>
    </row>
    <row r="835" spans="1:9">
      <c r="A835" s="22" t="str">
        <f>HYPERLINK("https://app.vivvix.com/360/KMI/IntelliDrive/ApplUI/Pages/CreativePages/CustomReportCreativeDetail.aspx?App=23&amp;ReportView=4&amp;Qid=1711245&amp;Row=827&amp;Col=1","No Title Assigned - #15266242941")</f>
        <v/>
      </c>
      <c r="B835" s="0" t="s">
        <v>1284</v>
      </c>
      <c r="C835" s="0" t="s">
        <v>1285</v>
      </c>
      <c r="D835" s="0" t="s">
        <v>1285</v>
      </c>
      <c r="E835" s="0" t="s">
        <v>13</v>
      </c>
      <c r="F835" s="0" t="s">
        <v>540</v>
      </c>
      <c r="G835" s="0" t="s">
        <v>541</v>
      </c>
      <c r="H835" s="5">
        <v>26821.012800</v>
      </c>
    </row>
    <row r="836" spans="1:9">
      <c r="A836" s="22" t="str">
        <f>HYPERLINK("https://app.vivvix.com/360/KMI/IntelliDrive/ApplUI/Pages/CreativePages/CustomReportCreativeDetail.aspx?App=23&amp;ReportView=4&amp;Qid=1711245&amp;Row=828&amp;Col=1","No Title Assigned - #15266243071")</f>
        <v/>
      </c>
      <c r="B836" s="0" t="s">
        <v>1286</v>
      </c>
      <c r="E836" s="0" t="s">
        <v>13</v>
      </c>
      <c r="F836" s="0" t="s">
        <v>13</v>
      </c>
      <c r="G836" s="0" t="s">
        <v>54</v>
      </c>
      <c r="H836" s="5">
        <v>1121.373400</v>
      </c>
    </row>
    <row r="837" spans="1:9">
      <c r="A837" s="22" t="str">
        <f>HYPERLINK("https://app.vivvix.com/360/KMI/IntelliDrive/ApplUI/Pages/CreativePages/CustomReportCreativeDetail.aspx?App=23&amp;ReportView=4&amp;Qid=1711245&amp;Row=829&amp;Col=1","No Title Assigned - #15266243166")</f>
        <v/>
      </c>
      <c r="B837" s="0" t="s">
        <v>1287</v>
      </c>
      <c r="E837" s="0" t="s">
        <v>13</v>
      </c>
      <c r="F837" s="0" t="s">
        <v>13</v>
      </c>
      <c r="G837" s="0" t="s">
        <v>54</v>
      </c>
      <c r="H837" s="5">
        <v>3584.579600</v>
      </c>
    </row>
    <row r="838" spans="1:9">
      <c r="A838" s="22" t="str">
        <f>HYPERLINK("https://app.vivvix.com/360/KMI/IntelliDrive/ApplUI/Pages/CreativePages/CustomReportCreativeDetail.aspx?App=23&amp;ReportView=4&amp;Qid=1711245&amp;Row=830&amp;Col=1","No Title Assigned - #15266243588")</f>
        <v/>
      </c>
      <c r="B838" s="0" t="s">
        <v>1288</v>
      </c>
      <c r="C838" s="0" t="s">
        <v>1289</v>
      </c>
      <c r="D838" s="0" t="s">
        <v>1289</v>
      </c>
      <c r="E838" s="0" t="s">
        <v>13</v>
      </c>
      <c r="F838" s="0" t="s">
        <v>13</v>
      </c>
      <c r="G838" s="0" t="s">
        <v>35</v>
      </c>
      <c r="H838" s="5">
        <v>1743.054900</v>
      </c>
    </row>
    <row r="839" spans="1:9">
      <c r="A839" s="22" t="str">
        <f>HYPERLINK("https://app.vivvix.com/360/KMI/IntelliDrive/ApplUI/Pages/CreativePages/CustomReportCreativeDetail.aspx?App=23&amp;ReportView=4&amp;Qid=1711245&amp;Row=831&amp;Col=1","No Title Assigned - #15266244752")</f>
        <v/>
      </c>
      <c r="B839" s="0" t="s">
        <v>1290</v>
      </c>
      <c r="C839" s="0" t="s">
        <v>1291</v>
      </c>
      <c r="D839" s="0" t="s">
        <v>1291</v>
      </c>
      <c r="E839" s="0" t="s">
        <v>13</v>
      </c>
      <c r="F839" s="0" t="s">
        <v>28</v>
      </c>
      <c r="G839" s="0" t="s">
        <v>453</v>
      </c>
      <c r="H839" s="5">
        <v>135427.164500</v>
      </c>
    </row>
    <row r="840" spans="1:9">
      <c r="A840" s="22" t="str">
        <f>HYPERLINK("https://app.vivvix.com/360/KMI/IntelliDrive/ApplUI/Pages/CreativePages/CustomReportCreativeDetail.aspx?App=23&amp;ReportView=4&amp;Qid=1711245&amp;Row=832&amp;Col=1","No Title Assigned - #15266271207")</f>
        <v/>
      </c>
      <c r="B840" s="0" t="s">
        <v>1292</v>
      </c>
      <c r="C840" s="0" t="s">
        <v>1293</v>
      </c>
      <c r="D840" s="0" t="s">
        <v>1293</v>
      </c>
      <c r="E840" s="0" t="s">
        <v>13</v>
      </c>
      <c r="F840" s="0" t="s">
        <v>14</v>
      </c>
      <c r="G840" s="0" t="s">
        <v>15</v>
      </c>
      <c r="H840" s="5">
        <v>317.047500</v>
      </c>
    </row>
    <row r="841" spans="1:9">
      <c r="A841" s="22" t="str">
        <f>HYPERLINK("https://app.vivvix.com/360/KMI/IntelliDrive/ApplUI/Pages/CreativePages/CustomReportCreativeDetail.aspx?App=23&amp;ReportView=4&amp;Qid=1711245&amp;Row=833&amp;Col=1","No Title Assigned - #15266271409")</f>
        <v/>
      </c>
      <c r="B841" s="0" t="s">
        <v>1294</v>
      </c>
      <c r="E841" s="0" t="s">
        <v>13</v>
      </c>
      <c r="F841" s="0" t="s">
        <v>13</v>
      </c>
      <c r="G841" s="0" t="s">
        <v>54</v>
      </c>
      <c r="H841" s="5">
        <v>301.672900</v>
      </c>
    </row>
    <row r="842" spans="1:9">
      <c r="A842" s="22" t="str">
        <f>HYPERLINK("https://app.vivvix.com/360/KMI/IntelliDrive/ApplUI/Pages/CreativePages/CustomReportCreativeDetail.aspx?App=23&amp;ReportView=4&amp;Qid=1711245&amp;Row=834&amp;Col=1","No Title Assigned - #15266272778")</f>
        <v/>
      </c>
      <c r="B842" s="0" t="s">
        <v>1295</v>
      </c>
      <c r="C842" s="0" t="s">
        <v>1296</v>
      </c>
      <c r="D842" s="0" t="s">
        <v>1296</v>
      </c>
      <c r="E842" s="0" t="s">
        <v>13</v>
      </c>
      <c r="F842" s="0" t="s">
        <v>17</v>
      </c>
      <c r="G842" s="0" t="s">
        <v>446</v>
      </c>
      <c r="H842" s="5">
        <v>666.962700</v>
      </c>
    </row>
    <row r="843" spans="1:9">
      <c r="A843" s="22" t="str">
        <f>HYPERLINK("https://app.vivvix.com/360/KMI/IntelliDrive/ApplUI/Pages/CreativePages/CustomReportCreativeDetail.aspx?App=23&amp;ReportView=4&amp;Qid=1711245&amp;Row=835&amp;Col=1","No Title Assigned - #15266273797")</f>
        <v/>
      </c>
      <c r="B843" s="0" t="s">
        <v>1297</v>
      </c>
      <c r="E843" s="0" t="s">
        <v>13</v>
      </c>
      <c r="F843" s="0" t="s">
        <v>13</v>
      </c>
      <c r="G843" s="0" t="s">
        <v>54</v>
      </c>
      <c r="H843" s="5">
        <v>243.629800</v>
      </c>
    </row>
    <row r="844" spans="1:9">
      <c r="A844" s="22" t="str">
        <f>HYPERLINK("https://app.vivvix.com/360/KMI/IntelliDrive/ApplUI/Pages/CreativePages/CustomReportCreativeDetail.aspx?App=23&amp;ReportView=4&amp;Qid=1711245&amp;Row=836&amp;Col=1","No Title Assigned - #15266277726")</f>
        <v/>
      </c>
      <c r="B844" s="0" t="s">
        <v>1298</v>
      </c>
      <c r="C844" s="0" t="s">
        <v>1299</v>
      </c>
      <c r="D844" s="0" t="s">
        <v>1299</v>
      </c>
      <c r="E844" s="0" t="s">
        <v>13</v>
      </c>
      <c r="F844" s="0" t="s">
        <v>14</v>
      </c>
      <c r="G844" s="0" t="s">
        <v>15</v>
      </c>
      <c r="H844" s="5">
        <v>1096.040600</v>
      </c>
    </row>
    <row r="845" spans="1:9">
      <c r="A845" s="22" t="str">
        <f>HYPERLINK("https://app.vivvix.com/360/KMI/IntelliDrive/ApplUI/Pages/CreativePages/CustomReportCreativeDetail.aspx?App=23&amp;ReportView=4&amp;Qid=1711245&amp;Row=837&amp;Col=1","No Title Assigned - #15266285986")</f>
        <v/>
      </c>
      <c r="B845" s="0" t="s">
        <v>1300</v>
      </c>
      <c r="C845" s="0" t="s">
        <v>1301</v>
      </c>
      <c r="D845" s="0" t="s">
        <v>1301</v>
      </c>
      <c r="E845" s="0" t="s">
        <v>13</v>
      </c>
      <c r="F845" s="0" t="s">
        <v>530</v>
      </c>
      <c r="G845" s="0" t="s">
        <v>531</v>
      </c>
      <c r="H845" s="5">
        <v>26201.605100</v>
      </c>
    </row>
    <row r="846" spans="1:9">
      <c r="A846" s="22" t="str">
        <f>HYPERLINK("https://app.vivvix.com/360/KMI/IntelliDrive/ApplUI/Pages/CreativePages/CustomReportCreativeDetail.aspx?App=23&amp;ReportView=4&amp;Qid=1711245&amp;Row=838&amp;Col=1","No Title Assigned - #15266286030")</f>
        <v/>
      </c>
      <c r="B846" s="0" t="s">
        <v>1302</v>
      </c>
      <c r="C846" s="0" t="s">
        <v>1303</v>
      </c>
      <c r="D846" s="0" t="s">
        <v>1303</v>
      </c>
      <c r="E846" s="0" t="s">
        <v>13</v>
      </c>
      <c r="F846" s="0" t="s">
        <v>128</v>
      </c>
      <c r="G846" s="0" t="s">
        <v>456</v>
      </c>
      <c r="H846" s="5">
        <v>3962.766800</v>
      </c>
    </row>
    <row r="847" spans="1:9">
      <c r="A847" s="22" t="str">
        <f>HYPERLINK("https://app.vivvix.com/360/KMI/IntelliDrive/ApplUI/Pages/CreativePages/CustomReportCreativeDetail.aspx?App=23&amp;ReportView=4&amp;Qid=1711245&amp;Row=839&amp;Col=1","No Title Assigned - #15266286048")</f>
        <v/>
      </c>
      <c r="B847" s="0" t="s">
        <v>1304</v>
      </c>
      <c r="C847" s="0" t="s">
        <v>1305</v>
      </c>
      <c r="D847" s="0" t="s">
        <v>1305</v>
      </c>
      <c r="E847" s="0" t="s">
        <v>13</v>
      </c>
      <c r="F847" s="0" t="s">
        <v>14</v>
      </c>
      <c r="G847" s="0" t="s">
        <v>15</v>
      </c>
      <c r="H847" s="5">
        <v>14639.821200</v>
      </c>
    </row>
    <row r="848" spans="1:9">
      <c r="A848" s="22" t="str">
        <f>HYPERLINK("https://app.vivvix.com/360/KMI/IntelliDrive/ApplUI/Pages/CreativePages/CustomReportCreativeDetail.aspx?App=23&amp;ReportView=4&amp;Qid=1711245&amp;Row=840&amp;Col=1","No Title Assigned - #15266293731")</f>
        <v/>
      </c>
      <c r="B848" s="0" t="s">
        <v>1306</v>
      </c>
      <c r="C848" s="0" t="s">
        <v>1307</v>
      </c>
      <c r="D848" s="0" t="s">
        <v>1307</v>
      </c>
      <c r="E848" s="0" t="s">
        <v>13</v>
      </c>
      <c r="F848" s="0" t="s">
        <v>14</v>
      </c>
      <c r="G848" s="0" t="s">
        <v>15</v>
      </c>
      <c r="H848" s="5">
        <v>49749.124000</v>
      </c>
    </row>
    <row r="849" spans="1:9">
      <c r="A849" s="22" t="str">
        <f>HYPERLINK("https://app.vivvix.com/360/KMI/IntelliDrive/ApplUI/Pages/CreativePages/CustomReportCreativeDetail.aspx?App=23&amp;ReportView=4&amp;Qid=1711245&amp;Row=841&amp;Col=1","No Title Assigned - #15266294411")</f>
        <v/>
      </c>
      <c r="B849" s="0" t="s">
        <v>1308</v>
      </c>
      <c r="C849" s="0" t="s">
        <v>1309</v>
      </c>
      <c r="D849" s="0" t="s">
        <v>1309</v>
      </c>
      <c r="E849" s="0" t="s">
        <v>13</v>
      </c>
      <c r="F849" s="0" t="s">
        <v>530</v>
      </c>
      <c r="G849" s="0" t="s">
        <v>531</v>
      </c>
      <c r="H849" s="5">
        <v>7658.547900</v>
      </c>
    </row>
    <row r="850" spans="1:9">
      <c r="A850" s="22" t="str">
        <f>HYPERLINK("https://app.vivvix.com/360/KMI/IntelliDrive/ApplUI/Pages/CreativePages/CustomReportCreativeDetail.aspx?App=23&amp;ReportView=4&amp;Qid=1711245&amp;Row=842&amp;Col=1","No Title Assigned - #15266294423")</f>
        <v/>
      </c>
      <c r="B850" s="0" t="s">
        <v>1310</v>
      </c>
      <c r="C850" s="0" t="s">
        <v>1311</v>
      </c>
      <c r="D850" s="0" t="s">
        <v>1311</v>
      </c>
      <c r="E850" s="0" t="s">
        <v>13</v>
      </c>
      <c r="F850" s="0" t="s">
        <v>530</v>
      </c>
      <c r="G850" s="0" t="s">
        <v>531</v>
      </c>
      <c r="H850" s="5">
        <v>8144.713000</v>
      </c>
    </row>
    <row r="851" spans="1:9">
      <c r="A851" s="22" t="str">
        <f>HYPERLINK("https://app.vivvix.com/360/KMI/IntelliDrive/ApplUI/Pages/CreativePages/CustomReportCreativeDetail.aspx?App=23&amp;ReportView=4&amp;Qid=1711245&amp;Row=843&amp;Col=1","No Title Assigned - #15266294708")</f>
        <v/>
      </c>
      <c r="B851" s="0" t="s">
        <v>1312</v>
      </c>
      <c r="E851" s="0" t="s">
        <v>13</v>
      </c>
      <c r="F851" s="0" t="s">
        <v>13</v>
      </c>
      <c r="G851" s="0" t="s">
        <v>54</v>
      </c>
    </row>
    <row r="852" spans="1:9">
      <c r="A852" s="22" t="str">
        <f>HYPERLINK("https://app.vivvix.com/360/KMI/IntelliDrive/ApplUI/Pages/CreativePages/CustomReportCreativeDetail.aspx?App=23&amp;ReportView=4&amp;Qid=1711245&amp;Row=844&amp;Col=1","No Title Assigned - #15266295219")</f>
        <v/>
      </c>
      <c r="B852" s="0" t="s">
        <v>1313</v>
      </c>
      <c r="E852" s="0" t="s">
        <v>13</v>
      </c>
      <c r="F852" s="0" t="s">
        <v>13</v>
      </c>
      <c r="G852" s="0" t="s">
        <v>121</v>
      </c>
      <c r="H852" s="5">
        <v>8108.456300</v>
      </c>
    </row>
    <row r="853" spans="1:9">
      <c r="A853" s="22" t="str">
        <f>HYPERLINK("https://app.vivvix.com/360/KMI/IntelliDrive/ApplUI/Pages/CreativePages/CustomReportCreativeDetail.aspx?App=23&amp;ReportView=4&amp;Qid=1711245&amp;Row=845&amp;Col=1","No Title Assigned - #15266296316")</f>
        <v/>
      </c>
      <c r="B853" s="0" t="s">
        <v>1314</v>
      </c>
      <c r="C853" s="0" t="s">
        <v>1315</v>
      </c>
      <c r="D853" s="0" t="s">
        <v>1315</v>
      </c>
      <c r="E853" s="0" t="s">
        <v>13</v>
      </c>
      <c r="F853" s="0" t="s">
        <v>540</v>
      </c>
      <c r="G853" s="0" t="s">
        <v>541</v>
      </c>
      <c r="H853" s="5">
        <v>29229.085000</v>
      </c>
    </row>
    <row r="854" spans="1:9">
      <c r="A854" s="22" t="str">
        <f>HYPERLINK("https://app.vivvix.com/360/KMI/IntelliDrive/ApplUI/Pages/CreativePages/CustomReportCreativeDetail.aspx?App=23&amp;ReportView=4&amp;Qid=1711245&amp;Row=846&amp;Col=1","No Title Assigned - #15266302843")</f>
        <v/>
      </c>
      <c r="B854" s="0" t="s">
        <v>1316</v>
      </c>
      <c r="C854" s="0" t="s">
        <v>1317</v>
      </c>
      <c r="D854" s="0" t="s">
        <v>1317</v>
      </c>
      <c r="E854" s="0" t="s">
        <v>13</v>
      </c>
      <c r="F854" s="0" t="s">
        <v>14</v>
      </c>
      <c r="G854" s="0" t="s">
        <v>15</v>
      </c>
      <c r="H854" s="5">
        <v>295.378800</v>
      </c>
    </row>
    <row r="855" spans="1:9">
      <c r="A855" s="22" t="str">
        <f>HYPERLINK("https://app.vivvix.com/360/KMI/IntelliDrive/ApplUI/Pages/CreativePages/CustomReportCreativeDetail.aspx?App=23&amp;ReportView=4&amp;Qid=1711245&amp;Row=847&amp;Col=1","No Title Assigned - #15266309090")</f>
        <v/>
      </c>
      <c r="B855" s="0" t="s">
        <v>1318</v>
      </c>
      <c r="C855" s="0" t="s">
        <v>1319</v>
      </c>
      <c r="D855" s="0" t="s">
        <v>1319</v>
      </c>
      <c r="E855" s="0" t="s">
        <v>13</v>
      </c>
      <c r="F855" s="0" t="s">
        <v>13</v>
      </c>
      <c r="G855" s="0" t="s">
        <v>576</v>
      </c>
      <c r="H855" s="5">
        <v>10278.838700</v>
      </c>
    </row>
    <row r="856" spans="1:9">
      <c r="A856" s="22" t="str">
        <f>HYPERLINK("https://app.vivvix.com/360/KMI/IntelliDrive/ApplUI/Pages/CreativePages/CustomReportCreativeDetail.aspx?App=23&amp;ReportView=4&amp;Qid=1711245&amp;Row=848&amp;Col=1","No Title Assigned - #15266331573")</f>
        <v/>
      </c>
      <c r="B856" s="0" t="s">
        <v>1320</v>
      </c>
      <c r="C856" s="0" t="s">
        <v>1321</v>
      </c>
      <c r="D856" s="0" t="s">
        <v>1321</v>
      </c>
      <c r="E856" s="0" t="s">
        <v>13</v>
      </c>
      <c r="F856" s="0" t="s">
        <v>14</v>
      </c>
      <c r="G856" s="0" t="s">
        <v>15</v>
      </c>
      <c r="H856" s="5">
        <v>7414.760400</v>
      </c>
    </row>
    <row r="857" spans="1:9">
      <c r="A857" s="22" t="str">
        <f>HYPERLINK("https://app.vivvix.com/360/KMI/IntelliDrive/ApplUI/Pages/CreativePages/CustomReportCreativeDetail.aspx?App=23&amp;ReportView=4&amp;Qid=1711245&amp;Row=849&amp;Col=1","No Title Assigned - #15266331771")</f>
        <v/>
      </c>
      <c r="B857" s="0" t="s">
        <v>1322</v>
      </c>
      <c r="C857" s="0" t="s">
        <v>1323</v>
      </c>
      <c r="D857" s="0" t="s">
        <v>1323</v>
      </c>
      <c r="E857" s="0" t="s">
        <v>13</v>
      </c>
      <c r="F857" s="0" t="s">
        <v>14</v>
      </c>
      <c r="G857" s="0" t="s">
        <v>15</v>
      </c>
      <c r="H857" s="5">
        <v>4506.516300</v>
      </c>
    </row>
    <row r="858" spans="1:9">
      <c r="A858" s="22" t="str">
        <f>HYPERLINK("https://app.vivvix.com/360/KMI/IntelliDrive/ApplUI/Pages/CreativePages/CustomReportCreativeDetail.aspx?App=23&amp;ReportView=4&amp;Qid=1711245&amp;Row=850&amp;Col=1","No Title Assigned - #15266343755")</f>
        <v/>
      </c>
      <c r="B858" s="0" t="s">
        <v>1324</v>
      </c>
      <c r="C858" s="0" t="s">
        <v>1325</v>
      </c>
      <c r="D858" s="0" t="s">
        <v>1325</v>
      </c>
      <c r="E858" s="0" t="s">
        <v>13</v>
      </c>
      <c r="F858" s="0" t="s">
        <v>28</v>
      </c>
      <c r="G858" s="0" t="s">
        <v>453</v>
      </c>
      <c r="H858" s="5">
        <v>19.588400</v>
      </c>
    </row>
    <row r="859" spans="1:9">
      <c r="A859" s="22" t="str">
        <f>HYPERLINK("https://app.vivvix.com/360/KMI/IntelliDrive/ApplUI/Pages/CreativePages/CustomReportCreativeDetail.aspx?App=23&amp;ReportView=4&amp;Qid=1711245&amp;Row=851&amp;Col=1","No Title Assigned - #15266343775")</f>
        <v/>
      </c>
      <c r="B859" s="0" t="s">
        <v>1326</v>
      </c>
      <c r="C859" s="0" t="s">
        <v>1327</v>
      </c>
      <c r="D859" s="0" t="s">
        <v>1327</v>
      </c>
      <c r="E859" s="0" t="s">
        <v>13</v>
      </c>
      <c r="F859" s="0" t="s">
        <v>17</v>
      </c>
      <c r="G859" s="0" t="s">
        <v>446</v>
      </c>
      <c r="H859" s="5">
        <v>22944.632800</v>
      </c>
    </row>
    <row r="860" spans="1:9">
      <c r="A860" s="22" t="str">
        <f>HYPERLINK("https://app.vivvix.com/360/KMI/IntelliDrive/ApplUI/Pages/CreativePages/CustomReportCreativeDetail.aspx?App=23&amp;ReportView=4&amp;Qid=1711245&amp;Row=852&amp;Col=1","No Title Assigned - #15266343824")</f>
        <v/>
      </c>
      <c r="B860" s="0" t="s">
        <v>1328</v>
      </c>
      <c r="C860" s="0" t="s">
        <v>1329</v>
      </c>
      <c r="D860" s="0" t="s">
        <v>1329</v>
      </c>
      <c r="E860" s="0" t="s">
        <v>13</v>
      </c>
      <c r="F860" s="0" t="s">
        <v>128</v>
      </c>
      <c r="G860" s="0" t="s">
        <v>456</v>
      </c>
      <c r="H860" s="5">
        <v>8177.789900</v>
      </c>
    </row>
    <row r="861" spans="1:9">
      <c r="A861" s="22" t="str">
        <f>HYPERLINK("https://app.vivvix.com/360/KMI/IntelliDrive/ApplUI/Pages/CreativePages/CustomReportCreativeDetail.aspx?App=23&amp;ReportView=4&amp;Qid=1711245&amp;Row=853&amp;Col=1","No Title Assigned - #15266344787")</f>
        <v/>
      </c>
      <c r="B861" s="0" t="s">
        <v>1330</v>
      </c>
      <c r="C861" s="0" t="s">
        <v>1331</v>
      </c>
      <c r="D861" s="0" t="s">
        <v>1331</v>
      </c>
      <c r="E861" s="0" t="s">
        <v>13</v>
      </c>
      <c r="F861" s="0" t="s">
        <v>128</v>
      </c>
      <c r="G861" s="0" t="s">
        <v>456</v>
      </c>
      <c r="H861" s="5">
        <v>51634.688000</v>
      </c>
    </row>
    <row r="862" spans="1:9">
      <c r="A862" s="22" t="str">
        <f>HYPERLINK("https://app.vivvix.com/360/KMI/IntelliDrive/ApplUI/Pages/CreativePages/CustomReportCreativeDetail.aspx?App=23&amp;ReportView=4&amp;Qid=1711245&amp;Row=854&amp;Col=1","No Title Assigned - #15266345099")</f>
        <v/>
      </c>
      <c r="B862" s="0" t="s">
        <v>1332</v>
      </c>
      <c r="C862" s="0" t="s">
        <v>1333</v>
      </c>
      <c r="D862" s="0" t="s">
        <v>1333</v>
      </c>
      <c r="E862" s="0" t="s">
        <v>13</v>
      </c>
      <c r="F862" s="0" t="s">
        <v>14</v>
      </c>
      <c r="G862" s="0" t="s">
        <v>15</v>
      </c>
      <c r="H862" s="5">
        <v>2373.450600</v>
      </c>
    </row>
    <row r="863" spans="1:9">
      <c r="A863" s="22" t="str">
        <f>HYPERLINK("https://app.vivvix.com/360/KMI/IntelliDrive/ApplUI/Pages/CreativePages/CustomReportCreativeDetail.aspx?App=23&amp;ReportView=4&amp;Qid=1711245&amp;Row=855&amp;Col=1","No Title Assigned - #15266348405")</f>
        <v/>
      </c>
      <c r="B863" s="0" t="s">
        <v>1334</v>
      </c>
      <c r="C863" s="0" t="s">
        <v>1335</v>
      </c>
      <c r="D863" s="0" t="s">
        <v>1335</v>
      </c>
      <c r="E863" s="0" t="s">
        <v>13</v>
      </c>
      <c r="F863" s="0" t="s">
        <v>540</v>
      </c>
      <c r="G863" s="0" t="s">
        <v>541</v>
      </c>
      <c r="H863" s="5">
        <v>3092.252900</v>
      </c>
    </row>
    <row r="864" spans="1:9">
      <c r="A864" s="22" t="str">
        <f>HYPERLINK("https://app.vivvix.com/360/KMI/IntelliDrive/ApplUI/Pages/CreativePages/CustomReportCreativeDetail.aspx?App=23&amp;ReportView=4&amp;Qid=1711245&amp;Row=856&amp;Col=1","No Title Assigned - #15266348406")</f>
        <v/>
      </c>
      <c r="B864" s="0" t="s">
        <v>1336</v>
      </c>
      <c r="E864" s="0" t="s">
        <v>13</v>
      </c>
      <c r="F864" s="0" t="s">
        <v>13</v>
      </c>
      <c r="G864" s="0" t="s">
        <v>54</v>
      </c>
      <c r="H864" s="5">
        <v>4216.041100</v>
      </c>
    </row>
    <row r="865" spans="1:9">
      <c r="A865" s="22" t="str">
        <f>HYPERLINK("https://app.vivvix.com/360/KMI/IntelliDrive/ApplUI/Pages/CreativePages/CustomReportCreativeDetail.aspx?App=23&amp;ReportView=4&amp;Qid=1711245&amp;Row=857&amp;Col=1","No Title Assigned - #15266348430")</f>
        <v/>
      </c>
      <c r="B865" s="0" t="s">
        <v>1337</v>
      </c>
      <c r="E865" s="0" t="s">
        <v>13</v>
      </c>
      <c r="F865" s="0" t="s">
        <v>13</v>
      </c>
      <c r="G865" s="0" t="s">
        <v>54</v>
      </c>
    </row>
    <row r="866" spans="1:9">
      <c r="A866" s="22" t="str">
        <f>HYPERLINK("https://app.vivvix.com/360/KMI/IntelliDrive/ApplUI/Pages/CreativePages/CustomReportCreativeDetail.aspx?App=23&amp;ReportView=4&amp;Qid=1711245&amp;Row=858&amp;Col=1","No Title Assigned - #15266358808")</f>
        <v/>
      </c>
      <c r="B866" s="0" t="s">
        <v>1338</v>
      </c>
      <c r="C866" s="0" t="s">
        <v>1339</v>
      </c>
      <c r="D866" s="0" t="s">
        <v>1339</v>
      </c>
      <c r="E866" s="0" t="s">
        <v>13</v>
      </c>
      <c r="F866" s="0" t="s">
        <v>530</v>
      </c>
      <c r="G866" s="0" t="s">
        <v>531</v>
      </c>
      <c r="H866" s="5">
        <v>30976.109500</v>
      </c>
    </row>
    <row r="867" spans="1:9">
      <c r="A867" s="22" t="str">
        <f>HYPERLINK("https://app.vivvix.com/360/KMI/IntelliDrive/ApplUI/Pages/CreativePages/CustomReportCreativeDetail.aspx?App=23&amp;ReportView=4&amp;Qid=1711245&amp;Row=859&amp;Col=1","No Title Assigned - #15266360332")</f>
        <v/>
      </c>
      <c r="B867" s="0" t="s">
        <v>1340</v>
      </c>
      <c r="E867" s="0" t="s">
        <v>13</v>
      </c>
      <c r="F867" s="0" t="s">
        <v>13</v>
      </c>
      <c r="G867" s="0" t="s">
        <v>54</v>
      </c>
      <c r="H867" s="5">
        <v>140.008700</v>
      </c>
    </row>
    <row r="868" spans="1:9">
      <c r="A868" s="22" t="str">
        <f>HYPERLINK("https://app.vivvix.com/360/KMI/IntelliDrive/ApplUI/Pages/CreativePages/CustomReportCreativeDetail.aspx?App=23&amp;ReportView=4&amp;Qid=1711245&amp;Row=860&amp;Col=1","No Title Assigned - #15266363484")</f>
        <v/>
      </c>
      <c r="B868" s="0" t="s">
        <v>1341</v>
      </c>
      <c r="C868" s="0" t="s">
        <v>1342</v>
      </c>
      <c r="D868" s="0" t="s">
        <v>1342</v>
      </c>
      <c r="E868" s="0" t="s">
        <v>13</v>
      </c>
      <c r="F868" s="0" t="s">
        <v>128</v>
      </c>
      <c r="G868" s="0" t="s">
        <v>456</v>
      </c>
      <c r="H868" s="5">
        <v>1312.705300</v>
      </c>
    </row>
    <row r="869" spans="1:9">
      <c r="A869" s="22" t="str">
        <f>HYPERLINK("https://app.vivvix.com/360/KMI/IntelliDrive/ApplUI/Pages/CreativePages/CustomReportCreativeDetail.aspx?App=23&amp;ReportView=4&amp;Qid=1711245&amp;Row=861&amp;Col=1","No Title Assigned - #15266365003")</f>
        <v/>
      </c>
      <c r="B869" s="0" t="s">
        <v>1343</v>
      </c>
      <c r="C869" s="0" t="s">
        <v>1344</v>
      </c>
      <c r="D869" s="0" t="s">
        <v>1344</v>
      </c>
      <c r="E869" s="0" t="s">
        <v>13</v>
      </c>
      <c r="F869" s="0" t="s">
        <v>17</v>
      </c>
      <c r="G869" s="0" t="s">
        <v>446</v>
      </c>
      <c r="H869" s="5">
        <v>143012.693200</v>
      </c>
    </row>
    <row r="870" spans="1:9">
      <c r="A870" s="22" t="str">
        <f>HYPERLINK("https://app.vivvix.com/360/KMI/IntelliDrive/ApplUI/Pages/CreativePages/CustomReportCreativeDetail.aspx?App=23&amp;ReportView=4&amp;Qid=1711245&amp;Row=862&amp;Col=1","No Title Assigned - #15266365625")</f>
        <v/>
      </c>
      <c r="B870" s="0" t="s">
        <v>1345</v>
      </c>
      <c r="C870" s="0" t="s">
        <v>1299</v>
      </c>
      <c r="D870" s="0" t="s">
        <v>1299</v>
      </c>
      <c r="E870" s="0" t="s">
        <v>13</v>
      </c>
      <c r="F870" s="0" t="s">
        <v>14</v>
      </c>
      <c r="G870" s="0" t="s">
        <v>15</v>
      </c>
      <c r="H870" s="5">
        <v>4460.643800</v>
      </c>
    </row>
    <row r="871" spans="1:9">
      <c r="A871" s="22" t="str">
        <f>HYPERLINK("https://app.vivvix.com/360/KMI/IntelliDrive/ApplUI/Pages/CreativePages/CustomReportCreativeDetail.aspx?App=23&amp;ReportView=4&amp;Qid=1711245&amp;Row=863&amp;Col=1","No Title Assigned - #15266373333")</f>
        <v/>
      </c>
      <c r="B871" s="0" t="s">
        <v>1346</v>
      </c>
      <c r="C871" s="0" t="s">
        <v>1347</v>
      </c>
      <c r="D871" s="0" t="s">
        <v>1347</v>
      </c>
      <c r="E871" s="0" t="s">
        <v>13</v>
      </c>
      <c r="F871" s="0" t="s">
        <v>14</v>
      </c>
      <c r="G871" s="0" t="s">
        <v>15</v>
      </c>
      <c r="H871" s="5">
        <v>1703.872300</v>
      </c>
    </row>
    <row r="872" spans="1:9">
      <c r="A872" s="22" t="str">
        <f>HYPERLINK("https://app.vivvix.com/360/KMI/IntelliDrive/ApplUI/Pages/CreativePages/CustomReportCreativeDetail.aspx?App=23&amp;ReportView=4&amp;Qid=1711245&amp;Row=864&amp;Col=1","No Title Assigned - #15266375308")</f>
        <v/>
      </c>
      <c r="B872" s="0" t="s">
        <v>1348</v>
      </c>
      <c r="C872" s="0" t="s">
        <v>1349</v>
      </c>
      <c r="D872" s="0" t="s">
        <v>1349</v>
      </c>
      <c r="E872" s="0" t="s">
        <v>13</v>
      </c>
      <c r="F872" s="0" t="s">
        <v>28</v>
      </c>
      <c r="G872" s="0" t="s">
        <v>453</v>
      </c>
      <c r="H872" s="5">
        <v>62712.296800</v>
      </c>
    </row>
    <row r="873" spans="1:9">
      <c r="A873" s="22" t="str">
        <f>HYPERLINK("https://app.vivvix.com/360/KMI/IntelliDrive/ApplUI/Pages/CreativePages/CustomReportCreativeDetail.aspx?App=23&amp;ReportView=4&amp;Qid=1711245&amp;Row=865&amp;Col=1","No Title Assigned - #15266395784")</f>
        <v/>
      </c>
      <c r="B873" s="0" t="s">
        <v>1350</v>
      </c>
      <c r="C873" s="0" t="s">
        <v>1351</v>
      </c>
      <c r="D873" s="0" t="s">
        <v>1351</v>
      </c>
      <c r="E873" s="0" t="s">
        <v>13</v>
      </c>
      <c r="F873" s="0" t="s">
        <v>14</v>
      </c>
      <c r="G873" s="0" t="s">
        <v>15</v>
      </c>
      <c r="H873" s="5">
        <v>19.964500</v>
      </c>
    </row>
    <row r="874" spans="1:9">
      <c r="A874" s="22" t="str">
        <f>HYPERLINK("https://app.vivvix.com/360/KMI/IntelliDrive/ApplUI/Pages/CreativePages/CustomReportCreativeDetail.aspx?App=23&amp;ReportView=4&amp;Qid=1711245&amp;Row=866&amp;Col=1","No Title Assigned - #15266417942")</f>
        <v/>
      </c>
      <c r="B874" s="0" t="s">
        <v>1352</v>
      </c>
      <c r="C874" s="0" t="s">
        <v>1353</v>
      </c>
      <c r="D874" s="0" t="s">
        <v>1353</v>
      </c>
      <c r="E874" s="0" t="s">
        <v>13</v>
      </c>
      <c r="F874" s="0" t="s">
        <v>17</v>
      </c>
      <c r="G874" s="0" t="s">
        <v>446</v>
      </c>
      <c r="H874" s="5">
        <v>5149.361700</v>
      </c>
    </row>
    <row r="875" spans="1:9">
      <c r="A875" s="22" t="str">
        <f>HYPERLINK("https://app.vivvix.com/360/KMI/IntelliDrive/ApplUI/Pages/CreativePages/CustomReportCreativeDetail.aspx?App=23&amp;ReportView=4&amp;Qid=1711245&amp;Row=867&amp;Col=1","No Title Assigned - #15266429599")</f>
        <v/>
      </c>
      <c r="B875" s="0" t="s">
        <v>1354</v>
      </c>
      <c r="E875" s="0" t="s">
        <v>13</v>
      </c>
      <c r="F875" s="0" t="s">
        <v>13</v>
      </c>
      <c r="G875" s="0" t="s">
        <v>54</v>
      </c>
      <c r="H875" s="5">
        <v>5829.489900</v>
      </c>
    </row>
    <row r="876" spans="1:9">
      <c r="A876" s="22" t="str">
        <f>HYPERLINK("https://app.vivvix.com/360/KMI/IntelliDrive/ApplUI/Pages/CreativePages/CustomReportCreativeDetail.aspx?App=23&amp;ReportView=4&amp;Qid=1711245&amp;Row=868&amp;Col=1","No Title Assigned - #15266429867")</f>
        <v/>
      </c>
      <c r="B876" s="0" t="s">
        <v>1355</v>
      </c>
      <c r="C876" s="0" t="s">
        <v>1356</v>
      </c>
      <c r="D876" s="0" t="s">
        <v>1342</v>
      </c>
      <c r="E876" s="0" t="s">
        <v>13</v>
      </c>
      <c r="F876" s="0" t="s">
        <v>128</v>
      </c>
      <c r="G876" s="0" t="s">
        <v>456</v>
      </c>
      <c r="H876" s="5">
        <v>2784.236200</v>
      </c>
    </row>
    <row r="877" spans="1:9">
      <c r="A877" s="22" t="str">
        <f>HYPERLINK("https://app.vivvix.com/360/KMI/IntelliDrive/ApplUI/Pages/CreativePages/CustomReportCreativeDetail.aspx?App=23&amp;ReportView=4&amp;Qid=1711245&amp;Row=869&amp;Col=1","No Title Assigned - #15266432620")</f>
        <v/>
      </c>
      <c r="B877" s="0" t="s">
        <v>1357</v>
      </c>
      <c r="E877" s="0" t="s">
        <v>13</v>
      </c>
      <c r="F877" s="0" t="s">
        <v>13</v>
      </c>
      <c r="G877" s="0" t="s">
        <v>121</v>
      </c>
      <c r="H877" s="5">
        <v>2245.563200</v>
      </c>
    </row>
    <row r="878" spans="1:9">
      <c r="A878" s="22" t="str">
        <f>HYPERLINK("https://app.vivvix.com/360/KMI/IntelliDrive/ApplUI/Pages/CreativePages/CustomReportCreativeDetail.aspx?App=23&amp;ReportView=4&amp;Qid=1711245&amp;Row=870&amp;Col=1","No Title Assigned - #15266437613")</f>
        <v/>
      </c>
      <c r="B878" s="0" t="s">
        <v>1358</v>
      </c>
      <c r="C878" s="0" t="s">
        <v>1359</v>
      </c>
      <c r="D878" s="0" t="s">
        <v>1359</v>
      </c>
      <c r="E878" s="0" t="s">
        <v>13</v>
      </c>
      <c r="F878" s="0" t="s">
        <v>13</v>
      </c>
      <c r="G878" s="0" t="s">
        <v>121</v>
      </c>
      <c r="H878" s="5">
        <v>123956.230600</v>
      </c>
    </row>
    <row r="879" spans="1:9">
      <c r="A879" s="22" t="str">
        <f>HYPERLINK("https://app.vivvix.com/360/KMI/IntelliDrive/ApplUI/Pages/CreativePages/CustomReportCreativeDetail.aspx?App=23&amp;ReportView=4&amp;Qid=1711245&amp;Row=871&amp;Col=1","No Title Assigned - #15266440623")</f>
        <v/>
      </c>
      <c r="B879" s="0" t="s">
        <v>1360</v>
      </c>
      <c r="C879" s="0" t="s">
        <v>1361</v>
      </c>
      <c r="D879" s="0" t="s">
        <v>1361</v>
      </c>
      <c r="E879" s="0" t="s">
        <v>13</v>
      </c>
      <c r="F879" s="0" t="s">
        <v>14</v>
      </c>
      <c r="G879" s="0" t="s">
        <v>15</v>
      </c>
      <c r="H879" s="5">
        <v>1592.791300</v>
      </c>
    </row>
    <row r="880" spans="1:9">
      <c r="A880" s="22" t="str">
        <f>HYPERLINK("https://app.vivvix.com/360/KMI/IntelliDrive/ApplUI/Pages/CreativePages/CustomReportCreativeDetail.aspx?App=23&amp;ReportView=4&amp;Qid=1711245&amp;Row=872&amp;Col=1","No Title Assigned - #15266440642")</f>
        <v/>
      </c>
      <c r="B880" s="0" t="s">
        <v>1362</v>
      </c>
      <c r="C880" s="0" t="s">
        <v>1363</v>
      </c>
      <c r="D880" s="0" t="s">
        <v>1363</v>
      </c>
      <c r="E880" s="0" t="s">
        <v>13</v>
      </c>
      <c r="F880" s="0" t="s">
        <v>14</v>
      </c>
      <c r="G880" s="0" t="s">
        <v>15</v>
      </c>
      <c r="H880" s="5">
        <v>57.072300</v>
      </c>
    </row>
    <row r="881" spans="1:9">
      <c r="A881" s="22" t="str">
        <f>HYPERLINK("https://app.vivvix.com/360/KMI/IntelliDrive/ApplUI/Pages/CreativePages/CustomReportCreativeDetail.aspx?App=23&amp;ReportView=4&amp;Qid=1711245&amp;Row=873&amp;Col=1","No Title Assigned - #15266440840")</f>
        <v/>
      </c>
      <c r="B881" s="0" t="s">
        <v>1364</v>
      </c>
      <c r="C881" s="0" t="s">
        <v>1365</v>
      </c>
      <c r="D881" s="0" t="s">
        <v>1365</v>
      </c>
      <c r="E881" s="0" t="s">
        <v>13</v>
      </c>
      <c r="F881" s="0" t="s">
        <v>14</v>
      </c>
      <c r="G881" s="0" t="s">
        <v>15</v>
      </c>
      <c r="H881" s="5">
        <v>30921.481300</v>
      </c>
    </row>
    <row r="882" spans="1:9">
      <c r="A882" s="22" t="str">
        <f>HYPERLINK("https://app.vivvix.com/360/KMI/IntelliDrive/ApplUI/Pages/CreativePages/CustomReportCreativeDetail.aspx?App=23&amp;ReportView=4&amp;Qid=1711245&amp;Row=874&amp;Col=1","No Title Assigned - #15266454517")</f>
        <v/>
      </c>
      <c r="B882" s="0" t="s">
        <v>1366</v>
      </c>
      <c r="C882" s="0" t="s">
        <v>1367</v>
      </c>
      <c r="D882" s="0" t="s">
        <v>1367</v>
      </c>
      <c r="E882" s="0" t="s">
        <v>13</v>
      </c>
      <c r="F882" s="0" t="s">
        <v>530</v>
      </c>
      <c r="G882" s="0" t="s">
        <v>531</v>
      </c>
      <c r="H882" s="5">
        <v>8912.069200</v>
      </c>
    </row>
    <row r="883" spans="1:9">
      <c r="A883" s="22" t="str">
        <f>HYPERLINK("https://app.vivvix.com/360/KMI/IntelliDrive/ApplUI/Pages/CreativePages/CustomReportCreativeDetail.aspx?App=23&amp;ReportView=4&amp;Qid=1711245&amp;Row=875&amp;Col=1","No Title Assigned - #15266479614")</f>
        <v/>
      </c>
      <c r="B883" s="0" t="s">
        <v>1368</v>
      </c>
      <c r="C883" s="0" t="s">
        <v>1369</v>
      </c>
      <c r="D883" s="0" t="s">
        <v>1369</v>
      </c>
      <c r="E883" s="0" t="s">
        <v>13</v>
      </c>
      <c r="F883" s="0" t="s">
        <v>128</v>
      </c>
      <c r="G883" s="0" t="s">
        <v>456</v>
      </c>
      <c r="H883" s="5">
        <v>1250.666300</v>
      </c>
    </row>
    <row r="884" spans="1:9">
      <c r="A884" s="22" t="str">
        <f>HYPERLINK("https://app.vivvix.com/360/KMI/IntelliDrive/ApplUI/Pages/CreativePages/CustomReportCreativeDetail.aspx?App=23&amp;ReportView=4&amp;Qid=1711245&amp;Row=876&amp;Col=1","No Title Assigned - #15266482509")</f>
        <v/>
      </c>
      <c r="B884" s="0" t="s">
        <v>1370</v>
      </c>
      <c r="E884" s="0" t="s">
        <v>13</v>
      </c>
      <c r="F884" s="0" t="s">
        <v>13</v>
      </c>
      <c r="G884" s="0" t="s">
        <v>54</v>
      </c>
    </row>
    <row r="885" spans="1:9">
      <c r="A885" s="22" t="str">
        <f>HYPERLINK("https://app.vivvix.com/360/KMI/IntelliDrive/ApplUI/Pages/CreativePages/CustomReportCreativeDetail.aspx?App=23&amp;ReportView=4&amp;Qid=1711245&amp;Row=877&amp;Col=1","No Title Assigned - #15266482553")</f>
        <v/>
      </c>
      <c r="B885" s="0" t="s">
        <v>1371</v>
      </c>
      <c r="E885" s="0" t="s">
        <v>13</v>
      </c>
      <c r="F885" s="0" t="s">
        <v>13</v>
      </c>
      <c r="G885" s="0" t="s">
        <v>54</v>
      </c>
    </row>
    <row r="886" spans="1:9">
      <c r="A886" s="22" t="str">
        <f>HYPERLINK("https://app.vivvix.com/360/KMI/IntelliDrive/ApplUI/Pages/CreativePages/CustomReportCreativeDetail.aspx?App=23&amp;ReportView=4&amp;Qid=1711245&amp;Row=878&amp;Col=1","No Title Assigned - #15266487065")</f>
        <v/>
      </c>
      <c r="B886" s="0" t="s">
        <v>1372</v>
      </c>
      <c r="E886" s="0" t="s">
        <v>13</v>
      </c>
      <c r="F886" s="0" t="s">
        <v>13</v>
      </c>
      <c r="G886" s="0" t="s">
        <v>54</v>
      </c>
      <c r="H886" s="5">
        <v>4445.125900</v>
      </c>
    </row>
    <row r="887" spans="1:9">
      <c r="A887" s="22" t="str">
        <f>HYPERLINK("https://app.vivvix.com/360/KMI/IntelliDrive/ApplUI/Pages/CreativePages/CustomReportCreativeDetail.aspx?App=23&amp;ReportView=4&amp;Qid=1711245&amp;Row=879&amp;Col=1","No Title Assigned - #15266487956")</f>
        <v/>
      </c>
      <c r="B887" s="0" t="s">
        <v>1373</v>
      </c>
      <c r="E887" s="0" t="s">
        <v>13</v>
      </c>
      <c r="F887" s="0" t="s">
        <v>13</v>
      </c>
      <c r="G887" s="0" t="s">
        <v>54</v>
      </c>
      <c r="H887" s="5">
        <v>475.536300</v>
      </c>
    </row>
    <row r="888" spans="1:9">
      <c r="A888" s="22" t="str">
        <f>HYPERLINK("https://app.vivvix.com/360/KMI/IntelliDrive/ApplUI/Pages/CreativePages/CustomReportCreativeDetail.aspx?App=23&amp;ReportView=4&amp;Qid=1711245&amp;Row=880&amp;Col=1","No Title Assigned - #15266488370")</f>
        <v/>
      </c>
      <c r="B888" s="0" t="s">
        <v>1374</v>
      </c>
      <c r="E888" s="0" t="s">
        <v>13</v>
      </c>
      <c r="F888" s="0" t="s">
        <v>13</v>
      </c>
      <c r="G888" s="0" t="s">
        <v>54</v>
      </c>
      <c r="H888" s="5">
        <v>17790.467100</v>
      </c>
    </row>
    <row r="889" spans="1:9">
      <c r="A889" s="22" t="str">
        <f>HYPERLINK("https://app.vivvix.com/360/KMI/IntelliDrive/ApplUI/Pages/CreativePages/CustomReportCreativeDetail.aspx?App=23&amp;ReportView=4&amp;Qid=1711245&amp;Row=881&amp;Col=1","No Title Assigned - #15266488425")</f>
        <v/>
      </c>
      <c r="B889" s="0" t="s">
        <v>1375</v>
      </c>
      <c r="C889" s="0" t="s">
        <v>1376</v>
      </c>
      <c r="D889" s="0" t="s">
        <v>1376</v>
      </c>
      <c r="E889" s="0" t="s">
        <v>13</v>
      </c>
      <c r="F889" s="0" t="s">
        <v>13</v>
      </c>
      <c r="G889" s="0" t="s">
        <v>54</v>
      </c>
    </row>
    <row r="890" spans="1:9">
      <c r="A890" s="22" t="str">
        <f>HYPERLINK("https://app.vivvix.com/360/KMI/IntelliDrive/ApplUI/Pages/CreativePages/CustomReportCreativeDetail.aspx?App=23&amp;ReportView=4&amp;Qid=1711245&amp;Row=882&amp;Col=1","No Title Assigned - #15266488438")</f>
        <v/>
      </c>
      <c r="B890" s="0" t="s">
        <v>1377</v>
      </c>
      <c r="C890" s="0" t="s">
        <v>1378</v>
      </c>
      <c r="D890" s="0" t="s">
        <v>1378</v>
      </c>
      <c r="E890" s="0" t="s">
        <v>13</v>
      </c>
      <c r="F890" s="0" t="s">
        <v>13</v>
      </c>
      <c r="G890" s="0" t="s">
        <v>54</v>
      </c>
    </row>
    <row r="891" spans="1:9">
      <c r="A891" s="22" t="str">
        <f>HYPERLINK("https://app.vivvix.com/360/KMI/IntelliDrive/ApplUI/Pages/CreativePages/CustomReportCreativeDetail.aspx?App=23&amp;ReportView=4&amp;Qid=1711245&amp;Row=883&amp;Col=1","No Title Assigned - #15266489417")</f>
        <v/>
      </c>
      <c r="B891" s="0" t="s">
        <v>1379</v>
      </c>
      <c r="E891" s="0" t="s">
        <v>13</v>
      </c>
      <c r="F891" s="0" t="s">
        <v>13</v>
      </c>
      <c r="G891" s="0" t="s">
        <v>54</v>
      </c>
      <c r="H891" s="5">
        <v>19.858800</v>
      </c>
    </row>
    <row r="892" spans="1:9">
      <c r="A892" s="22" t="str">
        <f>HYPERLINK("https://app.vivvix.com/360/KMI/IntelliDrive/ApplUI/Pages/CreativePages/CustomReportCreativeDetail.aspx?App=23&amp;ReportView=4&amp;Qid=1711245&amp;Row=884&amp;Col=1","No Title Assigned - #15266494511")</f>
        <v/>
      </c>
      <c r="B892" s="0" t="s">
        <v>1380</v>
      </c>
      <c r="C892" s="0" t="s">
        <v>1381</v>
      </c>
      <c r="D892" s="0" t="s">
        <v>1381</v>
      </c>
      <c r="E892" s="0" t="s">
        <v>13</v>
      </c>
      <c r="F892" s="0" t="s">
        <v>28</v>
      </c>
      <c r="G892" s="0" t="s">
        <v>453</v>
      </c>
      <c r="H892" s="5">
        <v>1516.144800</v>
      </c>
    </row>
    <row r="893" spans="1:9">
      <c r="A893" s="22" t="str">
        <f>HYPERLINK("https://app.vivvix.com/360/KMI/IntelliDrive/ApplUI/Pages/CreativePages/CustomReportCreativeDetail.aspx?App=23&amp;ReportView=4&amp;Qid=1711245&amp;Row=885&amp;Col=1","No Title Assigned - #15266495511")</f>
        <v/>
      </c>
      <c r="B893" s="0" t="s">
        <v>1382</v>
      </c>
      <c r="E893" s="0" t="s">
        <v>13</v>
      </c>
      <c r="F893" s="0" t="s">
        <v>13</v>
      </c>
      <c r="G893" s="0" t="s">
        <v>54</v>
      </c>
      <c r="H893" s="5">
        <v>8893.542000</v>
      </c>
    </row>
    <row r="894" spans="1:9">
      <c r="A894" s="22" t="str">
        <f>HYPERLINK("https://app.vivvix.com/360/KMI/IntelliDrive/ApplUI/Pages/CreativePages/CustomReportCreativeDetail.aspx?App=23&amp;ReportView=4&amp;Qid=1711245&amp;Row=886&amp;Col=1","No Title Assigned - #15266501744")</f>
        <v/>
      </c>
      <c r="B894" s="0" t="s">
        <v>1383</v>
      </c>
      <c r="C894" s="0" t="s">
        <v>1384</v>
      </c>
      <c r="D894" s="0" t="s">
        <v>1384</v>
      </c>
      <c r="E894" s="0" t="s">
        <v>13</v>
      </c>
      <c r="F894" s="0" t="s">
        <v>540</v>
      </c>
      <c r="G894" s="0" t="s">
        <v>541</v>
      </c>
      <c r="H894" s="5">
        <v>29037.071400</v>
      </c>
    </row>
    <row r="895" spans="1:9">
      <c r="A895" s="22" t="str">
        <f>HYPERLINK("https://app.vivvix.com/360/KMI/IntelliDrive/ApplUI/Pages/CreativePages/CustomReportCreativeDetail.aspx?App=23&amp;ReportView=4&amp;Qid=1711245&amp;Row=887&amp;Col=1","No Title Assigned - #15266502645")</f>
        <v/>
      </c>
      <c r="B895" s="0" t="s">
        <v>1385</v>
      </c>
      <c r="C895" s="0" t="s">
        <v>1386</v>
      </c>
      <c r="D895" s="0" t="s">
        <v>1386</v>
      </c>
      <c r="E895" s="0" t="s">
        <v>13</v>
      </c>
      <c r="F895" s="0" t="s">
        <v>128</v>
      </c>
      <c r="G895" s="0" t="s">
        <v>456</v>
      </c>
      <c r="H895" s="5">
        <v>7879.665300</v>
      </c>
    </row>
    <row r="896" spans="1:9">
      <c r="A896" s="22" t="str">
        <f>HYPERLINK("https://app.vivvix.com/360/KMI/IntelliDrive/ApplUI/Pages/CreativePages/CustomReportCreativeDetail.aspx?App=23&amp;ReportView=4&amp;Qid=1711245&amp;Row=888&amp;Col=1","No Title Assigned - #15266508202")</f>
        <v/>
      </c>
      <c r="B896" s="0" t="s">
        <v>1387</v>
      </c>
      <c r="C896" s="0" t="s">
        <v>1388</v>
      </c>
      <c r="D896" s="0" t="s">
        <v>1388</v>
      </c>
      <c r="E896" s="0" t="s">
        <v>13</v>
      </c>
      <c r="F896" s="0" t="s">
        <v>13</v>
      </c>
      <c r="G896" s="0" t="s">
        <v>121</v>
      </c>
      <c r="H896" s="5">
        <v>1034.228600</v>
      </c>
    </row>
    <row r="897" spans="1:9">
      <c r="A897" s="22" t="str">
        <f>HYPERLINK("https://app.vivvix.com/360/KMI/IntelliDrive/ApplUI/Pages/CreativePages/CustomReportCreativeDetail.aspx?App=23&amp;ReportView=4&amp;Qid=1711245&amp;Row=889&amp;Col=1","No Title Assigned - #15266518825")</f>
        <v/>
      </c>
      <c r="B897" s="0" t="s">
        <v>1389</v>
      </c>
      <c r="E897" s="0" t="s">
        <v>13</v>
      </c>
      <c r="F897" s="0" t="s">
        <v>13</v>
      </c>
      <c r="G897" s="0" t="s">
        <v>54</v>
      </c>
      <c r="H897" s="5">
        <v>1564.557100</v>
      </c>
    </row>
    <row r="898" spans="1:9">
      <c r="A898" s="22" t="str">
        <f>HYPERLINK("https://app.vivvix.com/360/KMI/IntelliDrive/ApplUI/Pages/CreativePages/CustomReportCreativeDetail.aspx?App=23&amp;ReportView=4&amp;Qid=1711245&amp;Row=890&amp;Col=1","No Title Assigned - #15266520749")</f>
        <v/>
      </c>
      <c r="B898" s="0" t="s">
        <v>1390</v>
      </c>
      <c r="C898" s="0" t="s">
        <v>1391</v>
      </c>
      <c r="D898" s="0" t="s">
        <v>1391</v>
      </c>
      <c r="E898" s="0" t="s">
        <v>13</v>
      </c>
      <c r="F898" s="0" t="s">
        <v>28</v>
      </c>
      <c r="G898" s="0" t="s">
        <v>453</v>
      </c>
      <c r="H898" s="5">
        <v>24.823500</v>
      </c>
    </row>
    <row r="899" spans="1:9">
      <c r="A899" s="22" t="str">
        <f>HYPERLINK("https://app.vivvix.com/360/KMI/IntelliDrive/ApplUI/Pages/CreativePages/CustomReportCreativeDetail.aspx?App=23&amp;ReportView=4&amp;Qid=1711245&amp;Row=891&amp;Col=1","No Title Assigned - #15266521565")</f>
        <v/>
      </c>
      <c r="B899" s="0" t="s">
        <v>1392</v>
      </c>
      <c r="C899" s="0" t="s">
        <v>1393</v>
      </c>
      <c r="D899" s="0" t="s">
        <v>1393</v>
      </c>
      <c r="E899" s="0" t="s">
        <v>13</v>
      </c>
      <c r="F899" s="0" t="s">
        <v>17</v>
      </c>
      <c r="G899" s="0" t="s">
        <v>446</v>
      </c>
      <c r="H899" s="5">
        <v>40.380900</v>
      </c>
    </row>
    <row r="900" spans="1:9">
      <c r="A900" s="22" t="str">
        <f>HYPERLINK("https://app.vivvix.com/360/KMI/IntelliDrive/ApplUI/Pages/CreativePages/CustomReportCreativeDetail.aspx?App=23&amp;ReportView=4&amp;Qid=1711245&amp;Row=892&amp;Col=1","No Title Assigned - #15266521582")</f>
        <v/>
      </c>
      <c r="B900" s="0" t="s">
        <v>1394</v>
      </c>
      <c r="C900" s="0" t="s">
        <v>1395</v>
      </c>
      <c r="D900" s="0" t="s">
        <v>1395</v>
      </c>
      <c r="E900" s="0" t="s">
        <v>13</v>
      </c>
      <c r="F900" s="0" t="s">
        <v>17</v>
      </c>
      <c r="G900" s="0" t="s">
        <v>446</v>
      </c>
      <c r="H900" s="5">
        <v>20.410400</v>
      </c>
    </row>
    <row r="901" spans="1:9">
      <c r="A901" s="22" t="str">
        <f>HYPERLINK("https://app.vivvix.com/360/KMI/IntelliDrive/ApplUI/Pages/CreativePages/CustomReportCreativeDetail.aspx?App=23&amp;ReportView=4&amp;Qid=1711245&amp;Row=893&amp;Col=1","No Title Assigned - #15266521597")</f>
        <v/>
      </c>
      <c r="B901" s="0" t="s">
        <v>1396</v>
      </c>
      <c r="C901" s="0" t="s">
        <v>1397</v>
      </c>
      <c r="D901" s="0" t="s">
        <v>1397</v>
      </c>
      <c r="E901" s="0" t="s">
        <v>13</v>
      </c>
      <c r="F901" s="0" t="s">
        <v>17</v>
      </c>
      <c r="G901" s="0" t="s">
        <v>446</v>
      </c>
      <c r="H901" s="5">
        <v>20.410400</v>
      </c>
    </row>
    <row r="902" spans="1:9">
      <c r="A902" s="22" t="str">
        <f>HYPERLINK("https://app.vivvix.com/360/KMI/IntelliDrive/ApplUI/Pages/CreativePages/CustomReportCreativeDetail.aspx?App=23&amp;ReportView=4&amp;Qid=1711245&amp;Row=894&amp;Col=1","No Title Assigned - #15266522416")</f>
        <v/>
      </c>
      <c r="B902" s="0" t="s">
        <v>1398</v>
      </c>
      <c r="E902" s="0" t="s">
        <v>13</v>
      </c>
      <c r="F902" s="0" t="s">
        <v>14</v>
      </c>
      <c r="G902" s="0" t="s">
        <v>15</v>
      </c>
      <c r="H902" s="5">
        <v>3200.089700</v>
      </c>
    </row>
    <row r="903" spans="1:9">
      <c r="A903" s="22" t="str">
        <f>HYPERLINK("https://app.vivvix.com/360/KMI/IntelliDrive/ApplUI/Pages/CreativePages/CustomReportCreativeDetail.aspx?App=23&amp;ReportView=4&amp;Qid=1711245&amp;Row=895&amp;Col=1","No Title Assigned - #15266522416")</f>
        <v/>
      </c>
      <c r="B903" s="0" t="s">
        <v>1398</v>
      </c>
      <c r="C903" s="0" t="s">
        <v>1399</v>
      </c>
      <c r="D903" s="0" t="s">
        <v>1399</v>
      </c>
      <c r="E903" s="0" t="s">
        <v>13</v>
      </c>
      <c r="F903" s="0" t="s">
        <v>14</v>
      </c>
      <c r="G903" s="0" t="s">
        <v>15</v>
      </c>
      <c r="H903" s="5">
        <v>13766.041000</v>
      </c>
    </row>
    <row r="904" spans="1:9">
      <c r="A904" s="22" t="str">
        <f>HYPERLINK("https://app.vivvix.com/360/KMI/IntelliDrive/ApplUI/Pages/CreativePages/CustomReportCreativeDetail.aspx?App=23&amp;ReportView=4&amp;Qid=1711245&amp;Row=896&amp;Col=1","No Title Assigned - #15266522417")</f>
        <v/>
      </c>
      <c r="B904" s="0" t="s">
        <v>1400</v>
      </c>
      <c r="E904" s="0" t="s">
        <v>13</v>
      </c>
      <c r="F904" s="0" t="s">
        <v>14</v>
      </c>
      <c r="G904" s="0" t="s">
        <v>15</v>
      </c>
      <c r="H904" s="5">
        <v>5218.573800</v>
      </c>
    </row>
    <row r="905" spans="1:9">
      <c r="A905" s="22" t="str">
        <f>HYPERLINK("https://app.vivvix.com/360/KMI/IntelliDrive/ApplUI/Pages/CreativePages/CustomReportCreativeDetail.aspx?App=23&amp;ReportView=4&amp;Qid=1711245&amp;Row=897&amp;Col=1","No Title Assigned - #15266522417")</f>
        <v/>
      </c>
      <c r="B905" s="0" t="s">
        <v>1400</v>
      </c>
      <c r="C905" s="0" t="s">
        <v>1401</v>
      </c>
      <c r="D905" s="0" t="s">
        <v>1401</v>
      </c>
      <c r="E905" s="0" t="s">
        <v>13</v>
      </c>
      <c r="F905" s="0" t="s">
        <v>14</v>
      </c>
      <c r="G905" s="0" t="s">
        <v>15</v>
      </c>
      <c r="H905" s="5">
        <v>54739.595900</v>
      </c>
    </row>
    <row r="906" spans="1:9">
      <c r="A906" s="22" t="str">
        <f>HYPERLINK("https://app.vivvix.com/360/KMI/IntelliDrive/ApplUI/Pages/CreativePages/CustomReportCreativeDetail.aspx?App=23&amp;ReportView=4&amp;Qid=1711245&amp;Row=898&amp;Col=1","No Title Assigned - #15266532274")</f>
        <v/>
      </c>
      <c r="B906" s="0" t="s">
        <v>1402</v>
      </c>
      <c r="C906" s="0" t="s">
        <v>1403</v>
      </c>
      <c r="D906" s="0" t="s">
        <v>1403</v>
      </c>
      <c r="E906" s="0" t="s">
        <v>13</v>
      </c>
      <c r="F906" s="0" t="s">
        <v>13</v>
      </c>
      <c r="G906" s="0" t="s">
        <v>54</v>
      </c>
      <c r="H906" s="5">
        <v>179.398800</v>
      </c>
    </row>
    <row r="907" spans="1:9">
      <c r="A907" s="22" t="str">
        <f>HYPERLINK("https://app.vivvix.com/360/KMI/IntelliDrive/ApplUI/Pages/CreativePages/CustomReportCreativeDetail.aspx?App=23&amp;ReportView=4&amp;Qid=1711245&amp;Row=899&amp;Col=1","No Title Assigned - #15266532776")</f>
        <v/>
      </c>
      <c r="B907" s="0" t="s">
        <v>1404</v>
      </c>
      <c r="C907" s="0" t="s">
        <v>1405</v>
      </c>
      <c r="D907" s="0" t="s">
        <v>1405</v>
      </c>
      <c r="E907" s="0" t="s">
        <v>13</v>
      </c>
      <c r="F907" s="0" t="s">
        <v>13</v>
      </c>
      <c r="G907" s="0" t="s">
        <v>54</v>
      </c>
      <c r="H907" s="5">
        <v>5946.758400</v>
      </c>
    </row>
    <row r="908" spans="1:9">
      <c r="A908" s="22" t="str">
        <f>HYPERLINK("https://app.vivvix.com/360/KMI/IntelliDrive/ApplUI/Pages/CreativePages/CustomReportCreativeDetail.aspx?App=23&amp;ReportView=4&amp;Qid=1711245&amp;Row=900&amp;Col=1","No Title Assigned - #15266532776")</f>
        <v/>
      </c>
      <c r="B908" s="0" t="s">
        <v>1404</v>
      </c>
      <c r="E908" s="0" t="s">
        <v>13</v>
      </c>
      <c r="F908" s="0" t="s">
        <v>13</v>
      </c>
      <c r="G908" s="0" t="s">
        <v>54</v>
      </c>
      <c r="H908" s="5">
        <v>11760.306600</v>
      </c>
    </row>
    <row r="909" spans="1:9">
      <c r="A909" s="22" t="str">
        <f>HYPERLINK("https://app.vivvix.com/360/KMI/IntelliDrive/ApplUI/Pages/CreativePages/CustomReportCreativeDetail.aspx?App=23&amp;ReportView=4&amp;Qid=1711245&amp;Row=901&amp;Col=1","No Title Assigned - #15266532777")</f>
        <v/>
      </c>
      <c r="B909" s="0" t="s">
        <v>1406</v>
      </c>
      <c r="C909" s="0" t="s">
        <v>1407</v>
      </c>
      <c r="D909" s="0" t="s">
        <v>1407</v>
      </c>
      <c r="E909" s="0" t="s">
        <v>13</v>
      </c>
      <c r="F909" s="0" t="s">
        <v>13</v>
      </c>
      <c r="G909" s="0" t="s">
        <v>54</v>
      </c>
      <c r="H909" s="5">
        <v>2927.646300</v>
      </c>
    </row>
    <row r="910" spans="1:9">
      <c r="A910" s="22" t="str">
        <f>HYPERLINK("https://app.vivvix.com/360/KMI/IntelliDrive/ApplUI/Pages/CreativePages/CustomReportCreativeDetail.aspx?App=23&amp;ReportView=4&amp;Qid=1711245&amp;Row=902&amp;Col=1","No Title Assigned - #15266532777")</f>
        <v/>
      </c>
      <c r="B910" s="0" t="s">
        <v>1406</v>
      </c>
      <c r="E910" s="0" t="s">
        <v>13</v>
      </c>
      <c r="F910" s="0" t="s">
        <v>13</v>
      </c>
      <c r="G910" s="0" t="s">
        <v>54</v>
      </c>
      <c r="H910" s="5">
        <v>8711.559900</v>
      </c>
    </row>
    <row r="911" spans="1:9">
      <c r="A911" s="22" t="str">
        <f>HYPERLINK("https://app.vivvix.com/360/KMI/IntelliDrive/ApplUI/Pages/CreativePages/CustomReportCreativeDetail.aspx?App=23&amp;ReportView=4&amp;Qid=1711245&amp;Row=903&amp;Col=1","No Title Assigned - #15266542508")</f>
        <v/>
      </c>
      <c r="B911" s="0" t="s">
        <v>1408</v>
      </c>
      <c r="E911" s="0" t="s">
        <v>13</v>
      </c>
      <c r="F911" s="0" t="s">
        <v>13</v>
      </c>
      <c r="G911" s="0" t="s">
        <v>54</v>
      </c>
      <c r="H911" s="5">
        <v>28006.288600</v>
      </c>
    </row>
    <row r="912" spans="1:9">
      <c r="A912" s="22" t="str">
        <f>HYPERLINK("https://app.vivvix.com/360/KMI/IntelliDrive/ApplUI/Pages/CreativePages/CustomReportCreativeDetail.aspx?App=23&amp;ReportView=4&amp;Qid=1711245&amp;Row=904&amp;Col=1","No Title Assigned - #15266553569")</f>
        <v/>
      </c>
      <c r="B912" s="0" t="s">
        <v>1409</v>
      </c>
      <c r="E912" s="0" t="s">
        <v>13</v>
      </c>
      <c r="F912" s="0" t="s">
        <v>13</v>
      </c>
      <c r="G912" s="0" t="s">
        <v>54</v>
      </c>
      <c r="H912" s="5">
        <v>6966.828200</v>
      </c>
    </row>
    <row r="913" spans="1:9">
      <c r="A913" s="22" t="str">
        <f>HYPERLINK("https://app.vivvix.com/360/KMI/IntelliDrive/ApplUI/Pages/CreativePages/CustomReportCreativeDetail.aspx?App=23&amp;ReportView=4&amp;Qid=1711245&amp;Row=905&amp;Col=1","No Title Assigned - #15266553569")</f>
        <v/>
      </c>
      <c r="B913" s="0" t="s">
        <v>1409</v>
      </c>
      <c r="C913" s="0" t="s">
        <v>1410</v>
      </c>
      <c r="D913" s="0" t="s">
        <v>1410</v>
      </c>
      <c r="E913" s="0" t="s">
        <v>13</v>
      </c>
      <c r="F913" s="0" t="s">
        <v>13</v>
      </c>
      <c r="G913" s="0" t="s">
        <v>54</v>
      </c>
      <c r="H913" s="5">
        <v>1571.836800</v>
      </c>
    </row>
    <row r="914" spans="1:9">
      <c r="A914" s="22" t="str">
        <f>HYPERLINK("https://app.vivvix.com/360/KMI/IntelliDrive/ApplUI/Pages/CreativePages/CustomReportCreativeDetail.aspx?App=23&amp;ReportView=4&amp;Qid=1711245&amp;Row=906&amp;Col=1","No Title Assigned - #15266553570")</f>
        <v/>
      </c>
      <c r="B914" s="0" t="s">
        <v>1411</v>
      </c>
      <c r="E914" s="0" t="s">
        <v>13</v>
      </c>
      <c r="F914" s="0" t="s">
        <v>13</v>
      </c>
      <c r="G914" s="0" t="s">
        <v>54</v>
      </c>
      <c r="H914" s="5">
        <v>1250.218400</v>
      </c>
    </row>
    <row r="915" spans="1:9">
      <c r="A915" s="22" t="str">
        <f>HYPERLINK("https://app.vivvix.com/360/KMI/IntelliDrive/ApplUI/Pages/CreativePages/CustomReportCreativeDetail.aspx?App=23&amp;ReportView=4&amp;Qid=1711245&amp;Row=907&amp;Col=1","No Title Assigned - #15266561368")</f>
        <v/>
      </c>
      <c r="B915" s="0" t="s">
        <v>1412</v>
      </c>
      <c r="E915" s="0" t="s">
        <v>13</v>
      </c>
      <c r="F915" s="0" t="s">
        <v>13</v>
      </c>
      <c r="G915" s="0" t="s">
        <v>54</v>
      </c>
      <c r="H915" s="5">
        <v>903.734500</v>
      </c>
    </row>
    <row r="916" spans="1:9">
      <c r="A916" s="22" t="str">
        <f>HYPERLINK("https://app.vivvix.com/360/KMI/IntelliDrive/ApplUI/Pages/CreativePages/CustomReportCreativeDetail.aspx?App=23&amp;ReportView=4&amp;Qid=1711245&amp;Row=908&amp;Col=1","No Title Assigned - #15266566947")</f>
        <v/>
      </c>
      <c r="B916" s="0" t="s">
        <v>1413</v>
      </c>
      <c r="E916" s="0" t="s">
        <v>13</v>
      </c>
      <c r="F916" s="0" t="s">
        <v>13</v>
      </c>
      <c r="G916" s="0" t="s">
        <v>54</v>
      </c>
      <c r="H916" s="5">
        <v>5214.272100</v>
      </c>
    </row>
    <row r="917" spans="1:9">
      <c r="A917" s="22" t="str">
        <f>HYPERLINK("https://app.vivvix.com/360/KMI/IntelliDrive/ApplUI/Pages/CreativePages/CustomReportCreativeDetail.aspx?App=23&amp;ReportView=4&amp;Qid=1711245&amp;Row=909&amp;Col=1","No Title Assigned - #15266569017")</f>
        <v/>
      </c>
      <c r="B917" s="0" t="s">
        <v>1414</v>
      </c>
      <c r="C917" s="0" t="s">
        <v>1415</v>
      </c>
      <c r="D917" s="0" t="s">
        <v>1415</v>
      </c>
      <c r="E917" s="0" t="s">
        <v>13</v>
      </c>
      <c r="F917" s="0" t="s">
        <v>28</v>
      </c>
      <c r="G917" s="0" t="s">
        <v>453</v>
      </c>
      <c r="H917" s="5">
        <v>5928.103300</v>
      </c>
    </row>
    <row r="918" spans="1:9">
      <c r="A918" s="22" t="str">
        <f>HYPERLINK("https://app.vivvix.com/360/KMI/IntelliDrive/ApplUI/Pages/CreativePages/CustomReportCreativeDetail.aspx?App=23&amp;ReportView=4&amp;Qid=1711245&amp;Row=910&amp;Col=1","No Title Assigned - #15266570200")</f>
        <v/>
      </c>
      <c r="B918" s="0" t="s">
        <v>1416</v>
      </c>
      <c r="C918" s="0" t="s">
        <v>1417</v>
      </c>
      <c r="D918" s="0" t="s">
        <v>1417</v>
      </c>
      <c r="E918" s="0" t="s">
        <v>13</v>
      </c>
      <c r="F918" s="0" t="s">
        <v>14</v>
      </c>
      <c r="G918" s="0" t="s">
        <v>15</v>
      </c>
      <c r="H918" s="5">
        <v>1243.781100</v>
      </c>
    </row>
    <row r="919" spans="1:9">
      <c r="A919" s="22" t="str">
        <f>HYPERLINK("https://app.vivvix.com/360/KMI/IntelliDrive/ApplUI/Pages/CreativePages/CustomReportCreativeDetail.aspx?App=23&amp;ReportView=4&amp;Qid=1711245&amp;Row=911&amp;Col=1","No Title Assigned - #15266570200")</f>
        <v/>
      </c>
      <c r="B919" s="0" t="s">
        <v>1416</v>
      </c>
      <c r="E919" s="0" t="s">
        <v>13</v>
      </c>
      <c r="F919" s="0" t="s">
        <v>14</v>
      </c>
      <c r="G919" s="0" t="s">
        <v>15</v>
      </c>
      <c r="H919" s="5">
        <v>3358.413900</v>
      </c>
    </row>
    <row r="920" spans="1:9">
      <c r="A920" s="22" t="str">
        <f>HYPERLINK("https://app.vivvix.com/360/KMI/IntelliDrive/ApplUI/Pages/CreativePages/CustomReportCreativeDetail.aspx?App=23&amp;ReportView=4&amp;Qid=1711245&amp;Row=912&amp;Col=1","No Title Assigned - #15266582321")</f>
        <v/>
      </c>
      <c r="B920" s="0" t="s">
        <v>1418</v>
      </c>
      <c r="C920" s="0" t="s">
        <v>1419</v>
      </c>
      <c r="D920" s="0" t="s">
        <v>1419</v>
      </c>
      <c r="E920" s="0" t="s">
        <v>13</v>
      </c>
      <c r="F920" s="0" t="s">
        <v>540</v>
      </c>
      <c r="G920" s="0" t="s">
        <v>541</v>
      </c>
      <c r="H920" s="5">
        <v>392.072800</v>
      </c>
    </row>
    <row r="921" spans="1:9">
      <c r="A921" s="22" t="str">
        <f>HYPERLINK("https://app.vivvix.com/360/KMI/IntelliDrive/ApplUI/Pages/CreativePages/CustomReportCreativeDetail.aspx?App=23&amp;ReportView=4&amp;Qid=1711245&amp;Row=913&amp;Col=1","No Title Assigned - #15266582351")</f>
        <v/>
      </c>
      <c r="B921" s="0" t="s">
        <v>1420</v>
      </c>
      <c r="C921" s="0" t="s">
        <v>1421</v>
      </c>
      <c r="D921" s="0" t="s">
        <v>1421</v>
      </c>
      <c r="E921" s="0" t="s">
        <v>13</v>
      </c>
      <c r="F921" s="0" t="s">
        <v>14</v>
      </c>
      <c r="G921" s="0" t="s">
        <v>15</v>
      </c>
      <c r="H921" s="5">
        <v>74.967800</v>
      </c>
    </row>
    <row r="922" spans="1:9">
      <c r="A922" s="22" t="str">
        <f>HYPERLINK("https://app.vivvix.com/360/KMI/IntelliDrive/ApplUI/Pages/CreativePages/CustomReportCreativeDetail.aspx?App=23&amp;ReportView=4&amp;Qid=1711245&amp;Row=914&amp;Col=1","No Title Assigned - #15266582387")</f>
        <v/>
      </c>
      <c r="B922" s="0" t="s">
        <v>1422</v>
      </c>
      <c r="C922" s="0" t="s">
        <v>1423</v>
      </c>
      <c r="D922" s="0" t="s">
        <v>1423</v>
      </c>
      <c r="E922" s="0" t="s">
        <v>13</v>
      </c>
      <c r="F922" s="0" t="s">
        <v>17</v>
      </c>
      <c r="G922" s="0" t="s">
        <v>446</v>
      </c>
      <c r="H922" s="5">
        <v>20.410400</v>
      </c>
    </row>
    <row r="923" spans="1:9">
      <c r="A923" s="22" t="str">
        <f>HYPERLINK("https://app.vivvix.com/360/KMI/IntelliDrive/ApplUI/Pages/CreativePages/CustomReportCreativeDetail.aspx?App=23&amp;ReportView=4&amp;Qid=1711245&amp;Row=915&amp;Col=1","No Title Assigned - #15266625347")</f>
        <v/>
      </c>
      <c r="B923" s="0" t="s">
        <v>1424</v>
      </c>
      <c r="C923" s="0" t="s">
        <v>1425</v>
      </c>
      <c r="D923" s="0" t="s">
        <v>1425</v>
      </c>
      <c r="E923" s="0" t="s">
        <v>13</v>
      </c>
      <c r="F923" s="0" t="s">
        <v>13</v>
      </c>
      <c r="G923" s="0" t="s">
        <v>54</v>
      </c>
      <c r="H923" s="5">
        <v>14698.689400</v>
      </c>
    </row>
    <row r="924" spans="1:9">
      <c r="A924" s="22" t="str">
        <f>HYPERLINK("https://app.vivvix.com/360/KMI/IntelliDrive/ApplUI/Pages/CreativePages/CustomReportCreativeDetail.aspx?App=23&amp;ReportView=4&amp;Qid=1711245&amp;Row=916&amp;Col=1","No Title Assigned - #15266631129")</f>
        <v/>
      </c>
      <c r="B924" s="0" t="s">
        <v>1426</v>
      </c>
      <c r="E924" s="0" t="s">
        <v>13</v>
      </c>
      <c r="F924" s="0" t="s">
        <v>13</v>
      </c>
      <c r="G924" s="0" t="s">
        <v>54</v>
      </c>
      <c r="H924" s="5">
        <v>23611.442600</v>
      </c>
    </row>
    <row r="925" spans="1:9">
      <c r="A925" s="22" t="str">
        <f>HYPERLINK("https://app.vivvix.com/360/KMI/IntelliDrive/ApplUI/Pages/CreativePages/CustomReportCreativeDetail.aspx?App=23&amp;ReportView=4&amp;Qid=1711245&amp;Row=917&amp;Col=1","No Title Assigned - #15266633269")</f>
        <v/>
      </c>
      <c r="B925" s="0" t="s">
        <v>1427</v>
      </c>
      <c r="E925" s="0" t="s">
        <v>13</v>
      </c>
      <c r="F925" s="0" t="s">
        <v>13</v>
      </c>
      <c r="G925" s="0" t="s">
        <v>54</v>
      </c>
      <c r="H925" s="5">
        <v>10523.757100</v>
      </c>
    </row>
    <row r="926" spans="1:9">
      <c r="A926" s="22" t="str">
        <f>HYPERLINK("https://app.vivvix.com/360/KMI/IntelliDrive/ApplUI/Pages/CreativePages/CustomReportCreativeDetail.aspx?App=23&amp;ReportView=4&amp;Qid=1711245&amp;Row=918&amp;Col=1","No Title Assigned - #15266633407")</f>
        <v/>
      </c>
      <c r="B926" s="0" t="s">
        <v>1428</v>
      </c>
      <c r="E926" s="0" t="s">
        <v>13</v>
      </c>
      <c r="F926" s="0" t="s">
        <v>13</v>
      </c>
      <c r="G926" s="0" t="s">
        <v>54</v>
      </c>
      <c r="H926" s="5">
        <v>7158.120900</v>
      </c>
    </row>
    <row r="927" spans="1:9">
      <c r="A927" s="22" t="str">
        <f>HYPERLINK("https://app.vivvix.com/360/KMI/IntelliDrive/ApplUI/Pages/CreativePages/CustomReportCreativeDetail.aspx?App=23&amp;ReportView=4&amp;Qid=1711245&amp;Row=919&amp;Col=1","No Title Assigned - #15266639243")</f>
        <v/>
      </c>
      <c r="B927" s="0" t="s">
        <v>1429</v>
      </c>
      <c r="C927" s="0" t="s">
        <v>1430</v>
      </c>
      <c r="D927" s="0" t="s">
        <v>1430</v>
      </c>
      <c r="E927" s="0" t="s">
        <v>13</v>
      </c>
      <c r="F927" s="0" t="s">
        <v>14</v>
      </c>
      <c r="G927" s="0" t="s">
        <v>15</v>
      </c>
      <c r="H927" s="5">
        <v>34685.296300</v>
      </c>
    </row>
    <row r="928" spans="1:9">
      <c r="A928" s="22" t="str">
        <f>HYPERLINK("https://app.vivvix.com/360/KMI/IntelliDrive/ApplUI/Pages/CreativePages/CustomReportCreativeDetail.aspx?App=23&amp;ReportView=4&amp;Qid=1711245&amp;Row=920&amp;Col=1","No Title Assigned - #15266655072")</f>
        <v/>
      </c>
      <c r="B928" s="0" t="s">
        <v>1431</v>
      </c>
      <c r="C928" s="0" t="s">
        <v>1432</v>
      </c>
      <c r="D928" s="0" t="s">
        <v>1432</v>
      </c>
      <c r="E928" s="0" t="s">
        <v>13</v>
      </c>
      <c r="F928" s="0" t="s">
        <v>28</v>
      </c>
      <c r="G928" s="0" t="s">
        <v>110</v>
      </c>
      <c r="H928" s="5">
        <v>1522.173600</v>
      </c>
    </row>
    <row r="929" spans="1:9">
      <c r="A929" s="22" t="str">
        <f>HYPERLINK("https://app.vivvix.com/360/KMI/IntelliDrive/ApplUI/Pages/CreativePages/CustomReportCreativeDetail.aspx?App=23&amp;ReportView=4&amp;Qid=1711245&amp;Row=921&amp;Col=1","No Title Assigned - #15266655072")</f>
        <v/>
      </c>
      <c r="B929" s="0" t="s">
        <v>1431</v>
      </c>
      <c r="E929" s="0" t="s">
        <v>13</v>
      </c>
      <c r="F929" s="0" t="s">
        <v>28</v>
      </c>
      <c r="G929" s="0" t="s">
        <v>110</v>
      </c>
      <c r="H929" s="5">
        <v>11743.280300</v>
      </c>
    </row>
    <row r="930" spans="1:9">
      <c r="A930" s="22" t="str">
        <f>HYPERLINK("https://app.vivvix.com/360/KMI/IntelliDrive/ApplUI/Pages/CreativePages/CustomReportCreativeDetail.aspx?App=23&amp;ReportView=4&amp;Qid=1711245&amp;Row=922&amp;Col=1","No Title Assigned - #15266698811")</f>
        <v/>
      </c>
      <c r="B930" s="0" t="s">
        <v>1433</v>
      </c>
      <c r="C930" s="0" t="s">
        <v>1138</v>
      </c>
      <c r="D930" s="0" t="s">
        <v>1138</v>
      </c>
      <c r="E930" s="0" t="s">
        <v>13</v>
      </c>
      <c r="F930" s="0" t="s">
        <v>14</v>
      </c>
      <c r="G930" s="0" t="s">
        <v>15</v>
      </c>
      <c r="H930" s="5">
        <v>399.284600</v>
      </c>
    </row>
    <row r="931" spans="1:9">
      <c r="A931" s="22" t="str">
        <f>HYPERLINK("https://app.vivvix.com/360/KMI/IntelliDrive/ApplUI/Pages/CreativePages/CustomReportCreativeDetail.aspx?App=23&amp;ReportView=4&amp;Qid=1711245&amp;Row=923&amp;Col=1","No Title Assigned - #15266706738")</f>
        <v/>
      </c>
      <c r="B931" s="0" t="s">
        <v>1434</v>
      </c>
      <c r="C931" s="0" t="s">
        <v>1435</v>
      </c>
      <c r="D931" s="0" t="s">
        <v>1435</v>
      </c>
      <c r="E931" s="0" t="s">
        <v>13</v>
      </c>
      <c r="F931" s="0" t="s">
        <v>14</v>
      </c>
      <c r="G931" s="0" t="s">
        <v>15</v>
      </c>
      <c r="H931" s="5">
        <v>623.730400</v>
      </c>
    </row>
    <row r="932" spans="1:9">
      <c r="A932" s="22" t="str">
        <f>HYPERLINK("https://app.vivvix.com/360/KMI/IntelliDrive/ApplUI/Pages/CreativePages/CustomReportCreativeDetail.aspx?App=23&amp;ReportView=4&amp;Qid=1711245&amp;Row=924&amp;Col=1","No Title Assigned - #15266744176")</f>
        <v/>
      </c>
      <c r="B932" s="0" t="s">
        <v>1436</v>
      </c>
      <c r="C932" s="0" t="s">
        <v>1437</v>
      </c>
      <c r="D932" s="0" t="s">
        <v>1437</v>
      </c>
      <c r="E932" s="0" t="s">
        <v>13</v>
      </c>
      <c r="F932" s="0" t="s">
        <v>14</v>
      </c>
      <c r="G932" s="0" t="s">
        <v>15</v>
      </c>
      <c r="H932" s="5">
        <v>7431.220400</v>
      </c>
    </row>
    <row r="933" spans="1:9">
      <c r="A933" s="22" t="str">
        <f>HYPERLINK("https://app.vivvix.com/360/KMI/IntelliDrive/ApplUI/Pages/CreativePages/CustomReportCreativeDetail.aspx?App=23&amp;ReportView=4&amp;Qid=1711245&amp;Row=925&amp;Col=1","No Title Assigned - #15266750036")</f>
        <v/>
      </c>
      <c r="B933" s="0" t="s">
        <v>1438</v>
      </c>
      <c r="C933" s="0" t="s">
        <v>1439</v>
      </c>
      <c r="D933" s="0" t="s">
        <v>1439</v>
      </c>
      <c r="E933" s="0" t="s">
        <v>13</v>
      </c>
      <c r="F933" s="0" t="s">
        <v>14</v>
      </c>
      <c r="G933" s="0" t="s">
        <v>15</v>
      </c>
      <c r="H933" s="5">
        <v>4339.924800</v>
      </c>
    </row>
    <row r="934" spans="1:9">
      <c r="A934" s="22" t="str">
        <f>HYPERLINK("https://app.vivvix.com/360/KMI/IntelliDrive/ApplUI/Pages/CreativePages/CustomReportCreativeDetail.aspx?App=23&amp;ReportView=4&amp;Qid=1711245&amp;Row=926&amp;Col=1","No Title Assigned - #15266750353")</f>
        <v/>
      </c>
      <c r="B934" s="0" t="s">
        <v>1440</v>
      </c>
      <c r="C934" s="0" t="s">
        <v>1441</v>
      </c>
      <c r="D934" s="0" t="s">
        <v>1441</v>
      </c>
      <c r="E934" s="0" t="s">
        <v>13</v>
      </c>
      <c r="F934" s="0" t="s">
        <v>128</v>
      </c>
      <c r="G934" s="0" t="s">
        <v>456</v>
      </c>
      <c r="H934" s="5">
        <v>39106.633800</v>
      </c>
    </row>
    <row r="935" spans="1:9">
      <c r="A935" s="22" t="str">
        <f>HYPERLINK("https://app.vivvix.com/360/KMI/IntelliDrive/ApplUI/Pages/CreativePages/CustomReportCreativeDetail.aspx?App=23&amp;ReportView=4&amp;Qid=1711245&amp;Row=927&amp;Col=1","No Title Assigned - #15266750501")</f>
        <v/>
      </c>
      <c r="B935" s="0" t="s">
        <v>1442</v>
      </c>
      <c r="E935" s="0" t="s">
        <v>13</v>
      </c>
      <c r="F935" s="0" t="s">
        <v>13</v>
      </c>
      <c r="G935" s="0" t="s">
        <v>54</v>
      </c>
      <c r="H935" s="5">
        <v>3239.637500</v>
      </c>
    </row>
    <row r="936" spans="1:9">
      <c r="A936" s="22" t="str">
        <f>HYPERLINK("https://app.vivvix.com/360/KMI/IntelliDrive/ApplUI/Pages/CreativePages/CustomReportCreativeDetail.aspx?App=23&amp;ReportView=4&amp;Qid=1711245&amp;Row=928&amp;Col=1","No Title Assigned - #15266750672")</f>
        <v/>
      </c>
      <c r="B936" s="0" t="s">
        <v>1443</v>
      </c>
      <c r="C936" s="0" t="s">
        <v>1444</v>
      </c>
      <c r="D936" s="0" t="s">
        <v>1444</v>
      </c>
      <c r="E936" s="0" t="s">
        <v>13</v>
      </c>
      <c r="F936" s="0" t="s">
        <v>14</v>
      </c>
      <c r="G936" s="0" t="s">
        <v>15</v>
      </c>
      <c r="H936" s="5">
        <v>1289.923700</v>
      </c>
    </row>
    <row r="937" spans="1:9">
      <c r="A937" s="22" t="str">
        <f>HYPERLINK("https://app.vivvix.com/360/KMI/IntelliDrive/ApplUI/Pages/CreativePages/CustomReportCreativeDetail.aspx?App=23&amp;ReportView=4&amp;Qid=1711245&amp;Row=929&amp;Col=1","No Title Assigned - #15266774880")</f>
        <v/>
      </c>
      <c r="B937" s="0" t="s">
        <v>1445</v>
      </c>
      <c r="C937" s="0" t="s">
        <v>1446</v>
      </c>
      <c r="D937" s="0" t="s">
        <v>1446</v>
      </c>
      <c r="E937" s="0" t="s">
        <v>13</v>
      </c>
      <c r="F937" s="0" t="s">
        <v>540</v>
      </c>
      <c r="G937" s="0" t="s">
        <v>541</v>
      </c>
      <c r="H937" s="5">
        <v>23693.743700</v>
      </c>
    </row>
    <row r="938" spans="1:9">
      <c r="A938" s="22" t="str">
        <f>HYPERLINK("https://app.vivvix.com/360/KMI/IntelliDrive/ApplUI/Pages/CreativePages/CustomReportCreativeDetail.aspx?App=23&amp;ReportView=4&amp;Qid=1711245&amp;Row=930&amp;Col=1","No Title Assigned - #15266812682")</f>
        <v/>
      </c>
      <c r="B938" s="0" t="s">
        <v>1447</v>
      </c>
      <c r="C938" s="0" t="s">
        <v>1448</v>
      </c>
      <c r="D938" s="0" t="s">
        <v>1448</v>
      </c>
      <c r="E938" s="0" t="s">
        <v>13</v>
      </c>
      <c r="F938" s="0" t="s">
        <v>128</v>
      </c>
      <c r="G938" s="0" t="s">
        <v>456</v>
      </c>
      <c r="H938" s="5">
        <v>5433.458100</v>
      </c>
    </row>
    <row r="939" spans="1:9">
      <c r="A939" s="22" t="str">
        <f>HYPERLINK("https://app.vivvix.com/360/KMI/IntelliDrive/ApplUI/Pages/CreativePages/CustomReportCreativeDetail.aspx?App=23&amp;ReportView=4&amp;Qid=1711245&amp;Row=931&amp;Col=1","No Title Assigned - #15266812688")</f>
        <v/>
      </c>
      <c r="B939" s="0" t="s">
        <v>1449</v>
      </c>
      <c r="C939" s="0" t="s">
        <v>1448</v>
      </c>
      <c r="D939" s="0" t="s">
        <v>1448</v>
      </c>
      <c r="E939" s="0" t="s">
        <v>13</v>
      </c>
      <c r="F939" s="0" t="s">
        <v>128</v>
      </c>
      <c r="G939" s="0" t="s">
        <v>456</v>
      </c>
      <c r="H939" s="5">
        <v>1194.373500</v>
      </c>
    </row>
    <row r="940" spans="1:9">
      <c r="A940" s="22" t="str">
        <f>HYPERLINK("https://app.vivvix.com/360/KMI/IntelliDrive/ApplUI/Pages/CreativePages/CustomReportCreativeDetail.aspx?App=23&amp;ReportView=4&amp;Qid=1711245&amp;Row=932&amp;Col=1","No Title Assigned - #15266835928")</f>
        <v/>
      </c>
      <c r="B940" s="0" t="s">
        <v>1450</v>
      </c>
      <c r="E940" s="0" t="s">
        <v>13</v>
      </c>
      <c r="F940" s="0" t="s">
        <v>13</v>
      </c>
      <c r="G940" s="0" t="s">
        <v>54</v>
      </c>
      <c r="H940" s="5">
        <v>6241.788400</v>
      </c>
    </row>
    <row r="941" spans="1:9">
      <c r="A941" s="22" t="str">
        <f>HYPERLINK("https://app.vivvix.com/360/KMI/IntelliDrive/ApplUI/Pages/CreativePages/CustomReportCreativeDetail.aspx?App=23&amp;ReportView=4&amp;Qid=1711245&amp;Row=933&amp;Col=1","No Title Assigned - #15266879538")</f>
        <v/>
      </c>
      <c r="B941" s="0" t="s">
        <v>1451</v>
      </c>
      <c r="C941" s="0" t="s">
        <v>1452</v>
      </c>
      <c r="D941" s="0" t="s">
        <v>1452</v>
      </c>
      <c r="E941" s="0" t="s">
        <v>13</v>
      </c>
      <c r="F941" s="0" t="s">
        <v>540</v>
      </c>
      <c r="G941" s="0" t="s">
        <v>541</v>
      </c>
      <c r="H941" s="5">
        <v>1792.197700</v>
      </c>
    </row>
    <row r="942" spans="1:9">
      <c r="A942" s="22" t="str">
        <f>HYPERLINK("https://app.vivvix.com/360/KMI/IntelliDrive/ApplUI/Pages/CreativePages/CustomReportCreativeDetail.aspx?App=23&amp;ReportView=4&amp;Qid=1711245&amp;Row=934&amp;Col=1","No Title Assigned - #15266883769")</f>
        <v/>
      </c>
      <c r="B942" s="0" t="s">
        <v>1453</v>
      </c>
      <c r="C942" s="0" t="s">
        <v>1454</v>
      </c>
      <c r="D942" s="0" t="s">
        <v>1454</v>
      </c>
      <c r="E942" s="0" t="s">
        <v>13</v>
      </c>
      <c r="F942" s="0" t="s">
        <v>540</v>
      </c>
      <c r="G942" s="0" t="s">
        <v>541</v>
      </c>
      <c r="H942" s="5">
        <v>1611.039700</v>
      </c>
    </row>
    <row r="943" spans="1:9">
      <c r="A943" s="22" t="str">
        <f>HYPERLINK("https://app.vivvix.com/360/KMI/IntelliDrive/ApplUI/Pages/CreativePages/CustomReportCreativeDetail.aspx?App=23&amp;ReportView=4&amp;Qid=1711245&amp;Row=935&amp;Col=1","No Title Assigned - #15266906859")</f>
        <v/>
      </c>
      <c r="B943" s="0" t="s">
        <v>1455</v>
      </c>
      <c r="C943" s="0" t="s">
        <v>1456</v>
      </c>
      <c r="D943" s="0" t="s">
        <v>1456</v>
      </c>
      <c r="E943" s="0" t="s">
        <v>13</v>
      </c>
      <c r="F943" s="0" t="s">
        <v>14</v>
      </c>
      <c r="G943" s="0" t="s">
        <v>15</v>
      </c>
      <c r="H943" s="5">
        <v>117.566000</v>
      </c>
    </row>
    <row r="944" spans="1:9">
      <c r="A944" s="22" t="str">
        <f>HYPERLINK("https://app.vivvix.com/360/KMI/IntelliDrive/ApplUI/Pages/CreativePages/CustomReportCreativeDetail.aspx?App=23&amp;ReportView=4&amp;Qid=1711245&amp;Row=936&amp;Col=1","No Title Assigned - #15266910757")</f>
        <v/>
      </c>
      <c r="B944" s="0" t="s">
        <v>1457</v>
      </c>
      <c r="C944" s="0" t="s">
        <v>1458</v>
      </c>
      <c r="D944" s="0" t="s">
        <v>1458</v>
      </c>
      <c r="E944" s="0" t="s">
        <v>13</v>
      </c>
      <c r="F944" s="0" t="s">
        <v>14</v>
      </c>
      <c r="G944" s="0" t="s">
        <v>15</v>
      </c>
      <c r="H944" s="5">
        <v>1851.129600</v>
      </c>
    </row>
    <row r="945" spans="1:9">
      <c r="A945" s="22" t="str">
        <f>HYPERLINK("https://app.vivvix.com/360/KMI/IntelliDrive/ApplUI/Pages/CreativePages/CustomReportCreativeDetail.aspx?App=23&amp;ReportView=4&amp;Qid=1711245&amp;Row=937&amp;Col=1","No Title Assigned - #15266911115")</f>
        <v/>
      </c>
      <c r="B945" s="0" t="s">
        <v>1459</v>
      </c>
      <c r="C945" s="0" t="s">
        <v>1460</v>
      </c>
      <c r="D945" s="0" t="s">
        <v>1460</v>
      </c>
      <c r="E945" s="0" t="s">
        <v>13</v>
      </c>
      <c r="F945" s="0" t="s">
        <v>13</v>
      </c>
      <c r="G945" s="0" t="s">
        <v>121</v>
      </c>
      <c r="H945" s="5">
        <v>27793.711500</v>
      </c>
    </row>
    <row r="946" spans="1:9">
      <c r="A946" s="22" t="str">
        <f>HYPERLINK("https://app.vivvix.com/360/KMI/IntelliDrive/ApplUI/Pages/CreativePages/CustomReportCreativeDetail.aspx?App=23&amp;ReportView=4&amp;Qid=1711245&amp;Row=938&amp;Col=1","No Title Assigned - #15266959175")</f>
        <v/>
      </c>
      <c r="B946" s="0" t="s">
        <v>1461</v>
      </c>
      <c r="C946" s="0" t="s">
        <v>1462</v>
      </c>
      <c r="D946" s="0" t="s">
        <v>1462</v>
      </c>
      <c r="E946" s="0" t="s">
        <v>13</v>
      </c>
      <c r="F946" s="0" t="s">
        <v>128</v>
      </c>
      <c r="G946" s="0" t="s">
        <v>456</v>
      </c>
      <c r="H946" s="5">
        <v>4379.226700</v>
      </c>
    </row>
    <row r="947" spans="1:9">
      <c r="A947" s="22" t="str">
        <f>HYPERLINK("https://app.vivvix.com/360/KMI/IntelliDrive/ApplUI/Pages/CreativePages/CustomReportCreativeDetail.aspx?App=23&amp;ReportView=4&amp;Qid=1711245&amp;Row=939&amp;Col=1","No Title Assigned - #15266966637")</f>
        <v/>
      </c>
      <c r="B947" s="0" t="s">
        <v>1463</v>
      </c>
      <c r="C947" s="0" t="s">
        <v>1464</v>
      </c>
      <c r="D947" s="0" t="s">
        <v>1464</v>
      </c>
      <c r="E947" s="0" t="s">
        <v>13</v>
      </c>
      <c r="F947" s="0" t="s">
        <v>14</v>
      </c>
      <c r="G947" s="0" t="s">
        <v>15</v>
      </c>
      <c r="H947" s="5">
        <v>1326.853700</v>
      </c>
    </row>
    <row r="948" spans="1:9">
      <c r="A948" s="22" t="str">
        <f>HYPERLINK("https://app.vivvix.com/360/KMI/IntelliDrive/ApplUI/Pages/CreativePages/CustomReportCreativeDetail.aspx?App=23&amp;ReportView=4&amp;Qid=1711245&amp;Row=940&amp;Col=1","No Title Assigned - #15266966943")</f>
        <v/>
      </c>
      <c r="B948" s="0" t="s">
        <v>1465</v>
      </c>
      <c r="C948" s="0" t="s">
        <v>1466</v>
      </c>
      <c r="D948" s="0" t="s">
        <v>1466</v>
      </c>
      <c r="E948" s="0" t="s">
        <v>13</v>
      </c>
      <c r="F948" s="0" t="s">
        <v>17</v>
      </c>
      <c r="G948" s="0" t="s">
        <v>446</v>
      </c>
      <c r="H948" s="5">
        <v>20.410400</v>
      </c>
    </row>
    <row r="949" spans="1:9">
      <c r="A949" s="22" t="str">
        <f>HYPERLINK("https://app.vivvix.com/360/KMI/IntelliDrive/ApplUI/Pages/CreativePages/CustomReportCreativeDetail.aspx?App=23&amp;ReportView=4&amp;Qid=1711245&amp;Row=941&amp;Col=1","No Title Assigned - #15266973797")</f>
        <v/>
      </c>
      <c r="B949" s="0" t="s">
        <v>1467</v>
      </c>
      <c r="C949" s="0" t="s">
        <v>1468</v>
      </c>
      <c r="D949" s="0" t="s">
        <v>1468</v>
      </c>
      <c r="E949" s="0" t="s">
        <v>13</v>
      </c>
      <c r="F949" s="0" t="s">
        <v>13</v>
      </c>
      <c r="G949" s="0" t="s">
        <v>121</v>
      </c>
      <c r="H949" s="5">
        <v>7626.503500</v>
      </c>
    </row>
    <row r="950" spans="1:9">
      <c r="A950" s="22" t="str">
        <f>HYPERLINK("https://app.vivvix.com/360/KMI/IntelliDrive/ApplUI/Pages/CreativePages/CustomReportCreativeDetail.aspx?App=23&amp;ReportView=4&amp;Qid=1711245&amp;Row=942&amp;Col=1","No Title Assigned - #15266974261")</f>
        <v/>
      </c>
      <c r="B950" s="0" t="s">
        <v>1469</v>
      </c>
      <c r="C950" s="0" t="s">
        <v>1470</v>
      </c>
      <c r="D950" s="0" t="s">
        <v>1470</v>
      </c>
      <c r="E950" s="0" t="s">
        <v>13</v>
      </c>
      <c r="F950" s="0" t="s">
        <v>540</v>
      </c>
      <c r="G950" s="0" t="s">
        <v>541</v>
      </c>
      <c r="H950" s="5">
        <v>3046.957200</v>
      </c>
    </row>
    <row r="951" spans="1:9">
      <c r="A951" s="22" t="str">
        <f>HYPERLINK("https://app.vivvix.com/360/KMI/IntelliDrive/ApplUI/Pages/CreativePages/CustomReportCreativeDetail.aspx?App=23&amp;ReportView=4&amp;Qid=1711245&amp;Row=943&amp;Col=1","No Title Assigned - #15266981413")</f>
        <v/>
      </c>
      <c r="B951" s="0" t="s">
        <v>1471</v>
      </c>
      <c r="E951" s="0" t="s">
        <v>13</v>
      </c>
      <c r="F951" s="0" t="s">
        <v>13</v>
      </c>
      <c r="G951" s="0" t="s">
        <v>54</v>
      </c>
      <c r="H951" s="5">
        <v>19.858800</v>
      </c>
    </row>
    <row r="952" spans="1:9">
      <c r="A952" s="22" t="str">
        <f>HYPERLINK("https://app.vivvix.com/360/KMI/IntelliDrive/ApplUI/Pages/CreativePages/CustomReportCreativeDetail.aspx?App=23&amp;ReportView=4&amp;Qid=1711245&amp;Row=944&amp;Col=1","No Title Assigned - #15266981797")</f>
        <v/>
      </c>
      <c r="B952" s="0" t="s">
        <v>1472</v>
      </c>
      <c r="E952" s="0" t="s">
        <v>13</v>
      </c>
      <c r="F952" s="0" t="s">
        <v>13</v>
      </c>
      <c r="G952" s="0" t="s">
        <v>54</v>
      </c>
      <c r="H952" s="5">
        <v>52.608700</v>
      </c>
    </row>
    <row r="953" spans="1:9">
      <c r="A953" s="22" t="str">
        <f>HYPERLINK("https://app.vivvix.com/360/KMI/IntelliDrive/ApplUI/Pages/CreativePages/CustomReportCreativeDetail.aspx?App=23&amp;ReportView=4&amp;Qid=1711245&amp;Row=945&amp;Col=1","No Title Assigned - #15267016018")</f>
        <v/>
      </c>
      <c r="B953" s="0" t="s">
        <v>1473</v>
      </c>
      <c r="E953" s="0" t="s">
        <v>13</v>
      </c>
      <c r="F953" s="0" t="s">
        <v>13</v>
      </c>
      <c r="G953" s="0" t="s">
        <v>54</v>
      </c>
      <c r="H953" s="5">
        <v>6436.718500</v>
      </c>
    </row>
    <row r="954" spans="1:9">
      <c r="A954" s="22" t="str">
        <f>HYPERLINK("https://app.vivvix.com/360/KMI/IntelliDrive/ApplUI/Pages/CreativePages/CustomReportCreativeDetail.aspx?App=23&amp;ReportView=4&amp;Qid=1711245&amp;Row=946&amp;Col=1","No Title Assigned - #15267017455")</f>
        <v/>
      </c>
      <c r="B954" s="0" t="s">
        <v>1474</v>
      </c>
      <c r="E954" s="0" t="s">
        <v>13</v>
      </c>
      <c r="F954" s="0" t="s">
        <v>13</v>
      </c>
      <c r="G954" s="0" t="s">
        <v>54</v>
      </c>
      <c r="H954" s="5">
        <v>1718.311900</v>
      </c>
    </row>
    <row r="955" spans="1:9">
      <c r="A955" s="22" t="str">
        <f>HYPERLINK("https://app.vivvix.com/360/KMI/IntelliDrive/ApplUI/Pages/CreativePages/CustomReportCreativeDetail.aspx?App=23&amp;ReportView=4&amp;Qid=1711245&amp;Row=947&amp;Col=1","No Title Assigned - #15267017501")</f>
        <v/>
      </c>
      <c r="B955" s="0" t="s">
        <v>1475</v>
      </c>
      <c r="E955" s="0" t="s">
        <v>13</v>
      </c>
      <c r="F955" s="0" t="s">
        <v>13</v>
      </c>
      <c r="G955" s="0" t="s">
        <v>54</v>
      </c>
      <c r="H955" s="5">
        <v>1366.842400</v>
      </c>
    </row>
    <row r="956" spans="1:9">
      <c r="A956" s="22" t="str">
        <f>HYPERLINK("https://app.vivvix.com/360/KMI/IntelliDrive/ApplUI/Pages/CreativePages/CustomReportCreativeDetail.aspx?App=23&amp;ReportView=4&amp;Qid=1711245&amp;Row=948&amp;Col=1","No Title Assigned - #15267027557")</f>
        <v/>
      </c>
      <c r="B956" s="0" t="s">
        <v>1476</v>
      </c>
      <c r="E956" s="0" t="s">
        <v>13</v>
      </c>
      <c r="F956" s="0" t="s">
        <v>13</v>
      </c>
      <c r="G956" s="0" t="s">
        <v>54</v>
      </c>
      <c r="H956" s="5">
        <v>17824.862700</v>
      </c>
    </row>
    <row r="957" spans="1:9">
      <c r="A957" s="22" t="str">
        <f>HYPERLINK("https://app.vivvix.com/360/KMI/IntelliDrive/ApplUI/Pages/CreativePages/CustomReportCreativeDetail.aspx?App=23&amp;ReportView=4&amp;Qid=1711245&amp;Row=949&amp;Col=1","No Title Assigned - #15267040407")</f>
        <v/>
      </c>
      <c r="B957" s="0" t="s">
        <v>1477</v>
      </c>
      <c r="C957" s="0" t="s">
        <v>1478</v>
      </c>
      <c r="D957" s="0" t="s">
        <v>1478</v>
      </c>
      <c r="E957" s="0" t="s">
        <v>13</v>
      </c>
      <c r="F957" s="0" t="s">
        <v>14</v>
      </c>
      <c r="G957" s="0" t="s">
        <v>15</v>
      </c>
      <c r="H957" s="5">
        <v>1716.915100</v>
      </c>
    </row>
    <row r="958" spans="1:9">
      <c r="A958" s="22" t="str">
        <f>HYPERLINK("https://app.vivvix.com/360/KMI/IntelliDrive/ApplUI/Pages/CreativePages/CustomReportCreativeDetail.aspx?App=23&amp;ReportView=4&amp;Qid=1711245&amp;Row=950&amp;Col=1","No Title Assigned - #15267042196")</f>
        <v/>
      </c>
      <c r="B958" s="0" t="s">
        <v>1479</v>
      </c>
      <c r="C958" s="0" t="s">
        <v>1480</v>
      </c>
      <c r="D958" s="0" t="s">
        <v>1480</v>
      </c>
      <c r="E958" s="0" t="s">
        <v>13</v>
      </c>
      <c r="F958" s="0" t="s">
        <v>540</v>
      </c>
      <c r="G958" s="0" t="s">
        <v>541</v>
      </c>
      <c r="H958" s="5">
        <v>1095.350600</v>
      </c>
    </row>
    <row r="959" spans="1:9">
      <c r="A959" s="22" t="str">
        <f>HYPERLINK("https://app.vivvix.com/360/KMI/IntelliDrive/ApplUI/Pages/CreativePages/CustomReportCreativeDetail.aspx?App=23&amp;ReportView=4&amp;Qid=1711245&amp;Row=951&amp;Col=1","No Title Assigned - #15267089441")</f>
        <v/>
      </c>
      <c r="B959" s="0" t="s">
        <v>1481</v>
      </c>
      <c r="E959" s="0" t="s">
        <v>13</v>
      </c>
      <c r="F959" s="0" t="s">
        <v>13</v>
      </c>
      <c r="G959" s="0" t="s">
        <v>54</v>
      </c>
      <c r="H959" s="5">
        <v>39.717600</v>
      </c>
    </row>
    <row r="960" spans="1:9">
      <c r="A960" s="22" t="str">
        <f>HYPERLINK("https://app.vivvix.com/360/KMI/IntelliDrive/ApplUI/Pages/CreativePages/CustomReportCreativeDetail.aspx?App=23&amp;ReportView=4&amp;Qid=1711245&amp;Row=952&amp;Col=1","No Title Assigned - #15267089467")</f>
        <v/>
      </c>
      <c r="B960" s="0" t="s">
        <v>1482</v>
      </c>
      <c r="E960" s="0" t="s">
        <v>13</v>
      </c>
      <c r="F960" s="0" t="s">
        <v>13</v>
      </c>
      <c r="G960" s="0" t="s">
        <v>54</v>
      </c>
      <c r="H960" s="5">
        <v>19.858800</v>
      </c>
    </row>
    <row r="961" spans="1:9">
      <c r="A961" s="22" t="str">
        <f>HYPERLINK("https://app.vivvix.com/360/KMI/IntelliDrive/ApplUI/Pages/CreativePages/CustomReportCreativeDetail.aspx?App=23&amp;ReportView=4&amp;Qid=1711245&amp;Row=953&amp;Col=1","No Title Assigned - #15267089552")</f>
        <v/>
      </c>
      <c r="B961" s="0" t="s">
        <v>1483</v>
      </c>
      <c r="C961" s="0" t="s">
        <v>1484</v>
      </c>
      <c r="D961" s="0" t="s">
        <v>1484</v>
      </c>
      <c r="E961" s="0" t="s">
        <v>13</v>
      </c>
      <c r="F961" s="0" t="s">
        <v>13</v>
      </c>
      <c r="G961" s="0" t="s">
        <v>54</v>
      </c>
      <c r="H961" s="5">
        <v>11789.208700</v>
      </c>
    </row>
    <row r="962" spans="1:9">
      <c r="A962" s="22" t="str">
        <f>HYPERLINK("https://app.vivvix.com/360/KMI/IntelliDrive/ApplUI/Pages/CreativePages/CustomReportCreativeDetail.aspx?App=23&amp;ReportView=4&amp;Qid=1711245&amp;Row=954&amp;Col=1","No Title Assigned - #15267089799")</f>
        <v/>
      </c>
      <c r="B962" s="0" t="s">
        <v>1485</v>
      </c>
      <c r="E962" s="0" t="s">
        <v>13</v>
      </c>
      <c r="F962" s="0" t="s">
        <v>13</v>
      </c>
      <c r="G962" s="0" t="s">
        <v>54</v>
      </c>
      <c r="H962" s="5">
        <v>39.717600</v>
      </c>
    </row>
    <row r="963" spans="1:9">
      <c r="A963" s="22" t="str">
        <f>HYPERLINK("https://app.vivvix.com/360/KMI/IntelliDrive/ApplUI/Pages/CreativePages/CustomReportCreativeDetail.aspx?App=23&amp;ReportView=4&amp;Qid=1711245&amp;Row=955&amp;Col=1","No Title Assigned - #15267090553")</f>
        <v/>
      </c>
      <c r="B963" s="0" t="s">
        <v>1486</v>
      </c>
      <c r="E963" s="0" t="s">
        <v>13</v>
      </c>
      <c r="F963" s="0" t="s">
        <v>13</v>
      </c>
      <c r="G963" s="0" t="s">
        <v>54</v>
      </c>
      <c r="H963" s="5">
        <v>19.858800</v>
      </c>
    </row>
    <row r="964" spans="1:9">
      <c r="A964" s="22" t="str">
        <f>HYPERLINK("https://app.vivvix.com/360/KMI/IntelliDrive/ApplUI/Pages/CreativePages/CustomReportCreativeDetail.aspx?App=23&amp;ReportView=4&amp;Qid=1711245&amp;Row=956&amp;Col=1","No Title Assigned - #15267108418")</f>
        <v/>
      </c>
      <c r="B964" s="0" t="s">
        <v>1487</v>
      </c>
      <c r="C964" s="0" t="s">
        <v>1488</v>
      </c>
      <c r="D964" s="0" t="s">
        <v>1488</v>
      </c>
      <c r="E964" s="0" t="s">
        <v>13</v>
      </c>
      <c r="F964" s="0" t="s">
        <v>540</v>
      </c>
      <c r="G964" s="0" t="s">
        <v>541</v>
      </c>
      <c r="H964" s="5">
        <v>22.617000</v>
      </c>
    </row>
    <row r="965" spans="1:9">
      <c r="A965" s="22" t="str">
        <f>HYPERLINK("https://app.vivvix.com/360/KMI/IntelliDrive/ApplUI/Pages/CreativePages/CustomReportCreativeDetail.aspx?App=23&amp;ReportView=4&amp;Qid=1711245&amp;Row=957&amp;Col=1","No Title Assigned - #15267143328")</f>
        <v/>
      </c>
      <c r="B965" s="0" t="s">
        <v>1489</v>
      </c>
      <c r="C965" s="0" t="s">
        <v>1490</v>
      </c>
      <c r="D965" s="0" t="s">
        <v>1490</v>
      </c>
      <c r="E965" s="0" t="s">
        <v>13</v>
      </c>
      <c r="F965" s="0" t="s">
        <v>128</v>
      </c>
      <c r="G965" s="0" t="s">
        <v>456</v>
      </c>
      <c r="H965" s="5">
        <v>12278.400400</v>
      </c>
    </row>
    <row r="966" spans="1:9">
      <c r="A966" s="22" t="str">
        <f>HYPERLINK("https://app.vivvix.com/360/KMI/IntelliDrive/ApplUI/Pages/CreativePages/CustomReportCreativeDetail.aspx?App=23&amp;ReportView=4&amp;Qid=1711245&amp;Row=958&amp;Col=1","No Title Assigned - #15267150026")</f>
        <v/>
      </c>
      <c r="B966" s="0" t="s">
        <v>1491</v>
      </c>
      <c r="C966" s="0" t="s">
        <v>1492</v>
      </c>
      <c r="D966" s="0" t="s">
        <v>1492</v>
      </c>
      <c r="E966" s="0" t="s">
        <v>13</v>
      </c>
      <c r="F966" s="0" t="s">
        <v>128</v>
      </c>
      <c r="G966" s="0" t="s">
        <v>456</v>
      </c>
      <c r="H966" s="5">
        <v>1476.345000</v>
      </c>
    </row>
    <row r="967" spans="1:9">
      <c r="A967" s="22" t="str">
        <f>HYPERLINK("https://app.vivvix.com/360/KMI/IntelliDrive/ApplUI/Pages/CreativePages/CustomReportCreativeDetail.aspx?App=23&amp;ReportView=4&amp;Qid=1711245&amp;Row=959&amp;Col=1","No Title Assigned - #15267150691")</f>
        <v/>
      </c>
      <c r="B967" s="0" t="s">
        <v>1493</v>
      </c>
      <c r="C967" s="0" t="s">
        <v>1494</v>
      </c>
      <c r="D967" s="0" t="s">
        <v>1494</v>
      </c>
      <c r="E967" s="0" t="s">
        <v>13</v>
      </c>
      <c r="F967" s="0" t="s">
        <v>28</v>
      </c>
      <c r="G967" s="0" t="s">
        <v>453</v>
      </c>
      <c r="H967" s="5">
        <v>980.652400</v>
      </c>
    </row>
    <row r="968" spans="1:9">
      <c r="A968" s="22" t="str">
        <f>HYPERLINK("https://app.vivvix.com/360/KMI/IntelliDrive/ApplUI/Pages/CreativePages/CustomReportCreativeDetail.aspx?App=23&amp;ReportView=4&amp;Qid=1711245&amp;Row=960&amp;Col=1","No Title Assigned - #15267156419")</f>
        <v/>
      </c>
      <c r="B968" s="0" t="s">
        <v>1495</v>
      </c>
      <c r="E968" s="0" t="s">
        <v>13</v>
      </c>
      <c r="F968" s="0" t="s">
        <v>13</v>
      </c>
      <c r="G968" s="0" t="s">
        <v>54</v>
      </c>
      <c r="H968" s="5">
        <v>1002.883800</v>
      </c>
    </row>
    <row r="969" spans="1:9">
      <c r="A969" s="22" t="str">
        <f>HYPERLINK("https://app.vivvix.com/360/KMI/IntelliDrive/ApplUI/Pages/CreativePages/CustomReportCreativeDetail.aspx?App=23&amp;ReportView=4&amp;Qid=1711245&amp;Row=961&amp;Col=1","No Title Assigned - #15267157223")</f>
        <v/>
      </c>
      <c r="B969" s="0" t="s">
        <v>1496</v>
      </c>
      <c r="C969" s="0" t="s">
        <v>1497</v>
      </c>
      <c r="D969" s="0" t="s">
        <v>1497</v>
      </c>
      <c r="E969" s="0" t="s">
        <v>13</v>
      </c>
      <c r="F969" s="0" t="s">
        <v>530</v>
      </c>
      <c r="G969" s="0" t="s">
        <v>531</v>
      </c>
      <c r="H969" s="5">
        <v>2861.911800</v>
      </c>
    </row>
    <row r="970" spans="1:9">
      <c r="A970" s="22" t="str">
        <f>HYPERLINK("https://app.vivvix.com/360/KMI/IntelliDrive/ApplUI/Pages/CreativePages/CustomReportCreativeDetail.aspx?App=23&amp;ReportView=4&amp;Qid=1711245&amp;Row=962&amp;Col=1","No Title Assigned - #15267157266")</f>
        <v/>
      </c>
      <c r="B970" s="0" t="s">
        <v>1498</v>
      </c>
      <c r="C970" s="0" t="s">
        <v>1499</v>
      </c>
      <c r="D970" s="0" t="s">
        <v>1499</v>
      </c>
      <c r="E970" s="0" t="s">
        <v>13</v>
      </c>
      <c r="F970" s="0" t="s">
        <v>530</v>
      </c>
      <c r="G970" s="0" t="s">
        <v>531</v>
      </c>
      <c r="H970" s="5">
        <v>16227.978000</v>
      </c>
    </row>
    <row r="971" spans="1:9">
      <c r="A971" s="22" t="str">
        <f>HYPERLINK("https://app.vivvix.com/360/KMI/IntelliDrive/ApplUI/Pages/CreativePages/CustomReportCreativeDetail.aspx?App=23&amp;ReportView=4&amp;Qid=1711245&amp;Row=963&amp;Col=1","No Title Assigned - #15267221994")</f>
        <v/>
      </c>
      <c r="B971" s="0" t="s">
        <v>1500</v>
      </c>
      <c r="C971" s="0" t="s">
        <v>1501</v>
      </c>
      <c r="D971" s="0" t="s">
        <v>1501</v>
      </c>
      <c r="E971" s="0" t="s">
        <v>13</v>
      </c>
      <c r="F971" s="0" t="s">
        <v>14</v>
      </c>
      <c r="G971" s="0" t="s">
        <v>15</v>
      </c>
      <c r="H971" s="5">
        <v>37.483900</v>
      </c>
    </row>
    <row r="972" spans="1:9">
      <c r="A972" s="22" t="str">
        <f>HYPERLINK("https://app.vivvix.com/360/KMI/IntelliDrive/ApplUI/Pages/CreativePages/CustomReportCreativeDetail.aspx?App=23&amp;ReportView=4&amp;Qid=1711245&amp;Row=964&amp;Col=1","No Title Assigned - #15267222005")</f>
        <v/>
      </c>
      <c r="B972" s="0" t="s">
        <v>1502</v>
      </c>
      <c r="C972" s="0" t="s">
        <v>1503</v>
      </c>
      <c r="D972" s="0" t="s">
        <v>1503</v>
      </c>
      <c r="E972" s="0" t="s">
        <v>13</v>
      </c>
      <c r="F972" s="0" t="s">
        <v>17</v>
      </c>
      <c r="G972" s="0" t="s">
        <v>446</v>
      </c>
      <c r="H972" s="5">
        <v>20.410400</v>
      </c>
    </row>
    <row r="973" spans="1:9">
      <c r="A973" s="22" t="str">
        <f>HYPERLINK("https://app.vivvix.com/360/KMI/IntelliDrive/ApplUI/Pages/CreativePages/CustomReportCreativeDetail.aspx?App=23&amp;ReportView=4&amp;Qid=1711245&amp;Row=965&amp;Col=1","No Title Assigned - #15267227908")</f>
        <v/>
      </c>
      <c r="B973" s="0" t="s">
        <v>1504</v>
      </c>
      <c r="E973" s="0" t="s">
        <v>13</v>
      </c>
      <c r="F973" s="0" t="s">
        <v>13</v>
      </c>
      <c r="G973" s="0" t="s">
        <v>54</v>
      </c>
      <c r="H973" s="5">
        <v>771.852100</v>
      </c>
    </row>
    <row r="974" spans="1:9">
      <c r="A974" s="22" t="str">
        <f>HYPERLINK("https://app.vivvix.com/360/KMI/IntelliDrive/ApplUI/Pages/CreativePages/CustomReportCreativeDetail.aspx?App=23&amp;ReportView=4&amp;Qid=1711245&amp;Row=966&amp;Col=1","No Title Assigned - #15267234331")</f>
        <v/>
      </c>
      <c r="B974" s="0" t="s">
        <v>1505</v>
      </c>
      <c r="C974" s="0" t="s">
        <v>1506</v>
      </c>
      <c r="D974" s="0" t="s">
        <v>1506</v>
      </c>
      <c r="E974" s="0" t="s">
        <v>13</v>
      </c>
      <c r="F974" s="0" t="s">
        <v>28</v>
      </c>
      <c r="G974" s="0" t="s">
        <v>453</v>
      </c>
      <c r="H974" s="5">
        <v>66081.304600</v>
      </c>
    </row>
    <row r="975" spans="1:9">
      <c r="A975" s="22" t="str">
        <f>HYPERLINK("https://app.vivvix.com/360/KMI/IntelliDrive/ApplUI/Pages/CreativePages/CustomReportCreativeDetail.aspx?App=23&amp;ReportView=4&amp;Qid=1711245&amp;Row=967&amp;Col=1","No Title Assigned - #15267240961")</f>
        <v/>
      </c>
      <c r="B975" s="0" t="s">
        <v>1507</v>
      </c>
      <c r="E975" s="0" t="s">
        <v>13</v>
      </c>
      <c r="F975" s="0" t="s">
        <v>13</v>
      </c>
      <c r="G975" s="0" t="s">
        <v>54</v>
      </c>
      <c r="H975" s="5">
        <v>1793.158400</v>
      </c>
    </row>
    <row r="976" spans="1:9">
      <c r="A976" s="22" t="str">
        <f>HYPERLINK("https://app.vivvix.com/360/KMI/IntelliDrive/ApplUI/Pages/CreativePages/CustomReportCreativeDetail.aspx?App=23&amp;ReportView=4&amp;Qid=1711245&amp;Row=968&amp;Col=1","No Title Assigned - #15267240962")</f>
        <v/>
      </c>
      <c r="B976" s="0" t="s">
        <v>1508</v>
      </c>
      <c r="C976" s="0" t="s">
        <v>1509</v>
      </c>
      <c r="D976" s="0" t="s">
        <v>1509</v>
      </c>
      <c r="E976" s="0" t="s">
        <v>13</v>
      </c>
      <c r="F976" s="0" t="s">
        <v>28</v>
      </c>
      <c r="G976" s="0" t="s">
        <v>453</v>
      </c>
      <c r="H976" s="5">
        <v>2011.524500</v>
      </c>
    </row>
    <row r="977" spans="1:9">
      <c r="A977" s="22" t="str">
        <f>HYPERLINK("https://app.vivvix.com/360/KMI/IntelliDrive/ApplUI/Pages/CreativePages/CustomReportCreativeDetail.aspx?App=23&amp;ReportView=4&amp;Qid=1711245&amp;Row=969&amp;Col=1","No Title Assigned - #15267274798")</f>
        <v/>
      </c>
      <c r="B977" s="0" t="s">
        <v>1510</v>
      </c>
      <c r="C977" s="0" t="s">
        <v>1511</v>
      </c>
      <c r="D977" s="0" t="s">
        <v>1511</v>
      </c>
      <c r="E977" s="0" t="s">
        <v>13</v>
      </c>
      <c r="F977" s="0" t="s">
        <v>530</v>
      </c>
      <c r="G977" s="0" t="s">
        <v>531</v>
      </c>
      <c r="H977" s="5">
        <v>51250.360100</v>
      </c>
    </row>
    <row r="978" spans="1:9">
      <c r="A978" s="22" t="str">
        <f>HYPERLINK("https://app.vivvix.com/360/KMI/IntelliDrive/ApplUI/Pages/CreativePages/CustomReportCreativeDetail.aspx?App=23&amp;ReportView=4&amp;Qid=1711245&amp;Row=970&amp;Col=1","No Title Assigned - #15267274987")</f>
        <v/>
      </c>
      <c r="B978" s="0" t="s">
        <v>1512</v>
      </c>
      <c r="C978" s="0" t="s">
        <v>1513</v>
      </c>
      <c r="D978" s="0" t="s">
        <v>1513</v>
      </c>
      <c r="E978" s="0" t="s">
        <v>13</v>
      </c>
      <c r="F978" s="0" t="s">
        <v>530</v>
      </c>
      <c r="G978" s="0" t="s">
        <v>531</v>
      </c>
      <c r="H978" s="5">
        <v>6432.836600</v>
      </c>
    </row>
    <row r="979" spans="1:9">
      <c r="A979" s="22" t="str">
        <f>HYPERLINK("https://app.vivvix.com/360/KMI/IntelliDrive/ApplUI/Pages/CreativePages/CustomReportCreativeDetail.aspx?App=23&amp;ReportView=4&amp;Qid=1711245&amp;Row=971&amp;Col=1","No Title Assigned - #15267275008")</f>
        <v/>
      </c>
      <c r="B979" s="0" t="s">
        <v>1514</v>
      </c>
      <c r="C979" s="0" t="s">
        <v>1515</v>
      </c>
      <c r="D979" s="0" t="s">
        <v>1515</v>
      </c>
      <c r="E979" s="0" t="s">
        <v>13</v>
      </c>
      <c r="F979" s="0" t="s">
        <v>530</v>
      </c>
      <c r="G979" s="0" t="s">
        <v>531</v>
      </c>
      <c r="H979" s="5">
        <v>224.467000</v>
      </c>
    </row>
    <row r="980" spans="1:9">
      <c r="A980" s="22" t="str">
        <f>HYPERLINK("https://app.vivvix.com/360/KMI/IntelliDrive/ApplUI/Pages/CreativePages/CustomReportCreativeDetail.aspx?App=23&amp;ReportView=4&amp;Qid=1711245&amp;Row=972&amp;Col=1","No Title Assigned - #15267278181")</f>
        <v/>
      </c>
      <c r="B980" s="0" t="s">
        <v>1516</v>
      </c>
      <c r="E980" s="0" t="s">
        <v>13</v>
      </c>
      <c r="F980" s="0" t="s">
        <v>13</v>
      </c>
      <c r="G980" s="0" t="s">
        <v>54</v>
      </c>
      <c r="H980" s="5">
        <v>626.030900</v>
      </c>
    </row>
    <row r="981" spans="1:9">
      <c r="A981" s="22" t="str">
        <f>HYPERLINK("https://app.vivvix.com/360/KMI/IntelliDrive/ApplUI/Pages/CreativePages/CustomReportCreativeDetail.aspx?App=23&amp;ReportView=4&amp;Qid=1711245&amp;Row=973&amp;Col=1","No Title Assigned - #15267282918")</f>
        <v/>
      </c>
      <c r="B981" s="0" t="s">
        <v>1517</v>
      </c>
      <c r="E981" s="0" t="s">
        <v>13</v>
      </c>
      <c r="F981" s="0" t="s">
        <v>13</v>
      </c>
      <c r="G981" s="0" t="s">
        <v>54</v>
      </c>
      <c r="H981" s="5">
        <v>1067.464300</v>
      </c>
    </row>
    <row r="982" spans="1:9">
      <c r="A982" s="22" t="str">
        <f>HYPERLINK("https://app.vivvix.com/360/KMI/IntelliDrive/ApplUI/Pages/CreativePages/CustomReportCreativeDetail.aspx?App=23&amp;ReportView=4&amp;Qid=1711245&amp;Row=974&amp;Col=1","No Title Assigned - #15267283353")</f>
        <v/>
      </c>
      <c r="B982" s="0" t="s">
        <v>1518</v>
      </c>
      <c r="C982" s="0" t="s">
        <v>1519</v>
      </c>
      <c r="D982" s="0" t="s">
        <v>1323</v>
      </c>
      <c r="E982" s="0" t="s">
        <v>13</v>
      </c>
      <c r="F982" s="0" t="s">
        <v>14</v>
      </c>
      <c r="G982" s="0" t="s">
        <v>15</v>
      </c>
      <c r="H982" s="5">
        <v>18272.738800</v>
      </c>
    </row>
    <row r="983" spans="1:9">
      <c r="A983" s="22" t="str">
        <f>HYPERLINK("https://app.vivvix.com/360/KMI/IntelliDrive/ApplUI/Pages/CreativePages/CustomReportCreativeDetail.aspx?App=23&amp;ReportView=4&amp;Qid=1711245&amp;Row=975&amp;Col=1","No Title Assigned - #15267288016")</f>
        <v/>
      </c>
      <c r="B983" s="0" t="s">
        <v>1520</v>
      </c>
      <c r="C983" s="0" t="s">
        <v>1521</v>
      </c>
      <c r="D983" s="0" t="s">
        <v>1521</v>
      </c>
      <c r="E983" s="0" t="s">
        <v>13</v>
      </c>
      <c r="F983" s="0" t="s">
        <v>540</v>
      </c>
      <c r="G983" s="0" t="s">
        <v>541</v>
      </c>
      <c r="H983" s="5">
        <v>1241.048900</v>
      </c>
    </row>
    <row r="984" spans="1:9">
      <c r="A984" s="22" t="str">
        <f>HYPERLINK("https://app.vivvix.com/360/KMI/IntelliDrive/ApplUI/Pages/CreativePages/CustomReportCreativeDetail.aspx?App=23&amp;ReportView=4&amp;Qid=1711245&amp;Row=976&amp;Col=1","No Title Assigned - #15267299061")</f>
        <v/>
      </c>
      <c r="B984" s="0" t="s">
        <v>1522</v>
      </c>
      <c r="C984" s="0" t="s">
        <v>1523</v>
      </c>
      <c r="D984" s="0" t="s">
        <v>1523</v>
      </c>
      <c r="E984" s="0" t="s">
        <v>13</v>
      </c>
      <c r="F984" s="0" t="s">
        <v>17</v>
      </c>
      <c r="G984" s="0" t="s">
        <v>446</v>
      </c>
      <c r="H984" s="5">
        <v>265.147500</v>
      </c>
    </row>
    <row r="985" spans="1:9">
      <c r="A985" s="22" t="str">
        <f>HYPERLINK("https://app.vivvix.com/360/KMI/IntelliDrive/ApplUI/Pages/CreativePages/CustomReportCreativeDetail.aspx?App=23&amp;ReportView=4&amp;Qid=1711245&amp;Row=977&amp;Col=1","No Title Assigned - #15267340911")</f>
        <v/>
      </c>
      <c r="B985" s="0" t="s">
        <v>1524</v>
      </c>
      <c r="C985" s="0" t="s">
        <v>1525</v>
      </c>
      <c r="D985" s="0" t="s">
        <v>1525</v>
      </c>
      <c r="E985" s="0" t="s">
        <v>13</v>
      </c>
      <c r="F985" s="0" t="s">
        <v>540</v>
      </c>
      <c r="G985" s="0" t="s">
        <v>541</v>
      </c>
      <c r="H985" s="5">
        <v>40.744900</v>
      </c>
    </row>
    <row r="986" spans="1:9">
      <c r="A986" s="22" t="str">
        <f>HYPERLINK("https://app.vivvix.com/360/KMI/IntelliDrive/ApplUI/Pages/CreativePages/CustomReportCreativeDetail.aspx?App=23&amp;ReportView=4&amp;Qid=1711245&amp;Row=978&amp;Col=1","No Title Assigned - #15267395415")</f>
        <v/>
      </c>
      <c r="B986" s="0" t="s">
        <v>1526</v>
      </c>
      <c r="E986" s="0" t="s">
        <v>13</v>
      </c>
      <c r="F986" s="0" t="s">
        <v>13</v>
      </c>
      <c r="G986" s="0" t="s">
        <v>54</v>
      </c>
      <c r="H986" s="5">
        <v>5025.381800</v>
      </c>
    </row>
    <row r="987" spans="1:9">
      <c r="A987" s="22" t="str">
        <f>HYPERLINK("https://app.vivvix.com/360/KMI/IntelliDrive/ApplUI/Pages/CreativePages/CustomReportCreativeDetail.aspx?App=23&amp;ReportView=4&amp;Qid=1711245&amp;Row=979&amp;Col=1","No Title Assigned - #15267406307")</f>
        <v/>
      </c>
      <c r="B987" s="0" t="s">
        <v>1527</v>
      </c>
      <c r="C987" s="0" t="s">
        <v>1528</v>
      </c>
      <c r="D987" s="0" t="s">
        <v>1528</v>
      </c>
      <c r="E987" s="0" t="s">
        <v>13</v>
      </c>
      <c r="F987" s="0" t="s">
        <v>530</v>
      </c>
      <c r="G987" s="0" t="s">
        <v>531</v>
      </c>
      <c r="H987" s="5">
        <v>12037.275400</v>
      </c>
    </row>
    <row r="988" spans="1:9">
      <c r="A988" s="22" t="str">
        <f>HYPERLINK("https://app.vivvix.com/360/KMI/IntelliDrive/ApplUI/Pages/CreativePages/CustomReportCreativeDetail.aspx?App=23&amp;ReportView=4&amp;Qid=1711245&amp;Row=980&amp;Col=1","No Title Assigned - #15267456356")</f>
        <v/>
      </c>
      <c r="B988" s="0" t="s">
        <v>1529</v>
      </c>
      <c r="C988" s="0" t="s">
        <v>1530</v>
      </c>
      <c r="D988" s="0" t="s">
        <v>1530</v>
      </c>
      <c r="E988" s="0" t="s">
        <v>13</v>
      </c>
      <c r="F988" s="0" t="s">
        <v>13</v>
      </c>
      <c r="G988" s="0" t="s">
        <v>54</v>
      </c>
      <c r="H988" s="5">
        <v>2463.413900</v>
      </c>
    </row>
    <row r="989" spans="1:9">
      <c r="A989" s="22" t="str">
        <f>HYPERLINK("https://app.vivvix.com/360/KMI/IntelliDrive/ApplUI/Pages/CreativePages/CustomReportCreativeDetail.aspx?App=23&amp;ReportView=4&amp;Qid=1711245&amp;Row=981&amp;Col=1","No Title Assigned - #15267459839")</f>
        <v/>
      </c>
      <c r="B989" s="0" t="s">
        <v>1531</v>
      </c>
      <c r="E989" s="0" t="s">
        <v>13</v>
      </c>
      <c r="F989" s="0" t="s">
        <v>13</v>
      </c>
      <c r="G989" s="0" t="s">
        <v>54</v>
      </c>
      <c r="H989" s="5">
        <v>3511.775700</v>
      </c>
    </row>
    <row r="990" spans="1:9">
      <c r="A990" s="22" t="str">
        <f>HYPERLINK("https://app.vivvix.com/360/KMI/IntelliDrive/ApplUI/Pages/CreativePages/CustomReportCreativeDetail.aspx?App=23&amp;ReportView=4&amp;Qid=1711245&amp;Row=982&amp;Col=1","No Title Assigned - #15267460026")</f>
        <v/>
      </c>
      <c r="B990" s="0" t="s">
        <v>1532</v>
      </c>
      <c r="E990" s="0" t="s">
        <v>13</v>
      </c>
      <c r="F990" s="0" t="s">
        <v>13</v>
      </c>
      <c r="G990" s="0" t="s">
        <v>54</v>
      </c>
      <c r="H990" s="5">
        <v>11625.155800</v>
      </c>
    </row>
    <row r="991" spans="1:9">
      <c r="A991" s="22" t="str">
        <f>HYPERLINK("https://app.vivvix.com/360/KMI/IntelliDrive/ApplUI/Pages/CreativePages/CustomReportCreativeDetail.aspx?App=23&amp;ReportView=4&amp;Qid=1711245&amp;Row=983&amp;Col=1","No Title Assigned - #15267460030")</f>
        <v/>
      </c>
      <c r="B991" s="0" t="s">
        <v>1533</v>
      </c>
      <c r="E991" s="0" t="s">
        <v>13</v>
      </c>
      <c r="F991" s="0" t="s">
        <v>13</v>
      </c>
      <c r="G991" s="0" t="s">
        <v>54</v>
      </c>
      <c r="H991" s="5">
        <v>647.927500</v>
      </c>
    </row>
    <row r="992" spans="1:9">
      <c r="A992" s="22" t="str">
        <f>HYPERLINK("https://app.vivvix.com/360/KMI/IntelliDrive/ApplUI/Pages/CreativePages/CustomReportCreativeDetail.aspx?App=23&amp;ReportView=4&amp;Qid=1711245&amp;Row=984&amp;Col=1","No Title Assigned - #15267460090")</f>
        <v/>
      </c>
      <c r="B992" s="0" t="s">
        <v>1534</v>
      </c>
      <c r="E992" s="0" t="s">
        <v>13</v>
      </c>
      <c r="F992" s="0" t="s">
        <v>13</v>
      </c>
      <c r="G992" s="0" t="s">
        <v>54</v>
      </c>
      <c r="H992" s="5">
        <v>3442.235800</v>
      </c>
    </row>
    <row r="993" spans="1:9">
      <c r="A993" s="22" t="str">
        <f>HYPERLINK("https://app.vivvix.com/360/KMI/IntelliDrive/ApplUI/Pages/CreativePages/CustomReportCreativeDetail.aspx?App=23&amp;ReportView=4&amp;Qid=1711245&amp;Row=985&amp;Col=1","No Title Assigned - #15267460095")</f>
        <v/>
      </c>
      <c r="B993" s="0" t="s">
        <v>1535</v>
      </c>
      <c r="E993" s="0" t="s">
        <v>13</v>
      </c>
      <c r="F993" s="0" t="s">
        <v>13</v>
      </c>
      <c r="G993" s="0" t="s">
        <v>54</v>
      </c>
      <c r="H993" s="5">
        <v>3577.564500</v>
      </c>
    </row>
    <row r="994" spans="1:9">
      <c r="A994" s="22" t="str">
        <f>HYPERLINK("https://app.vivvix.com/360/KMI/IntelliDrive/ApplUI/Pages/CreativePages/CustomReportCreativeDetail.aspx?App=23&amp;ReportView=4&amp;Qid=1711245&amp;Row=986&amp;Col=1","No Title Assigned - #15267460119")</f>
        <v/>
      </c>
      <c r="B994" s="0" t="s">
        <v>1536</v>
      </c>
      <c r="E994" s="0" t="s">
        <v>13</v>
      </c>
      <c r="F994" s="0" t="s">
        <v>13</v>
      </c>
      <c r="G994" s="0" t="s">
        <v>54</v>
      </c>
      <c r="H994" s="5">
        <v>4650.248900</v>
      </c>
    </row>
    <row r="995" spans="1:9">
      <c r="A995" s="22" t="str">
        <f>HYPERLINK("https://app.vivvix.com/360/KMI/IntelliDrive/ApplUI/Pages/CreativePages/CustomReportCreativeDetail.aspx?App=23&amp;ReportView=4&amp;Qid=1711245&amp;Row=987&amp;Col=1","No Title Assigned - #15267461485")</f>
        <v/>
      </c>
      <c r="B995" s="0" t="s">
        <v>1537</v>
      </c>
      <c r="E995" s="0" t="s">
        <v>13</v>
      </c>
      <c r="F995" s="0" t="s">
        <v>13</v>
      </c>
      <c r="G995" s="0" t="s">
        <v>54</v>
      </c>
      <c r="H995" s="5">
        <v>949.916800</v>
      </c>
    </row>
    <row r="996" spans="1:9">
      <c r="A996" s="22" t="str">
        <f>HYPERLINK("https://app.vivvix.com/360/KMI/IntelliDrive/ApplUI/Pages/CreativePages/CustomReportCreativeDetail.aspx?App=23&amp;ReportView=4&amp;Qid=1711245&amp;Row=988&amp;Col=1","No Title Assigned - #15267461779")</f>
        <v/>
      </c>
      <c r="B996" s="0" t="s">
        <v>1538</v>
      </c>
      <c r="E996" s="0" t="s">
        <v>13</v>
      </c>
      <c r="F996" s="0" t="s">
        <v>13</v>
      </c>
      <c r="G996" s="0" t="s">
        <v>54</v>
      </c>
      <c r="H996" s="5">
        <v>866.902000</v>
      </c>
    </row>
    <row r="997" spans="1:9">
      <c r="A997" s="22" t="str">
        <f>HYPERLINK("https://app.vivvix.com/360/KMI/IntelliDrive/ApplUI/Pages/CreativePages/CustomReportCreativeDetail.aspx?App=23&amp;ReportView=4&amp;Qid=1711245&amp;Row=989&amp;Col=1","No Title Assigned - #15267461812")</f>
        <v/>
      </c>
      <c r="B997" s="0" t="s">
        <v>1539</v>
      </c>
      <c r="E997" s="0" t="s">
        <v>13</v>
      </c>
      <c r="F997" s="0" t="s">
        <v>13</v>
      </c>
      <c r="G997" s="0" t="s">
        <v>54</v>
      </c>
      <c r="H997" s="5">
        <v>5815.146000</v>
      </c>
    </row>
    <row r="998" spans="1:9">
      <c r="A998" s="22" t="str">
        <f>HYPERLINK("https://app.vivvix.com/360/KMI/IntelliDrive/ApplUI/Pages/CreativePages/CustomReportCreativeDetail.aspx?App=23&amp;ReportView=4&amp;Qid=1711245&amp;Row=990&amp;Col=1","No Title Assigned - #15267462452")</f>
        <v/>
      </c>
      <c r="B998" s="0" t="s">
        <v>1540</v>
      </c>
      <c r="E998" s="0" t="s">
        <v>13</v>
      </c>
      <c r="F998" s="0" t="s">
        <v>13</v>
      </c>
      <c r="G998" s="0" t="s">
        <v>54</v>
      </c>
      <c r="H998" s="5">
        <v>46.783500</v>
      </c>
    </row>
    <row r="999" spans="1:9">
      <c r="A999" s="22" t="str">
        <f>HYPERLINK("https://app.vivvix.com/360/KMI/IntelliDrive/ApplUI/Pages/CreativePages/CustomReportCreativeDetail.aspx?App=23&amp;ReportView=4&amp;Qid=1711245&amp;Row=991&amp;Col=1","No Title Assigned - #15267462463")</f>
        <v/>
      </c>
      <c r="B999" s="0" t="s">
        <v>1541</v>
      </c>
      <c r="C999" s="0" t="s">
        <v>1542</v>
      </c>
      <c r="D999" s="0" t="s">
        <v>1542</v>
      </c>
      <c r="E999" s="0" t="s">
        <v>13</v>
      </c>
      <c r="F999" s="0" t="s">
        <v>13</v>
      </c>
      <c r="G999" s="0" t="s">
        <v>54</v>
      </c>
      <c r="H999" s="5">
        <v>283.528000</v>
      </c>
    </row>
    <row r="1000" spans="1:9">
      <c r="A1000" s="22" t="str">
        <f>HYPERLINK("https://app.vivvix.com/360/KMI/IntelliDrive/ApplUI/Pages/CreativePages/CustomReportCreativeDetail.aspx?App=23&amp;ReportView=4&amp;Qid=1711245&amp;Row=992&amp;Col=1","No Title Assigned - #15267466745")</f>
        <v/>
      </c>
      <c r="B1000" s="0" t="s">
        <v>1543</v>
      </c>
      <c r="E1000" s="0" t="s">
        <v>13</v>
      </c>
      <c r="F1000" s="0" t="s">
        <v>13</v>
      </c>
      <c r="G1000" s="0" t="s">
        <v>54</v>
      </c>
      <c r="H1000" s="5">
        <v>1015.137000</v>
      </c>
    </row>
    <row r="1001" spans="1:9">
      <c r="A1001" s="22" t="str">
        <f>HYPERLINK("https://app.vivvix.com/360/KMI/IntelliDrive/ApplUI/Pages/CreativePages/CustomReportCreativeDetail.aspx?App=23&amp;ReportView=4&amp;Qid=1711245&amp;Row=993&amp;Col=1","No Title Assigned - #15267466798")</f>
        <v/>
      </c>
      <c r="B1001" s="0" t="s">
        <v>1544</v>
      </c>
      <c r="E1001" s="0" t="s">
        <v>13</v>
      </c>
      <c r="F1001" s="0" t="s">
        <v>13</v>
      </c>
      <c r="G1001" s="0" t="s">
        <v>54</v>
      </c>
      <c r="H1001" s="5">
        <v>92.710300</v>
      </c>
    </row>
    <row r="1002" spans="1:9">
      <c r="A1002" s="22" t="str">
        <f>HYPERLINK("https://app.vivvix.com/360/KMI/IntelliDrive/ApplUI/Pages/CreativePages/CustomReportCreativeDetail.aspx?App=23&amp;ReportView=4&amp;Qid=1711245&amp;Row=994&amp;Col=1","No Title Assigned - #15267467158")</f>
        <v/>
      </c>
      <c r="B1002" s="0" t="s">
        <v>1545</v>
      </c>
      <c r="E1002" s="0" t="s">
        <v>13</v>
      </c>
      <c r="F1002" s="0" t="s">
        <v>13</v>
      </c>
      <c r="G1002" s="0" t="s">
        <v>54</v>
      </c>
      <c r="H1002" s="5">
        <v>189.343800</v>
      </c>
    </row>
    <row r="1003" spans="1:9">
      <c r="A1003" s="22" t="str">
        <f>HYPERLINK("https://app.vivvix.com/360/KMI/IntelliDrive/ApplUI/Pages/CreativePages/CustomReportCreativeDetail.aspx?App=23&amp;ReportView=4&amp;Qid=1711245&amp;Row=995&amp;Col=1","No Title Assigned - #15267474926")</f>
        <v/>
      </c>
      <c r="B1003" s="0" t="s">
        <v>1546</v>
      </c>
      <c r="E1003" s="0" t="s">
        <v>13</v>
      </c>
      <c r="F1003" s="0" t="s">
        <v>13</v>
      </c>
      <c r="G1003" s="0" t="s">
        <v>54</v>
      </c>
      <c r="H1003" s="5">
        <v>9227.935700</v>
      </c>
    </row>
    <row r="1004" spans="1:9">
      <c r="A1004" s="22" t="str">
        <f>HYPERLINK("https://app.vivvix.com/360/KMI/IntelliDrive/ApplUI/Pages/CreativePages/CustomReportCreativeDetail.aspx?App=23&amp;ReportView=4&amp;Qid=1711245&amp;Row=996&amp;Col=1","No Title Assigned - #15267477821")</f>
        <v/>
      </c>
      <c r="B1004" s="0" t="s">
        <v>1547</v>
      </c>
      <c r="C1004" s="0" t="s">
        <v>1548</v>
      </c>
      <c r="D1004" s="0" t="s">
        <v>1548</v>
      </c>
      <c r="E1004" s="0" t="s">
        <v>13</v>
      </c>
      <c r="F1004" s="0" t="s">
        <v>14</v>
      </c>
      <c r="G1004" s="0" t="s">
        <v>15</v>
      </c>
      <c r="H1004" s="5">
        <v>11.300500</v>
      </c>
    </row>
    <row r="1005" spans="1:9">
      <c r="A1005" s="22" t="str">
        <f>HYPERLINK("https://app.vivvix.com/360/KMI/IntelliDrive/ApplUI/Pages/CreativePages/CustomReportCreativeDetail.aspx?App=23&amp;ReportView=4&amp;Qid=1711245&amp;Row=997&amp;Col=1","No Title Assigned - #15267485202")</f>
        <v/>
      </c>
      <c r="B1005" s="0" t="s">
        <v>1549</v>
      </c>
      <c r="C1005" s="0" t="s">
        <v>1550</v>
      </c>
      <c r="D1005" s="0" t="s">
        <v>1550</v>
      </c>
      <c r="E1005" s="0" t="s">
        <v>13</v>
      </c>
      <c r="F1005" s="0" t="s">
        <v>128</v>
      </c>
      <c r="G1005" s="0" t="s">
        <v>456</v>
      </c>
      <c r="H1005" s="5">
        <v>325.503600</v>
      </c>
    </row>
    <row r="1006" spans="1:9">
      <c r="A1006" s="22" t="str">
        <f>HYPERLINK("https://app.vivvix.com/360/KMI/IntelliDrive/ApplUI/Pages/CreativePages/CustomReportCreativeDetail.aspx?App=23&amp;ReportView=4&amp;Qid=1711245&amp;Row=998&amp;Col=1","No Title Assigned - #15267485208")</f>
        <v/>
      </c>
      <c r="B1006" s="0" t="s">
        <v>1551</v>
      </c>
      <c r="C1006" s="0" t="s">
        <v>1552</v>
      </c>
      <c r="D1006" s="0" t="s">
        <v>1552</v>
      </c>
      <c r="E1006" s="0" t="s">
        <v>13</v>
      </c>
      <c r="F1006" s="0" t="s">
        <v>128</v>
      </c>
      <c r="G1006" s="0" t="s">
        <v>456</v>
      </c>
      <c r="H1006" s="5">
        <v>1788.297000</v>
      </c>
    </row>
    <row r="1007" spans="1:9">
      <c r="A1007" s="22" t="str">
        <f>HYPERLINK("https://app.vivvix.com/360/KMI/IntelliDrive/ApplUI/Pages/CreativePages/CustomReportCreativeDetail.aspx?App=23&amp;ReportView=4&amp;Qid=1711245&amp;Row=999&amp;Col=1","No Title Assigned - #15267485403")</f>
        <v/>
      </c>
      <c r="B1007" s="0" t="s">
        <v>1553</v>
      </c>
      <c r="C1007" s="0" t="s">
        <v>1554</v>
      </c>
      <c r="D1007" s="0" t="s">
        <v>1554</v>
      </c>
      <c r="E1007" s="0" t="s">
        <v>13</v>
      </c>
      <c r="F1007" s="0" t="s">
        <v>540</v>
      </c>
      <c r="G1007" s="0" t="s">
        <v>541</v>
      </c>
      <c r="H1007" s="5">
        <v>465.430000</v>
      </c>
    </row>
    <row r="1008" spans="1:9">
      <c r="A1008" s="22" t="str">
        <f>HYPERLINK("https://app.vivvix.com/360/KMI/IntelliDrive/ApplUI/Pages/CreativePages/CustomReportCreativeDetail.aspx?App=23&amp;ReportView=4&amp;Qid=1711245&amp;Row=1000&amp;Col=1","No Title Assigned - #15267486734")</f>
        <v/>
      </c>
      <c r="B1008" s="0" t="s">
        <v>1555</v>
      </c>
      <c r="E1008" s="0" t="s">
        <v>13</v>
      </c>
      <c r="F1008" s="0" t="s">
        <v>13</v>
      </c>
      <c r="G1008" s="0" t="s">
        <v>54</v>
      </c>
      <c r="H1008" s="5">
        <v>4071.167800</v>
      </c>
    </row>
    <row r="1009" spans="1:9">
      <c r="A1009" s="22" t="str">
        <f>HYPERLINK("https://app.vivvix.com/360/KMI/IntelliDrive/ApplUI/Pages/CreativePages/CustomReportCreativeDetail.aspx?App=23&amp;ReportView=4&amp;Qid=1711245&amp;Row=1001&amp;Col=1","No Title Assigned - #15267510396")</f>
        <v/>
      </c>
      <c r="B1009" s="0" t="s">
        <v>1556</v>
      </c>
      <c r="E1009" s="0" t="s">
        <v>13</v>
      </c>
      <c r="F1009" s="0" t="s">
        <v>13</v>
      </c>
      <c r="G1009" s="0" t="s">
        <v>54</v>
      </c>
      <c r="H1009" s="5">
        <v>125.407500</v>
      </c>
    </row>
    <row r="1010" spans="1:9">
      <c r="A1010" s="22" t="str">
        <f>HYPERLINK("https://app.vivvix.com/360/KMI/IntelliDrive/ApplUI/Pages/CreativePages/CustomReportCreativeDetail.aspx?App=23&amp;ReportView=4&amp;Qid=1711245&amp;Row=1002&amp;Col=1","No Title Assigned - #15267526952")</f>
        <v/>
      </c>
      <c r="B1010" s="0" t="s">
        <v>1557</v>
      </c>
      <c r="C1010" s="0" t="s">
        <v>1558</v>
      </c>
      <c r="D1010" s="0" t="s">
        <v>1558</v>
      </c>
      <c r="E1010" s="0" t="s">
        <v>13</v>
      </c>
      <c r="F1010" s="0" t="s">
        <v>17</v>
      </c>
      <c r="G1010" s="0" t="s">
        <v>446</v>
      </c>
      <c r="H1010" s="5">
        <v>4451.386700</v>
      </c>
    </row>
    <row r="1011" spans="1:9">
      <c r="A1011" s="22" t="str">
        <f>HYPERLINK("https://app.vivvix.com/360/KMI/IntelliDrive/ApplUI/Pages/CreativePages/CustomReportCreativeDetail.aspx?App=23&amp;ReportView=4&amp;Qid=1711245&amp;Row=1003&amp;Col=1","No Title Assigned - #15267531983")</f>
        <v/>
      </c>
      <c r="B1011" s="0" t="s">
        <v>1559</v>
      </c>
      <c r="E1011" s="0" t="s">
        <v>13</v>
      </c>
      <c r="F1011" s="0" t="s">
        <v>13</v>
      </c>
      <c r="G1011" s="0" t="s">
        <v>54</v>
      </c>
      <c r="H1011" s="5">
        <v>5311.790600</v>
      </c>
    </row>
    <row r="1012" spans="1:9">
      <c r="A1012" s="22" t="str">
        <f>HYPERLINK("https://app.vivvix.com/360/KMI/IntelliDrive/ApplUI/Pages/CreativePages/CustomReportCreativeDetail.aspx?App=23&amp;ReportView=4&amp;Qid=1711245&amp;Row=1004&amp;Col=1","No Title Assigned - #15267532435")</f>
        <v/>
      </c>
      <c r="B1012" s="0" t="s">
        <v>1560</v>
      </c>
      <c r="C1012" s="0" t="s">
        <v>1561</v>
      </c>
      <c r="D1012" s="0" t="s">
        <v>1561</v>
      </c>
      <c r="E1012" s="0" t="s">
        <v>13</v>
      </c>
      <c r="F1012" s="0" t="s">
        <v>14</v>
      </c>
      <c r="G1012" s="0" t="s">
        <v>15</v>
      </c>
      <c r="H1012" s="5">
        <v>3764.467500</v>
      </c>
    </row>
    <row r="1013" spans="1:9">
      <c r="A1013" s="22" t="str">
        <f>HYPERLINK("https://app.vivvix.com/360/KMI/IntelliDrive/ApplUI/Pages/CreativePages/CustomReportCreativeDetail.aspx?App=23&amp;ReportView=4&amp;Qid=1711245&amp;Row=1005&amp;Col=1","No Title Assigned - #15267541388")</f>
        <v/>
      </c>
      <c r="B1013" s="0" t="s">
        <v>1562</v>
      </c>
      <c r="C1013" s="0" t="s">
        <v>1563</v>
      </c>
      <c r="D1013" s="0" t="s">
        <v>1563</v>
      </c>
      <c r="E1013" s="0" t="s">
        <v>13</v>
      </c>
      <c r="F1013" s="0" t="s">
        <v>13</v>
      </c>
      <c r="G1013" s="0" t="s">
        <v>945</v>
      </c>
      <c r="H1013" s="5">
        <v>13787.990200</v>
      </c>
    </row>
    <row r="1014" spans="1:9">
      <c r="A1014" s="22" t="str">
        <f>HYPERLINK("https://app.vivvix.com/360/KMI/IntelliDrive/ApplUI/Pages/CreativePages/CustomReportCreativeDetail.aspx?App=23&amp;ReportView=4&amp;Qid=1711245&amp;Row=1006&amp;Col=1","No Title Assigned - #15267585305")</f>
        <v/>
      </c>
      <c r="B1014" s="0" t="s">
        <v>1564</v>
      </c>
      <c r="C1014" s="0" t="s">
        <v>1239</v>
      </c>
      <c r="D1014" s="0" t="s">
        <v>1239</v>
      </c>
      <c r="E1014" s="0" t="s">
        <v>13</v>
      </c>
      <c r="F1014" s="0" t="s">
        <v>14</v>
      </c>
      <c r="G1014" s="0" t="s">
        <v>15</v>
      </c>
      <c r="H1014" s="5">
        <v>204.872500</v>
      </c>
    </row>
    <row r="1015" spans="1:9">
      <c r="A1015" s="22" t="str">
        <f>HYPERLINK("https://app.vivvix.com/360/KMI/IntelliDrive/ApplUI/Pages/CreativePages/CustomReportCreativeDetail.aspx?App=23&amp;ReportView=4&amp;Qid=1711245&amp;Row=1007&amp;Col=1","No Title Assigned - #15267586057")</f>
        <v/>
      </c>
      <c r="B1015" s="0" t="s">
        <v>1565</v>
      </c>
      <c r="C1015" s="0" t="s">
        <v>1566</v>
      </c>
      <c r="D1015" s="0" t="s">
        <v>1566</v>
      </c>
      <c r="E1015" s="0" t="s">
        <v>13</v>
      </c>
      <c r="F1015" s="0" t="s">
        <v>530</v>
      </c>
      <c r="G1015" s="0" t="s">
        <v>531</v>
      </c>
      <c r="H1015" s="5">
        <v>26748.892000</v>
      </c>
    </row>
    <row r="1016" spans="1:9">
      <c r="A1016" s="22" t="str">
        <f>HYPERLINK("https://app.vivvix.com/360/KMI/IntelliDrive/ApplUI/Pages/CreativePages/CustomReportCreativeDetail.aspx?App=23&amp;ReportView=4&amp;Qid=1711245&amp;Row=1008&amp;Col=1","No Title Assigned - #15267626315")</f>
        <v/>
      </c>
      <c r="B1016" s="0" t="s">
        <v>1567</v>
      </c>
      <c r="C1016" s="0" t="s">
        <v>1568</v>
      </c>
      <c r="D1016" s="0" t="s">
        <v>1568</v>
      </c>
      <c r="E1016" s="0" t="s">
        <v>13</v>
      </c>
      <c r="F1016" s="0" t="s">
        <v>540</v>
      </c>
      <c r="G1016" s="0" t="s">
        <v>541</v>
      </c>
      <c r="H1016" s="5">
        <v>3938.706500</v>
      </c>
    </row>
    <row r="1017" spans="1:9">
      <c r="A1017" s="22" t="str">
        <f>HYPERLINK("https://app.vivvix.com/360/KMI/IntelliDrive/ApplUI/Pages/CreativePages/CustomReportCreativeDetail.aspx?App=23&amp;ReportView=4&amp;Qid=1711245&amp;Row=1009&amp;Col=1","No Title Assigned - #15267626742")</f>
        <v/>
      </c>
      <c r="B1017" s="0" t="s">
        <v>1569</v>
      </c>
      <c r="C1017" s="0" t="s">
        <v>1570</v>
      </c>
      <c r="D1017" s="0" t="s">
        <v>1570</v>
      </c>
      <c r="E1017" s="0" t="s">
        <v>13</v>
      </c>
      <c r="F1017" s="0" t="s">
        <v>14</v>
      </c>
      <c r="G1017" s="0" t="s">
        <v>15</v>
      </c>
      <c r="H1017" s="5">
        <v>158.071000</v>
      </c>
    </row>
    <row r="1018" spans="1:9">
      <c r="A1018" s="22" t="str">
        <f>HYPERLINK("https://app.vivvix.com/360/KMI/IntelliDrive/ApplUI/Pages/CreativePages/CustomReportCreativeDetail.aspx?App=23&amp;ReportView=4&amp;Qid=1711245&amp;Row=1010&amp;Col=1","No Title Assigned - #15267637693")</f>
        <v/>
      </c>
      <c r="B1018" s="0" t="s">
        <v>1571</v>
      </c>
      <c r="C1018" s="0" t="s">
        <v>1572</v>
      </c>
      <c r="D1018" s="0" t="s">
        <v>1572</v>
      </c>
      <c r="E1018" s="0" t="s">
        <v>13</v>
      </c>
      <c r="F1018" s="0" t="s">
        <v>540</v>
      </c>
      <c r="G1018" s="0" t="s">
        <v>541</v>
      </c>
      <c r="H1018" s="5">
        <v>1081.237900</v>
      </c>
    </row>
    <row r="1019" spans="1:9">
      <c r="A1019" s="22" t="str">
        <f>HYPERLINK("https://app.vivvix.com/360/KMI/IntelliDrive/ApplUI/Pages/CreativePages/CustomReportCreativeDetail.aspx?App=23&amp;ReportView=4&amp;Qid=1711245&amp;Row=1011&amp;Col=1","No Title Assigned - #15267676414")</f>
        <v/>
      </c>
      <c r="B1019" s="0" t="s">
        <v>1573</v>
      </c>
      <c r="C1019" s="0" t="s">
        <v>1574</v>
      </c>
      <c r="D1019" s="0" t="s">
        <v>1574</v>
      </c>
      <c r="E1019" s="0" t="s">
        <v>13</v>
      </c>
      <c r="F1019" s="0" t="s">
        <v>530</v>
      </c>
      <c r="G1019" s="0" t="s">
        <v>531</v>
      </c>
      <c r="H1019" s="5">
        <v>17040.690200</v>
      </c>
    </row>
    <row r="1020" spans="1:9">
      <c r="A1020" s="22" t="str">
        <f>HYPERLINK("https://app.vivvix.com/360/KMI/IntelliDrive/ApplUI/Pages/CreativePages/CustomReportCreativeDetail.aspx?App=23&amp;ReportView=4&amp;Qid=1711245&amp;Row=1012&amp;Col=1","No Title Assigned - #15267679067")</f>
        <v/>
      </c>
      <c r="B1020" s="0" t="s">
        <v>1575</v>
      </c>
      <c r="C1020" s="0" t="s">
        <v>1576</v>
      </c>
      <c r="D1020" s="0" t="s">
        <v>1576</v>
      </c>
      <c r="E1020" s="0" t="s">
        <v>13</v>
      </c>
      <c r="F1020" s="0" t="s">
        <v>17</v>
      </c>
      <c r="G1020" s="0" t="s">
        <v>446</v>
      </c>
      <c r="H1020" s="5">
        <v>61.231200</v>
      </c>
    </row>
    <row r="1021" spans="1:9">
      <c r="A1021" s="22" t="str">
        <f>HYPERLINK("https://app.vivvix.com/360/KMI/IntelliDrive/ApplUI/Pages/CreativePages/CustomReportCreativeDetail.aspx?App=23&amp;ReportView=4&amp;Qid=1711245&amp;Row=1013&amp;Col=1","No Title Assigned - #15267690348")</f>
        <v/>
      </c>
      <c r="B1021" s="0" t="s">
        <v>1577</v>
      </c>
      <c r="C1021" s="0" t="s">
        <v>1578</v>
      </c>
      <c r="D1021" s="0" t="s">
        <v>1578</v>
      </c>
      <c r="E1021" s="0" t="s">
        <v>13</v>
      </c>
      <c r="F1021" s="0" t="s">
        <v>17</v>
      </c>
      <c r="G1021" s="0" t="s">
        <v>446</v>
      </c>
      <c r="H1021" s="5">
        <v>9825.695300</v>
      </c>
    </row>
    <row r="1022" spans="1:9">
      <c r="A1022" s="22" t="str">
        <f>HYPERLINK("https://app.vivvix.com/360/KMI/IntelliDrive/ApplUI/Pages/CreativePages/CustomReportCreativeDetail.aspx?App=23&amp;ReportView=4&amp;Qid=1711245&amp;Row=1014&amp;Col=1","No Title Assigned - #15267690907")</f>
        <v/>
      </c>
      <c r="B1022" s="0" t="s">
        <v>1579</v>
      </c>
      <c r="E1022" s="0" t="s">
        <v>13</v>
      </c>
      <c r="F1022" s="0" t="s">
        <v>13</v>
      </c>
      <c r="G1022" s="0" t="s">
        <v>54</v>
      </c>
      <c r="H1022" s="5">
        <v>24817.340200</v>
      </c>
    </row>
    <row r="1023" spans="1:9">
      <c r="A1023" s="22" t="str">
        <f>HYPERLINK("https://app.vivvix.com/360/KMI/IntelliDrive/ApplUI/Pages/CreativePages/CustomReportCreativeDetail.aspx?App=23&amp;ReportView=4&amp;Qid=1711245&amp;Row=1015&amp;Col=1","No Title Assigned - #15267718172")</f>
        <v/>
      </c>
      <c r="B1023" s="0" t="s">
        <v>1580</v>
      </c>
      <c r="C1023" s="0" t="s">
        <v>1581</v>
      </c>
      <c r="D1023" s="0" t="s">
        <v>524</v>
      </c>
      <c r="E1023" s="0" t="s">
        <v>13</v>
      </c>
      <c r="F1023" s="0" t="s">
        <v>128</v>
      </c>
      <c r="G1023" s="0" t="s">
        <v>456</v>
      </c>
      <c r="H1023" s="5">
        <v>2091.123800</v>
      </c>
    </row>
    <row r="1024" spans="1:9">
      <c r="A1024" s="22" t="str">
        <f>HYPERLINK("https://app.vivvix.com/360/KMI/IntelliDrive/ApplUI/Pages/CreativePages/CustomReportCreativeDetail.aspx?App=23&amp;ReportView=4&amp;Qid=1711245&amp;Row=1016&amp;Col=1","No Title Assigned - #15267721782")</f>
        <v/>
      </c>
      <c r="B1024" s="0" t="s">
        <v>1582</v>
      </c>
      <c r="C1024" s="0" t="s">
        <v>1583</v>
      </c>
      <c r="D1024" s="0" t="s">
        <v>1583</v>
      </c>
      <c r="E1024" s="0" t="s">
        <v>13</v>
      </c>
      <c r="F1024" s="0" t="s">
        <v>13</v>
      </c>
      <c r="G1024" s="0" t="s">
        <v>945</v>
      </c>
      <c r="H1024" s="5">
        <v>2604.414300</v>
      </c>
    </row>
    <row r="1025" spans="1:9">
      <c r="A1025" s="22" t="str">
        <f>HYPERLINK("https://app.vivvix.com/360/KMI/IntelliDrive/ApplUI/Pages/CreativePages/CustomReportCreativeDetail.aspx?App=23&amp;ReportView=4&amp;Qid=1711245&amp;Row=1017&amp;Col=1","No Title Assigned - #15267721900")</f>
        <v/>
      </c>
      <c r="B1025" s="0" t="s">
        <v>1584</v>
      </c>
      <c r="C1025" s="0" t="s">
        <v>1585</v>
      </c>
      <c r="D1025" s="0" t="s">
        <v>1585</v>
      </c>
      <c r="E1025" s="0" t="s">
        <v>13</v>
      </c>
      <c r="F1025" s="0" t="s">
        <v>17</v>
      </c>
      <c r="G1025" s="0" t="s">
        <v>446</v>
      </c>
      <c r="H1025" s="5">
        <v>8542.859400</v>
      </c>
    </row>
    <row r="1026" spans="1:9">
      <c r="A1026" s="22" t="str">
        <f>HYPERLINK("https://app.vivvix.com/360/KMI/IntelliDrive/ApplUI/Pages/CreativePages/CustomReportCreativeDetail.aspx?App=23&amp;ReportView=4&amp;Qid=1711245&amp;Row=1018&amp;Col=1","No Title Assigned - #15267724254")</f>
        <v/>
      </c>
      <c r="B1026" s="0" t="s">
        <v>1586</v>
      </c>
      <c r="C1026" s="0" t="s">
        <v>1587</v>
      </c>
      <c r="D1026" s="0" t="s">
        <v>1587</v>
      </c>
      <c r="E1026" s="0" t="s">
        <v>13</v>
      </c>
      <c r="F1026" s="0" t="s">
        <v>128</v>
      </c>
      <c r="G1026" s="0" t="s">
        <v>456</v>
      </c>
      <c r="H1026" s="5">
        <v>22962.370400</v>
      </c>
    </row>
    <row r="1027" spans="1:9">
      <c r="A1027" s="22" t="str">
        <f>HYPERLINK("https://app.vivvix.com/360/KMI/IntelliDrive/ApplUI/Pages/CreativePages/CustomReportCreativeDetail.aspx?App=23&amp;ReportView=4&amp;Qid=1711245&amp;Row=1019&amp;Col=1","No Title Assigned - #15267750358")</f>
        <v/>
      </c>
      <c r="B1027" s="0" t="s">
        <v>1588</v>
      </c>
      <c r="C1027" s="0" t="s">
        <v>1589</v>
      </c>
      <c r="D1027" s="0" t="s">
        <v>1589</v>
      </c>
      <c r="E1027" s="0" t="s">
        <v>13</v>
      </c>
      <c r="F1027" s="0" t="s">
        <v>128</v>
      </c>
      <c r="G1027" s="0" t="s">
        <v>456</v>
      </c>
      <c r="H1027" s="5">
        <v>19003.537000</v>
      </c>
    </row>
    <row r="1028" spans="1:9">
      <c r="A1028" s="22" t="str">
        <f>HYPERLINK("https://app.vivvix.com/360/KMI/IntelliDrive/ApplUI/Pages/CreativePages/CustomReportCreativeDetail.aspx?App=23&amp;ReportView=4&amp;Qid=1711245&amp;Row=1020&amp;Col=1","No Title Assigned - #15267797221")</f>
        <v/>
      </c>
      <c r="B1028" s="0" t="s">
        <v>1590</v>
      </c>
      <c r="E1028" s="0" t="s">
        <v>13</v>
      </c>
      <c r="F1028" s="0" t="s">
        <v>13</v>
      </c>
      <c r="G1028" s="0" t="s">
        <v>54</v>
      </c>
      <c r="H1028" s="5">
        <v>998.864100</v>
      </c>
    </row>
    <row r="1029" spans="1:9">
      <c r="A1029" s="22" t="str">
        <f>HYPERLINK("https://app.vivvix.com/360/KMI/IntelliDrive/ApplUI/Pages/CreativePages/CustomReportCreativeDetail.aspx?App=23&amp;ReportView=4&amp;Qid=1711245&amp;Row=1021&amp;Col=1","No Title Assigned - #15267797395")</f>
        <v/>
      </c>
      <c r="B1029" s="0" t="s">
        <v>1591</v>
      </c>
      <c r="E1029" s="0" t="s">
        <v>13</v>
      </c>
      <c r="F1029" s="0" t="s">
        <v>13</v>
      </c>
      <c r="G1029" s="0" t="s">
        <v>54</v>
      </c>
      <c r="H1029" s="5">
        <v>973.412200</v>
      </c>
    </row>
    <row r="1030" spans="1:9">
      <c r="A1030" s="22" t="str">
        <f>HYPERLINK("https://app.vivvix.com/360/KMI/IntelliDrive/ApplUI/Pages/CreativePages/CustomReportCreativeDetail.aspx?App=23&amp;ReportView=4&amp;Qid=1711245&amp;Row=1022&amp;Col=1","No Title Assigned - #15267798612")</f>
        <v/>
      </c>
      <c r="B1030" s="0" t="s">
        <v>1592</v>
      </c>
      <c r="E1030" s="0" t="s">
        <v>13</v>
      </c>
      <c r="F1030" s="0" t="s">
        <v>13</v>
      </c>
      <c r="G1030" s="0" t="s">
        <v>54</v>
      </c>
      <c r="H1030" s="5">
        <v>19045.673100</v>
      </c>
    </row>
    <row r="1031" spans="1:9">
      <c r="A1031" s="22" t="str">
        <f>HYPERLINK("https://app.vivvix.com/360/KMI/IntelliDrive/ApplUI/Pages/CreativePages/CustomReportCreativeDetail.aspx?App=23&amp;ReportView=4&amp;Qid=1711245&amp;Row=1023&amp;Col=1","No Title Assigned - #15267807669")</f>
        <v/>
      </c>
      <c r="B1031" s="0" t="s">
        <v>1593</v>
      </c>
      <c r="E1031" s="0" t="s">
        <v>13</v>
      </c>
      <c r="F1031" s="0" t="s">
        <v>13</v>
      </c>
      <c r="G1031" s="0" t="s">
        <v>54</v>
      </c>
      <c r="H1031" s="5">
        <v>18828.227200</v>
      </c>
    </row>
    <row r="1032" spans="1:9">
      <c r="A1032" s="22" t="str">
        <f>HYPERLINK("https://app.vivvix.com/360/KMI/IntelliDrive/ApplUI/Pages/CreativePages/CustomReportCreativeDetail.aspx?App=23&amp;ReportView=4&amp;Qid=1711245&amp;Row=1024&amp;Col=1","No Title Assigned - #15267808667")</f>
        <v/>
      </c>
      <c r="B1032" s="0" t="s">
        <v>1594</v>
      </c>
      <c r="E1032" s="0" t="s">
        <v>13</v>
      </c>
      <c r="F1032" s="0" t="s">
        <v>13</v>
      </c>
      <c r="G1032" s="0" t="s">
        <v>54</v>
      </c>
      <c r="H1032" s="5">
        <v>467.360000</v>
      </c>
    </row>
    <row r="1033" spans="1:9">
      <c r="A1033" s="22" t="str">
        <f>HYPERLINK("https://app.vivvix.com/360/KMI/IntelliDrive/ApplUI/Pages/CreativePages/CustomReportCreativeDetail.aspx?App=23&amp;ReportView=4&amp;Qid=1711245&amp;Row=1025&amp;Col=1","No Title Assigned - #15267808680")</f>
        <v/>
      </c>
      <c r="B1033" s="0" t="s">
        <v>1595</v>
      </c>
      <c r="E1033" s="0" t="s">
        <v>13</v>
      </c>
      <c r="F1033" s="0" t="s">
        <v>13</v>
      </c>
      <c r="G1033" s="0" t="s">
        <v>54</v>
      </c>
      <c r="H1033" s="5">
        <v>467.360000</v>
      </c>
    </row>
    <row r="1034" spans="1:9">
      <c r="A1034" s="22" t="str">
        <f>HYPERLINK("https://app.vivvix.com/360/KMI/IntelliDrive/ApplUI/Pages/CreativePages/CustomReportCreativeDetail.aspx?App=23&amp;ReportView=4&amp;Qid=1711245&amp;Row=1026&amp;Col=1","No Title Assigned - #15267841846")</f>
        <v/>
      </c>
      <c r="B1034" s="0" t="s">
        <v>1596</v>
      </c>
      <c r="E1034" s="0" t="s">
        <v>13</v>
      </c>
      <c r="F1034" s="0" t="s">
        <v>13</v>
      </c>
      <c r="G1034" s="0" t="s">
        <v>54</v>
      </c>
      <c r="H1034" s="5">
        <v>150.976900</v>
      </c>
    </row>
    <row r="1035" spans="1:9">
      <c r="A1035" s="22" t="str">
        <f>HYPERLINK("https://app.vivvix.com/360/KMI/IntelliDrive/ApplUI/Pages/CreativePages/CustomReportCreativeDetail.aspx?App=23&amp;ReportView=4&amp;Qid=1711245&amp;Row=1027&amp;Col=1","No Title Assigned - #15267846517")</f>
        <v/>
      </c>
      <c r="B1035" s="0" t="s">
        <v>1597</v>
      </c>
      <c r="E1035" s="0" t="s">
        <v>13</v>
      </c>
      <c r="F1035" s="0" t="s">
        <v>13</v>
      </c>
      <c r="G1035" s="0" t="s">
        <v>54</v>
      </c>
      <c r="H1035" s="5">
        <v>10249.847300</v>
      </c>
    </row>
    <row r="1036" spans="1:9">
      <c r="A1036" s="22" t="str">
        <f>HYPERLINK("https://app.vivvix.com/360/KMI/IntelliDrive/ApplUI/Pages/CreativePages/CustomReportCreativeDetail.aspx?App=23&amp;ReportView=4&amp;Qid=1711245&amp;Row=1028&amp;Col=1","No Title Assigned - #15267857079")</f>
        <v/>
      </c>
      <c r="B1036" s="0" t="s">
        <v>1598</v>
      </c>
      <c r="E1036" s="0" t="s">
        <v>13</v>
      </c>
      <c r="F1036" s="0" t="s">
        <v>13</v>
      </c>
      <c r="G1036" s="0" t="s">
        <v>54</v>
      </c>
      <c r="H1036" s="5">
        <v>667.303700</v>
      </c>
    </row>
    <row r="1037" spans="1:9">
      <c r="A1037" s="22" t="str">
        <f>HYPERLINK("https://app.vivvix.com/360/KMI/IntelliDrive/ApplUI/Pages/CreativePages/CustomReportCreativeDetail.aspx?App=23&amp;ReportView=4&amp;Qid=1711245&amp;Row=1029&amp;Col=1","No Title Assigned - #15267857108")</f>
        <v/>
      </c>
      <c r="B1037" s="0" t="s">
        <v>1599</v>
      </c>
      <c r="E1037" s="0" t="s">
        <v>13</v>
      </c>
      <c r="F1037" s="0" t="s">
        <v>13</v>
      </c>
      <c r="G1037" s="0" t="s">
        <v>54</v>
      </c>
      <c r="H1037" s="5">
        <v>865.750700</v>
      </c>
    </row>
    <row r="1038" spans="1:9">
      <c r="A1038" s="22" t="str">
        <f>HYPERLINK("https://app.vivvix.com/360/KMI/IntelliDrive/ApplUI/Pages/CreativePages/CustomReportCreativeDetail.aspx?App=23&amp;ReportView=4&amp;Qid=1711245&amp;Row=1030&amp;Col=1","No Title Assigned - #15267866343")</f>
        <v/>
      </c>
      <c r="B1038" s="0" t="s">
        <v>1600</v>
      </c>
      <c r="E1038" s="0" t="s">
        <v>13</v>
      </c>
      <c r="F1038" s="0" t="s">
        <v>13</v>
      </c>
      <c r="G1038" s="0" t="s">
        <v>54</v>
      </c>
      <c r="H1038" s="5">
        <v>61636.284000</v>
      </c>
    </row>
    <row r="1039" spans="1:9">
      <c r="A1039" s="22" t="str">
        <f>HYPERLINK("https://app.vivvix.com/360/KMI/IntelliDrive/ApplUI/Pages/CreativePages/CustomReportCreativeDetail.aspx?App=23&amp;ReportView=4&amp;Qid=1711245&amp;Row=1031&amp;Col=1","No Title Assigned - #15267866343")</f>
        <v/>
      </c>
      <c r="B1039" s="0" t="s">
        <v>1600</v>
      </c>
      <c r="E1039" s="0" t="s">
        <v>13</v>
      </c>
      <c r="F1039" s="0" t="s">
        <v>13</v>
      </c>
      <c r="G1039" s="0" t="s">
        <v>54</v>
      </c>
      <c r="H1039" s="5">
        <v>3513.371800</v>
      </c>
    </row>
    <row r="1040" spans="1:9">
      <c r="A1040" s="22" t="str">
        <f>HYPERLINK("https://app.vivvix.com/360/KMI/IntelliDrive/ApplUI/Pages/CreativePages/CustomReportCreativeDetail.aspx?App=23&amp;ReportView=4&amp;Qid=1711245&amp;Row=1032&amp;Col=1","No Title Assigned - #15267882790")</f>
        <v/>
      </c>
      <c r="B1040" s="0" t="s">
        <v>1601</v>
      </c>
      <c r="E1040" s="0" t="s">
        <v>13</v>
      </c>
      <c r="F1040" s="0" t="s">
        <v>13</v>
      </c>
      <c r="G1040" s="0" t="s">
        <v>54</v>
      </c>
      <c r="H1040" s="5">
        <v>42150.051700</v>
      </c>
    </row>
    <row r="1041" spans="1:9">
      <c r="A1041" s="22" t="str">
        <f>HYPERLINK("https://app.vivvix.com/360/KMI/IntelliDrive/ApplUI/Pages/CreativePages/CustomReportCreativeDetail.aspx?App=23&amp;ReportView=4&amp;Qid=1711245&amp;Row=1033&amp;Col=1","No Title Assigned - #15267883534")</f>
        <v/>
      </c>
      <c r="B1041" s="0" t="s">
        <v>1602</v>
      </c>
      <c r="E1041" s="0" t="s">
        <v>13</v>
      </c>
      <c r="F1041" s="0" t="s">
        <v>13</v>
      </c>
      <c r="G1041" s="0" t="s">
        <v>54</v>
      </c>
      <c r="H1041" s="5">
        <v>1437.142900</v>
      </c>
    </row>
    <row r="1042" spans="1:9">
      <c r="A1042" s="22" t="str">
        <f>HYPERLINK("https://app.vivvix.com/360/KMI/IntelliDrive/ApplUI/Pages/CreativePages/CustomReportCreativeDetail.aspx?App=23&amp;ReportView=4&amp;Qid=1711245&amp;Row=1034&amp;Col=1","No Title Assigned - #15267883769")</f>
        <v/>
      </c>
      <c r="B1042" s="0" t="s">
        <v>1603</v>
      </c>
      <c r="E1042" s="0" t="s">
        <v>13</v>
      </c>
      <c r="F1042" s="0" t="s">
        <v>13</v>
      </c>
      <c r="G1042" s="0" t="s">
        <v>54</v>
      </c>
      <c r="H1042" s="5">
        <v>4991.908000</v>
      </c>
    </row>
    <row r="1043" spans="1:9">
      <c r="A1043" s="22" t="str">
        <f>HYPERLINK("https://app.vivvix.com/360/KMI/IntelliDrive/ApplUI/Pages/CreativePages/CustomReportCreativeDetail.aspx?App=23&amp;ReportView=4&amp;Qid=1711245&amp;Row=1035&amp;Col=1","No Title Assigned - #15267884517")</f>
        <v/>
      </c>
      <c r="B1043" s="0" t="s">
        <v>1604</v>
      </c>
      <c r="E1043" s="0" t="s">
        <v>13</v>
      </c>
      <c r="F1043" s="0" t="s">
        <v>13</v>
      </c>
      <c r="G1043" s="0" t="s">
        <v>54</v>
      </c>
      <c r="H1043" s="5">
        <v>5268.928500</v>
      </c>
    </row>
    <row r="1044" spans="1:9">
      <c r="A1044" s="22" t="str">
        <f>HYPERLINK("https://app.vivvix.com/360/KMI/IntelliDrive/ApplUI/Pages/CreativePages/CustomReportCreativeDetail.aspx?App=23&amp;ReportView=4&amp;Qid=1711245&amp;Row=1036&amp;Col=1","No Title Assigned - #15267884517")</f>
        <v/>
      </c>
      <c r="B1044" s="0" t="s">
        <v>1604</v>
      </c>
      <c r="E1044" s="0" t="s">
        <v>13</v>
      </c>
      <c r="F1044" s="0" t="s">
        <v>13</v>
      </c>
      <c r="G1044" s="0" t="s">
        <v>54</v>
      </c>
      <c r="H1044" s="5">
        <v>36981.770400</v>
      </c>
    </row>
    <row r="1045" spans="1:9">
      <c r="A1045" s="22" t="str">
        <f>HYPERLINK("https://app.vivvix.com/360/KMI/IntelliDrive/ApplUI/Pages/CreativePages/CustomReportCreativeDetail.aspx?App=23&amp;ReportView=4&amp;Qid=1711245&amp;Row=1037&amp;Col=1","No Title Assigned - #15267921565")</f>
        <v/>
      </c>
      <c r="B1045" s="0" t="s">
        <v>1605</v>
      </c>
      <c r="E1045" s="0" t="s">
        <v>13</v>
      </c>
      <c r="F1045" s="0" t="s">
        <v>13</v>
      </c>
      <c r="G1045" s="0" t="s">
        <v>54</v>
      </c>
      <c r="H1045" s="5">
        <v>19.858800</v>
      </c>
    </row>
    <row r="1046" spans="1:9">
      <c r="A1046" s="22" t="str">
        <f>HYPERLINK("https://app.vivvix.com/360/KMI/IntelliDrive/ApplUI/Pages/CreativePages/CustomReportCreativeDetail.aspx?App=23&amp;ReportView=4&amp;Qid=1711245&amp;Row=1038&amp;Col=1","No Title Assigned - #15267983345")</f>
        <v/>
      </c>
      <c r="B1046" s="0" t="s">
        <v>1606</v>
      </c>
      <c r="E1046" s="0" t="s">
        <v>13</v>
      </c>
      <c r="F1046" s="0" t="s">
        <v>13</v>
      </c>
      <c r="G1046" s="0" t="s">
        <v>54</v>
      </c>
      <c r="H1046" s="5">
        <v>522.985600</v>
      </c>
    </row>
    <row r="1047" spans="1:9">
      <c r="A1047" s="22" t="str">
        <f>HYPERLINK("https://app.vivvix.com/360/KMI/IntelliDrive/ApplUI/Pages/CreativePages/CustomReportCreativeDetail.aspx?App=23&amp;ReportView=4&amp;Qid=1711245&amp;Row=1039&amp;Col=1","No Title Assigned - #15268011896")</f>
        <v/>
      </c>
      <c r="B1047" s="0" t="s">
        <v>1607</v>
      </c>
      <c r="E1047" s="0" t="s">
        <v>13</v>
      </c>
      <c r="F1047" s="0" t="s">
        <v>13</v>
      </c>
      <c r="G1047" s="0" t="s">
        <v>54</v>
      </c>
      <c r="H1047" s="5">
        <v>465.984400</v>
      </c>
    </row>
    <row r="1048" spans="1:9">
      <c r="A1048" s="22" t="str">
        <f>HYPERLINK("https://app.vivvix.com/360/KMI/IntelliDrive/ApplUI/Pages/CreativePages/CustomReportCreativeDetail.aspx?App=23&amp;ReportView=4&amp;Qid=1711245&amp;Row=1040&amp;Col=1","No Title Assigned - #15268013216")</f>
        <v/>
      </c>
      <c r="B1048" s="0" t="s">
        <v>1608</v>
      </c>
      <c r="E1048" s="0" t="s">
        <v>13</v>
      </c>
      <c r="F1048" s="0" t="s">
        <v>13</v>
      </c>
      <c r="G1048" s="0" t="s">
        <v>54</v>
      </c>
      <c r="H1048" s="5">
        <v>7400.613600</v>
      </c>
    </row>
    <row r="1049" spans="1:9">
      <c r="A1049" s="22" t="str">
        <f>HYPERLINK("https://app.vivvix.com/360/KMI/IntelliDrive/ApplUI/Pages/CreativePages/CustomReportCreativeDetail.aspx?App=23&amp;ReportView=4&amp;Qid=1711245&amp;Row=1041&amp;Col=1","No Title Assigned - #15268020366")</f>
        <v/>
      </c>
      <c r="B1049" s="0" t="s">
        <v>1609</v>
      </c>
      <c r="E1049" s="0" t="s">
        <v>13</v>
      </c>
      <c r="F1049" s="0" t="s">
        <v>13</v>
      </c>
      <c r="G1049" s="0" t="s">
        <v>54</v>
      </c>
      <c r="H1049" s="5">
        <v>3425.782500</v>
      </c>
    </row>
    <row r="1050" spans="1:9">
      <c r="A1050" s="22" t="str">
        <f>HYPERLINK("https://app.vivvix.com/360/KMI/IntelliDrive/ApplUI/Pages/CreativePages/CustomReportCreativeDetail.aspx?App=23&amp;ReportView=4&amp;Qid=1711245&amp;Row=1042&amp;Col=1","No Title Assigned - #15268020370")</f>
        <v/>
      </c>
      <c r="B1050" s="0" t="s">
        <v>1610</v>
      </c>
      <c r="E1050" s="0" t="s">
        <v>13</v>
      </c>
      <c r="F1050" s="0" t="s">
        <v>13</v>
      </c>
      <c r="G1050" s="0" t="s">
        <v>54</v>
      </c>
      <c r="H1050" s="5">
        <v>336.710100</v>
      </c>
    </row>
    <row r="1051" spans="1:9">
      <c r="A1051" s="22" t="str">
        <f>HYPERLINK("https://app.vivvix.com/360/KMI/IntelliDrive/ApplUI/Pages/CreativePages/CustomReportCreativeDetail.aspx?App=23&amp;ReportView=4&amp;Qid=1711245&amp;Row=1043&amp;Col=1","No Title Assigned - #15268029298")</f>
        <v/>
      </c>
      <c r="B1051" s="0" t="s">
        <v>1611</v>
      </c>
      <c r="E1051" s="0" t="s">
        <v>13</v>
      </c>
      <c r="F1051" s="0" t="s">
        <v>13</v>
      </c>
      <c r="G1051" s="0" t="s">
        <v>54</v>
      </c>
      <c r="H1051" s="5">
        <v>686.302400</v>
      </c>
    </row>
    <row r="1052" spans="1:9">
      <c r="A1052" s="22" t="str">
        <f>HYPERLINK("https://app.vivvix.com/360/KMI/IntelliDrive/ApplUI/Pages/CreativePages/CustomReportCreativeDetail.aspx?App=23&amp;ReportView=4&amp;Qid=1711245&amp;Row=1044&amp;Col=1","No Title Assigned - #15268039211")</f>
        <v/>
      </c>
      <c r="B1052" s="0" t="s">
        <v>1612</v>
      </c>
      <c r="E1052" s="0" t="s">
        <v>13</v>
      </c>
      <c r="F1052" s="0" t="s">
        <v>13</v>
      </c>
      <c r="G1052" s="0" t="s">
        <v>54</v>
      </c>
      <c r="H1052" s="5">
        <v>827.863500</v>
      </c>
    </row>
    <row r="1053" spans="1:9">
      <c r="A1053" s="22" t="str">
        <f>HYPERLINK("https://app.vivvix.com/360/KMI/IntelliDrive/ApplUI/Pages/CreativePages/CustomReportCreativeDetail.aspx?App=23&amp;ReportView=4&amp;Qid=1711245&amp;Row=1045&amp;Col=1","No Title Assigned - #15268084528")</f>
        <v/>
      </c>
      <c r="B1053" s="0" t="s">
        <v>1613</v>
      </c>
      <c r="E1053" s="0" t="s">
        <v>13</v>
      </c>
      <c r="F1053" s="0" t="s">
        <v>13</v>
      </c>
      <c r="G1053" s="0" t="s">
        <v>54</v>
      </c>
      <c r="H1053" s="5">
        <v>1459.860700</v>
      </c>
    </row>
    <row r="1054" spans="1:9">
      <c r="A1054" s="22" t="str">
        <f>HYPERLINK("https://app.vivvix.com/360/KMI/IntelliDrive/ApplUI/Pages/CreativePages/CustomReportCreativeDetail.aspx?App=23&amp;ReportView=4&amp;Qid=1711245&amp;Row=1046&amp;Col=1","No Title Assigned - #15268089560")</f>
        <v/>
      </c>
      <c r="B1054" s="0" t="s">
        <v>1614</v>
      </c>
      <c r="C1054" s="0" t="s">
        <v>1615</v>
      </c>
      <c r="D1054" s="0" t="s">
        <v>1615</v>
      </c>
      <c r="E1054" s="0" t="s">
        <v>13</v>
      </c>
      <c r="F1054" s="0" t="s">
        <v>17</v>
      </c>
      <c r="G1054" s="0" t="s">
        <v>446</v>
      </c>
      <c r="H1054" s="5">
        <v>3540.883500</v>
      </c>
    </row>
    <row r="1055" spans="1:9">
      <c r="A1055" s="22" t="str">
        <f>HYPERLINK("https://app.vivvix.com/360/KMI/IntelliDrive/ApplUI/Pages/CreativePages/CustomReportCreativeDetail.aspx?App=23&amp;ReportView=4&amp;Qid=1711245&amp;Row=1047&amp;Col=1","No Title Assigned - #15268117584")</f>
        <v/>
      </c>
      <c r="B1055" s="0" t="s">
        <v>1616</v>
      </c>
      <c r="E1055" s="0" t="s">
        <v>13</v>
      </c>
      <c r="F1055" s="0" t="s">
        <v>13</v>
      </c>
      <c r="G1055" s="0" t="s">
        <v>54</v>
      </c>
      <c r="H1055" s="5">
        <v>2833.067400</v>
      </c>
    </row>
    <row r="1056" spans="1:9">
      <c r="A1056" s="22" t="str">
        <f>HYPERLINK("https://app.vivvix.com/360/KMI/IntelliDrive/ApplUI/Pages/CreativePages/CustomReportCreativeDetail.aspx?App=23&amp;ReportView=4&amp;Qid=1711245&amp;Row=1048&amp;Col=1","No Title Assigned - #15268121396")</f>
        <v/>
      </c>
      <c r="B1056" s="0" t="s">
        <v>1617</v>
      </c>
      <c r="E1056" s="0" t="s">
        <v>13</v>
      </c>
      <c r="F1056" s="0" t="s">
        <v>13</v>
      </c>
      <c r="G1056" s="0" t="s">
        <v>54</v>
      </c>
      <c r="H1056" s="5">
        <v>1631.546000</v>
      </c>
    </row>
    <row r="1057" spans="1:9">
      <c r="A1057" s="22" t="str">
        <f>HYPERLINK("https://app.vivvix.com/360/KMI/IntelliDrive/ApplUI/Pages/CreativePages/CustomReportCreativeDetail.aspx?App=23&amp;ReportView=4&amp;Qid=1711245&amp;Row=1049&amp;Col=1","No Title Assigned - #15268123658")</f>
        <v/>
      </c>
      <c r="B1057" s="0" t="s">
        <v>1618</v>
      </c>
      <c r="E1057" s="0" t="s">
        <v>13</v>
      </c>
      <c r="F1057" s="0" t="s">
        <v>13</v>
      </c>
      <c r="G1057" s="0" t="s">
        <v>54</v>
      </c>
      <c r="H1057" s="5">
        <v>19.858800</v>
      </c>
    </row>
    <row r="1058" spans="1:9">
      <c r="A1058" s="22" t="str">
        <f>HYPERLINK("https://app.vivvix.com/360/KMI/IntelliDrive/ApplUI/Pages/CreativePages/CustomReportCreativeDetail.aspx?App=23&amp;ReportView=4&amp;Qid=1711245&amp;Row=1050&amp;Col=1","No Title Assigned - #15268125374")</f>
        <v/>
      </c>
      <c r="B1058" s="0" t="s">
        <v>1619</v>
      </c>
      <c r="E1058" s="0" t="s">
        <v>13</v>
      </c>
      <c r="F1058" s="0" t="s">
        <v>13</v>
      </c>
      <c r="G1058" s="0" t="s">
        <v>54</v>
      </c>
      <c r="H1058" s="5">
        <v>970.445500</v>
      </c>
    </row>
    <row r="1059" spans="1:9">
      <c r="A1059" s="22" t="str">
        <f>HYPERLINK("https://app.vivvix.com/360/KMI/IntelliDrive/ApplUI/Pages/CreativePages/CustomReportCreativeDetail.aspx?App=23&amp;ReportView=4&amp;Qid=1711245&amp;Row=1051&amp;Col=1","No Title Assigned - #15268126309")</f>
        <v/>
      </c>
      <c r="B1059" s="0" t="s">
        <v>1620</v>
      </c>
      <c r="E1059" s="0" t="s">
        <v>13</v>
      </c>
      <c r="F1059" s="0" t="s">
        <v>13</v>
      </c>
      <c r="G1059" s="0" t="s">
        <v>54</v>
      </c>
      <c r="H1059" s="5">
        <v>870.050200</v>
      </c>
    </row>
    <row r="1060" spans="1:9">
      <c r="A1060" s="22" t="str">
        <f>HYPERLINK("https://app.vivvix.com/360/KMI/IntelliDrive/ApplUI/Pages/CreativePages/CustomReportCreativeDetail.aspx?App=23&amp;ReportView=4&amp;Qid=1711245&amp;Row=1052&amp;Col=1","No Title Assigned - #15268126458")</f>
        <v/>
      </c>
      <c r="B1060" s="0" t="s">
        <v>1621</v>
      </c>
      <c r="E1060" s="0" t="s">
        <v>13</v>
      </c>
      <c r="F1060" s="0" t="s">
        <v>13</v>
      </c>
      <c r="G1060" s="0" t="s">
        <v>54</v>
      </c>
      <c r="H1060" s="5">
        <v>19.858800</v>
      </c>
    </row>
    <row r="1061" spans="1:9">
      <c r="A1061" s="22" t="str">
        <f>HYPERLINK("https://app.vivvix.com/360/KMI/IntelliDrive/ApplUI/Pages/CreativePages/CustomReportCreativeDetail.aspx?App=23&amp;ReportView=4&amp;Qid=1711245&amp;Row=1053&amp;Col=1","No Title Assigned - #15268136737")</f>
        <v/>
      </c>
      <c r="B1061" s="0" t="s">
        <v>1622</v>
      </c>
      <c r="E1061" s="0" t="s">
        <v>13</v>
      </c>
      <c r="F1061" s="0" t="s">
        <v>13</v>
      </c>
      <c r="G1061" s="0" t="s">
        <v>54</v>
      </c>
      <c r="H1061" s="5">
        <v>8137.016500</v>
      </c>
    </row>
    <row r="1062" spans="1:9">
      <c r="A1062" s="22" t="str">
        <f>HYPERLINK("https://app.vivvix.com/360/KMI/IntelliDrive/ApplUI/Pages/CreativePages/CustomReportCreativeDetail.aspx?App=23&amp;ReportView=4&amp;Qid=1711245&amp;Row=1054&amp;Col=1","No Title Assigned - #15268136757")</f>
        <v/>
      </c>
      <c r="B1062" s="0" t="s">
        <v>1623</v>
      </c>
      <c r="E1062" s="0" t="s">
        <v>13</v>
      </c>
      <c r="F1062" s="0" t="s">
        <v>13</v>
      </c>
      <c r="G1062" s="0" t="s">
        <v>54</v>
      </c>
      <c r="H1062" s="5">
        <v>3254.806600</v>
      </c>
    </row>
    <row r="1063" spans="1:9">
      <c r="A1063" s="22" t="str">
        <f>HYPERLINK("https://app.vivvix.com/360/KMI/IntelliDrive/ApplUI/Pages/CreativePages/CustomReportCreativeDetail.aspx?App=23&amp;ReportView=4&amp;Qid=1711245&amp;Row=1055&amp;Col=1","No Title Assigned - #15268138081")</f>
        <v/>
      </c>
      <c r="B1063" s="0" t="s">
        <v>1624</v>
      </c>
      <c r="E1063" s="0" t="s">
        <v>13</v>
      </c>
      <c r="F1063" s="0" t="s">
        <v>13</v>
      </c>
      <c r="G1063" s="0" t="s">
        <v>54</v>
      </c>
      <c r="H1063" s="5">
        <v>15265.227600</v>
      </c>
    </row>
    <row r="1064" spans="1:9">
      <c r="A1064" s="22" t="str">
        <f>HYPERLINK("https://app.vivvix.com/360/KMI/IntelliDrive/ApplUI/Pages/CreativePages/CustomReportCreativeDetail.aspx?App=23&amp;ReportView=4&amp;Qid=1711245&amp;Row=1056&amp;Col=1","No Title Assigned - #15268143536")</f>
        <v/>
      </c>
      <c r="B1064" s="0" t="s">
        <v>1625</v>
      </c>
      <c r="E1064" s="0" t="s">
        <v>13</v>
      </c>
      <c r="F1064" s="0" t="s">
        <v>13</v>
      </c>
      <c r="G1064" s="0" t="s">
        <v>54</v>
      </c>
      <c r="H1064" s="5">
        <v>356.245500</v>
      </c>
    </row>
    <row r="1065" spans="1:9">
      <c r="A1065" s="22" t="str">
        <f>HYPERLINK("https://app.vivvix.com/360/KMI/IntelliDrive/ApplUI/Pages/CreativePages/CustomReportCreativeDetail.aspx?App=23&amp;ReportView=4&amp;Qid=1711245&amp;Row=1057&amp;Col=1","No Title Assigned - #15268199497")</f>
        <v/>
      </c>
      <c r="B1065" s="0" t="s">
        <v>1626</v>
      </c>
      <c r="C1065" s="0" t="s">
        <v>1627</v>
      </c>
      <c r="D1065" s="0" t="s">
        <v>1627</v>
      </c>
      <c r="E1065" s="0" t="s">
        <v>13</v>
      </c>
      <c r="F1065" s="0" t="s">
        <v>540</v>
      </c>
      <c r="G1065" s="0" t="s">
        <v>541</v>
      </c>
      <c r="H1065" s="5">
        <v>1181.172800</v>
      </c>
    </row>
    <row r="1066" spans="1:9">
      <c r="A1066" s="22" t="str">
        <f>HYPERLINK("https://app.vivvix.com/360/KMI/IntelliDrive/ApplUI/Pages/CreativePages/CustomReportCreativeDetail.aspx?App=23&amp;ReportView=4&amp;Qid=1711245&amp;Row=1058&amp;Col=1","No Title Assigned - #15268258349")</f>
        <v/>
      </c>
      <c r="B1066" s="0" t="s">
        <v>1628</v>
      </c>
      <c r="C1066" s="0" t="s">
        <v>1629</v>
      </c>
      <c r="D1066" s="0" t="s">
        <v>1629</v>
      </c>
      <c r="E1066" s="0" t="s">
        <v>13</v>
      </c>
      <c r="F1066" s="0" t="s">
        <v>540</v>
      </c>
      <c r="G1066" s="0" t="s">
        <v>541</v>
      </c>
      <c r="H1066" s="5">
        <v>22893.355800</v>
      </c>
    </row>
    <row r="1067" spans="1:9">
      <c r="A1067" s="22" t="str">
        <f>HYPERLINK("https://app.vivvix.com/360/KMI/IntelliDrive/ApplUI/Pages/CreativePages/CustomReportCreativeDetail.aspx?App=23&amp;ReportView=4&amp;Qid=1711245&amp;Row=1059&amp;Col=1","No Title Assigned - #15268274055")</f>
        <v/>
      </c>
      <c r="B1067" s="0" t="s">
        <v>1630</v>
      </c>
      <c r="C1067" s="0" t="s">
        <v>1631</v>
      </c>
      <c r="D1067" s="0" t="s">
        <v>1631</v>
      </c>
      <c r="E1067" s="0" t="s">
        <v>13</v>
      </c>
      <c r="F1067" s="0" t="s">
        <v>540</v>
      </c>
      <c r="G1067" s="0" t="s">
        <v>541</v>
      </c>
      <c r="H1067" s="5">
        <v>614.129200</v>
      </c>
    </row>
    <row r="1068" spans="1:9">
      <c r="A1068" s="22" t="str">
        <f>HYPERLINK("https://app.vivvix.com/360/KMI/IntelliDrive/ApplUI/Pages/CreativePages/CustomReportCreativeDetail.aspx?App=23&amp;ReportView=4&amp;Qid=1711245&amp;Row=1060&amp;Col=1","No Title Assigned - #15268286527")</f>
        <v/>
      </c>
      <c r="B1068" s="0" t="s">
        <v>1632</v>
      </c>
      <c r="E1068" s="0" t="s">
        <v>13</v>
      </c>
      <c r="F1068" s="0" t="s">
        <v>13</v>
      </c>
      <c r="G1068" s="0" t="s">
        <v>54</v>
      </c>
      <c r="H1068" s="5">
        <v>1739.351600</v>
      </c>
    </row>
    <row r="1069" spans="1:9">
      <c r="A1069" s="22" t="str">
        <f>HYPERLINK("https://app.vivvix.com/360/KMI/IntelliDrive/ApplUI/Pages/CreativePages/CustomReportCreativeDetail.aspx?App=23&amp;ReportView=4&amp;Qid=1711245&amp;Row=1061&amp;Col=1","No Title Assigned - #15268339126")</f>
        <v/>
      </c>
      <c r="B1069" s="0" t="s">
        <v>1633</v>
      </c>
      <c r="E1069" s="0" t="s">
        <v>13</v>
      </c>
      <c r="F1069" s="0" t="s">
        <v>13</v>
      </c>
      <c r="G1069" s="0" t="s">
        <v>54</v>
      </c>
      <c r="H1069" s="5">
        <v>2493.947000</v>
      </c>
    </row>
    <row r="1070" spans="1:9">
      <c r="A1070" s="22" t="str">
        <f>HYPERLINK("https://app.vivvix.com/360/KMI/IntelliDrive/ApplUI/Pages/CreativePages/CustomReportCreativeDetail.aspx?App=23&amp;ReportView=4&amp;Qid=1711245&amp;Row=1062&amp;Col=1","No Title Assigned - #15268343702")</f>
        <v/>
      </c>
      <c r="B1070" s="0" t="s">
        <v>1634</v>
      </c>
      <c r="E1070" s="0" t="s">
        <v>13</v>
      </c>
      <c r="F1070" s="0" t="s">
        <v>13</v>
      </c>
      <c r="G1070" s="0" t="s">
        <v>54</v>
      </c>
      <c r="H1070" s="5">
        <v>2362.693700</v>
      </c>
    </row>
    <row r="1071" spans="1:9">
      <c r="A1071" s="22" t="str">
        <f>HYPERLINK("https://app.vivvix.com/360/KMI/IntelliDrive/ApplUI/Pages/CreativePages/CustomReportCreativeDetail.aspx?App=23&amp;ReportView=4&amp;Qid=1711245&amp;Row=1063&amp;Col=1","No Title Assigned - #15268368967")</f>
        <v/>
      </c>
      <c r="B1071" s="0" t="s">
        <v>1635</v>
      </c>
      <c r="E1071" s="0" t="s">
        <v>13</v>
      </c>
      <c r="F1071" s="0" t="s">
        <v>13</v>
      </c>
      <c r="G1071" s="0" t="s">
        <v>54</v>
      </c>
      <c r="H1071" s="5">
        <v>1600.450600</v>
      </c>
    </row>
    <row r="1072" spans="1:9">
      <c r="A1072" s="22" t="str">
        <f>HYPERLINK("https://app.vivvix.com/360/KMI/IntelliDrive/ApplUI/Pages/CreativePages/CustomReportCreativeDetail.aspx?App=23&amp;ReportView=4&amp;Qid=1711245&amp;Row=1064&amp;Col=1","No Title Assigned - #15268368987")</f>
        <v/>
      </c>
      <c r="B1072" s="0" t="s">
        <v>1636</v>
      </c>
      <c r="E1072" s="0" t="s">
        <v>13</v>
      </c>
      <c r="F1072" s="0" t="s">
        <v>13</v>
      </c>
      <c r="G1072" s="0" t="s">
        <v>54</v>
      </c>
      <c r="H1072" s="5">
        <v>927.953200</v>
      </c>
    </row>
    <row r="1073" spans="1:9">
      <c r="A1073" s="22" t="str">
        <f>HYPERLINK("https://app.vivvix.com/360/KMI/IntelliDrive/ApplUI/Pages/CreativePages/CustomReportCreativeDetail.aspx?App=23&amp;ReportView=4&amp;Qid=1711245&amp;Row=1065&amp;Col=1","No Title Assigned - #15268377405")</f>
        <v/>
      </c>
      <c r="B1073" s="0" t="s">
        <v>1637</v>
      </c>
      <c r="E1073" s="0" t="s">
        <v>13</v>
      </c>
      <c r="F1073" s="0" t="s">
        <v>13</v>
      </c>
      <c r="G1073" s="0" t="s">
        <v>54</v>
      </c>
      <c r="H1073" s="5">
        <v>153.964200</v>
      </c>
    </row>
    <row r="1074" spans="1:9">
      <c r="A1074" s="22" t="str">
        <f>HYPERLINK("https://app.vivvix.com/360/KMI/IntelliDrive/ApplUI/Pages/CreativePages/CustomReportCreativeDetail.aspx?App=23&amp;ReportView=4&amp;Qid=1711245&amp;Row=1066&amp;Col=1","No Title Assigned - #15268383527")</f>
        <v/>
      </c>
      <c r="B1074" s="0" t="s">
        <v>1638</v>
      </c>
      <c r="E1074" s="0" t="s">
        <v>13</v>
      </c>
      <c r="F1074" s="0" t="s">
        <v>13</v>
      </c>
      <c r="G1074" s="0" t="s">
        <v>54</v>
      </c>
      <c r="H1074" s="5">
        <v>2073.613700</v>
      </c>
    </row>
    <row r="1075" spans="1:9">
      <c r="A1075" s="22" t="str">
        <f>HYPERLINK("https://app.vivvix.com/360/KMI/IntelliDrive/ApplUI/Pages/CreativePages/CustomReportCreativeDetail.aspx?App=23&amp;ReportView=4&amp;Qid=1711245&amp;Row=1067&amp;Col=1","No Title Assigned - #15268432654")</f>
        <v/>
      </c>
      <c r="B1075" s="0" t="s">
        <v>1639</v>
      </c>
      <c r="E1075" s="0" t="s">
        <v>13</v>
      </c>
      <c r="F1075" s="0" t="s">
        <v>13</v>
      </c>
      <c r="G1075" s="0" t="s">
        <v>54</v>
      </c>
      <c r="H1075" s="5">
        <v>1313.687900</v>
      </c>
    </row>
    <row r="1076" spans="1:9">
      <c r="A1076" s="22" t="str">
        <f>HYPERLINK("https://app.vivvix.com/360/KMI/IntelliDrive/ApplUI/Pages/CreativePages/CustomReportCreativeDetail.aspx?App=23&amp;ReportView=4&amp;Qid=1711245&amp;Row=1068&amp;Col=1","No Title Assigned - #15268433783")</f>
        <v/>
      </c>
      <c r="B1076" s="0" t="s">
        <v>1640</v>
      </c>
      <c r="E1076" s="0" t="s">
        <v>13</v>
      </c>
      <c r="F1076" s="0" t="s">
        <v>13</v>
      </c>
      <c r="G1076" s="0" t="s">
        <v>54</v>
      </c>
      <c r="H1076" s="5">
        <v>1899.794400</v>
      </c>
    </row>
    <row r="1077" spans="1:9">
      <c r="A1077" s="22" t="str">
        <f>HYPERLINK("https://app.vivvix.com/360/KMI/IntelliDrive/ApplUI/Pages/CreativePages/CustomReportCreativeDetail.aspx?App=23&amp;ReportView=4&amp;Qid=1711245&amp;Row=1069&amp;Col=1","No Title Assigned - #15268444056")</f>
        <v/>
      </c>
      <c r="B1077" s="0" t="s">
        <v>1641</v>
      </c>
      <c r="C1077" s="0" t="s">
        <v>1642</v>
      </c>
      <c r="D1077" s="0" t="s">
        <v>1642</v>
      </c>
      <c r="E1077" s="0" t="s">
        <v>13</v>
      </c>
      <c r="F1077" s="0" t="s">
        <v>540</v>
      </c>
      <c r="G1077" s="0" t="s">
        <v>541</v>
      </c>
      <c r="H1077" s="5">
        <v>633.928500</v>
      </c>
    </row>
    <row r="1078" spans="1:9">
      <c r="A1078" s="22" t="str">
        <f>HYPERLINK("https://app.vivvix.com/360/KMI/IntelliDrive/ApplUI/Pages/CreativePages/CustomReportCreativeDetail.aspx?App=23&amp;ReportView=4&amp;Qid=1711245&amp;Row=1070&amp;Col=1","No Title Assigned - #15268461757")</f>
        <v/>
      </c>
      <c r="B1078" s="0" t="s">
        <v>1643</v>
      </c>
      <c r="E1078" s="0" t="s">
        <v>13</v>
      </c>
      <c r="F1078" s="0" t="s">
        <v>13</v>
      </c>
      <c r="G1078" s="0" t="s">
        <v>54</v>
      </c>
      <c r="H1078" s="5">
        <v>481.974100</v>
      </c>
    </row>
    <row r="1079" spans="1:9">
      <c r="A1079" s="22" t="str">
        <f>HYPERLINK("https://app.vivvix.com/360/KMI/IntelliDrive/ApplUI/Pages/CreativePages/CustomReportCreativeDetail.aspx?App=23&amp;ReportView=4&amp;Qid=1711245&amp;Row=1071&amp;Col=1","No Title Assigned - #15268463590")</f>
        <v/>
      </c>
      <c r="B1079" s="0" t="s">
        <v>1644</v>
      </c>
      <c r="E1079" s="0" t="s">
        <v>13</v>
      </c>
      <c r="F1079" s="0" t="s">
        <v>13</v>
      </c>
      <c r="G1079" s="0" t="s">
        <v>54</v>
      </c>
      <c r="H1079" s="5">
        <v>502.632200</v>
      </c>
    </row>
    <row r="1080" spans="1:9">
      <c r="A1080" s="22" t="str">
        <f>HYPERLINK("https://app.vivvix.com/360/KMI/IntelliDrive/ApplUI/Pages/CreativePages/CustomReportCreativeDetail.aspx?App=23&amp;ReportView=4&amp;Qid=1711245&amp;Row=1072&amp;Col=1","No Title Assigned - #15268521847")</f>
        <v/>
      </c>
      <c r="B1080" s="0" t="s">
        <v>1645</v>
      </c>
      <c r="E1080" s="0" t="s">
        <v>13</v>
      </c>
      <c r="F1080" s="0" t="s">
        <v>13</v>
      </c>
      <c r="G1080" s="0" t="s">
        <v>54</v>
      </c>
      <c r="H1080" s="5">
        <v>4491.383900</v>
      </c>
    </row>
    <row r="1081" spans="1:9">
      <c r="A1081" s="22" t="str">
        <f>HYPERLINK("https://app.vivvix.com/360/KMI/IntelliDrive/ApplUI/Pages/CreativePages/CustomReportCreativeDetail.aspx?App=23&amp;ReportView=4&amp;Qid=1711245&amp;Row=1073&amp;Col=1","No Title Assigned - #15268522249")</f>
        <v/>
      </c>
      <c r="B1081" s="0" t="s">
        <v>1646</v>
      </c>
      <c r="C1081" s="0" t="s">
        <v>1647</v>
      </c>
      <c r="D1081" s="0" t="s">
        <v>1647</v>
      </c>
      <c r="E1081" s="0" t="s">
        <v>13</v>
      </c>
      <c r="F1081" s="0" t="s">
        <v>13</v>
      </c>
      <c r="G1081" s="0" t="s">
        <v>54</v>
      </c>
      <c r="H1081" s="5">
        <v>66541.786800</v>
      </c>
    </row>
    <row r="1082" spans="1:9">
      <c r="A1082" s="22" t="str">
        <f>HYPERLINK("https://app.vivvix.com/360/KMI/IntelliDrive/ApplUI/Pages/CreativePages/CustomReportCreativeDetail.aspx?App=23&amp;ReportView=4&amp;Qid=1711245&amp;Row=1074&amp;Col=1","No Title Assigned - #15268540228")</f>
        <v/>
      </c>
      <c r="B1082" s="0" t="s">
        <v>1648</v>
      </c>
      <c r="E1082" s="0" t="s">
        <v>13</v>
      </c>
      <c r="F1082" s="0" t="s">
        <v>13</v>
      </c>
      <c r="G1082" s="0" t="s">
        <v>54</v>
      </c>
      <c r="H1082" s="5">
        <v>3469.054800</v>
      </c>
    </row>
    <row r="1083" spans="1:9">
      <c r="A1083" s="22" t="str">
        <f>HYPERLINK("https://app.vivvix.com/360/KMI/IntelliDrive/ApplUI/Pages/CreativePages/CustomReportCreativeDetail.aspx?App=23&amp;ReportView=4&amp;Qid=1711245&amp;Row=1075&amp;Col=1","No Title Assigned - #15268557454")</f>
        <v/>
      </c>
      <c r="B1083" s="0" t="s">
        <v>1649</v>
      </c>
      <c r="E1083" s="0" t="s">
        <v>13</v>
      </c>
      <c r="F1083" s="0" t="s">
        <v>13</v>
      </c>
      <c r="G1083" s="0" t="s">
        <v>54</v>
      </c>
      <c r="H1083" s="5">
        <v>1056.737600</v>
      </c>
    </row>
    <row r="1084" spans="1:9">
      <c r="A1084" s="22" t="str">
        <f>HYPERLINK("https://app.vivvix.com/360/KMI/IntelliDrive/ApplUI/Pages/CreativePages/CustomReportCreativeDetail.aspx?App=23&amp;ReportView=4&amp;Qid=1711245&amp;Row=1076&amp;Col=1","No Title Assigned - #15268618789")</f>
        <v/>
      </c>
      <c r="B1084" s="0" t="s">
        <v>1650</v>
      </c>
      <c r="E1084" s="0" t="s">
        <v>13</v>
      </c>
      <c r="F1084" s="0" t="s">
        <v>13</v>
      </c>
      <c r="G1084" s="0" t="s">
        <v>54</v>
      </c>
      <c r="H1084" s="5">
        <v>13084.998500</v>
      </c>
    </row>
    <row r="1085" spans="1:9">
      <c r="A1085" s="22" t="str">
        <f>HYPERLINK("https://app.vivvix.com/360/KMI/IntelliDrive/ApplUI/Pages/CreativePages/CustomReportCreativeDetail.aspx?App=23&amp;ReportView=4&amp;Qid=1711245&amp;Row=1077&amp;Col=1","No Title Assigned - #15268633139")</f>
        <v/>
      </c>
      <c r="B1085" s="0" t="s">
        <v>1651</v>
      </c>
      <c r="C1085" s="0" t="s">
        <v>1652</v>
      </c>
      <c r="D1085" s="0" t="s">
        <v>1652</v>
      </c>
      <c r="E1085" s="0" t="s">
        <v>13</v>
      </c>
      <c r="F1085" s="0" t="s">
        <v>13</v>
      </c>
      <c r="G1085" s="0" t="s">
        <v>54</v>
      </c>
      <c r="H1085" s="5">
        <v>218.974500</v>
      </c>
    </row>
    <row r="1086" spans="1:9">
      <c r="A1086" s="22" t="str">
        <f>HYPERLINK("https://app.vivvix.com/360/KMI/IntelliDrive/ApplUI/Pages/CreativePages/CustomReportCreativeDetail.aspx?App=23&amp;ReportView=4&amp;Qid=1711245&amp;Row=1078&amp;Col=1","No Title Assigned - #15268633451")</f>
        <v/>
      </c>
      <c r="B1086" s="0" t="s">
        <v>1653</v>
      </c>
      <c r="E1086" s="0" t="s">
        <v>13</v>
      </c>
      <c r="F1086" s="0" t="s">
        <v>13</v>
      </c>
      <c r="G1086" s="0" t="s">
        <v>54</v>
      </c>
      <c r="H1086" s="5">
        <v>437.949000</v>
      </c>
    </row>
    <row r="1087" spans="1:9">
      <c r="A1087" s="22" t="str">
        <f>HYPERLINK("https://app.vivvix.com/360/KMI/IntelliDrive/ApplUI/Pages/CreativePages/CustomReportCreativeDetail.aspx?App=23&amp;ReportView=4&amp;Qid=1711245&amp;Row=1079&amp;Col=1","No Title Assigned - #15268634077")</f>
        <v/>
      </c>
      <c r="B1087" s="0" t="s">
        <v>1654</v>
      </c>
      <c r="E1087" s="0" t="s">
        <v>13</v>
      </c>
      <c r="F1087" s="0" t="s">
        <v>13</v>
      </c>
      <c r="G1087" s="0" t="s">
        <v>54</v>
      </c>
      <c r="H1087" s="5">
        <v>7988.115300</v>
      </c>
    </row>
    <row r="1088" spans="1:9">
      <c r="A1088" s="22" t="str">
        <f>HYPERLINK("https://app.vivvix.com/360/KMI/IntelliDrive/ApplUI/Pages/CreativePages/CustomReportCreativeDetail.aspx?App=23&amp;ReportView=4&amp;Qid=1711245&amp;Row=1080&amp;Col=1","No Title Assigned - #15268644527")</f>
        <v/>
      </c>
      <c r="B1088" s="0" t="s">
        <v>1655</v>
      </c>
      <c r="E1088" s="0" t="s">
        <v>13</v>
      </c>
      <c r="F1088" s="0" t="s">
        <v>13</v>
      </c>
      <c r="G1088" s="0" t="s">
        <v>54</v>
      </c>
      <c r="H1088" s="5">
        <v>291.777200</v>
      </c>
    </row>
    <row r="1089" spans="1:9">
      <c r="A1089" s="22" t="str">
        <f>HYPERLINK("https://app.vivvix.com/360/KMI/IntelliDrive/ApplUI/Pages/CreativePages/CustomReportCreativeDetail.aspx?App=23&amp;ReportView=4&amp;Qid=1711245&amp;Row=1081&amp;Col=1","No Title Assigned - #15268728674")</f>
        <v/>
      </c>
      <c r="B1089" s="0" t="s">
        <v>1656</v>
      </c>
      <c r="E1089" s="0" t="s">
        <v>13</v>
      </c>
      <c r="F1089" s="0" t="s">
        <v>13</v>
      </c>
      <c r="G1089" s="0" t="s">
        <v>54</v>
      </c>
      <c r="H1089" s="5">
        <v>793.812900</v>
      </c>
    </row>
    <row r="1090" spans="1:9">
      <c r="A1090" s="22" t="str">
        <f>HYPERLINK("https://app.vivvix.com/360/KMI/IntelliDrive/ApplUI/Pages/CreativePages/CustomReportCreativeDetail.aspx?App=23&amp;ReportView=4&amp;Qid=1711245&amp;Row=1082&amp;Col=1","No Title Assigned - #15268810421")</f>
        <v/>
      </c>
      <c r="B1090" s="0" t="s">
        <v>1657</v>
      </c>
      <c r="C1090" s="0" t="s">
        <v>1658</v>
      </c>
      <c r="D1090" s="0" t="s">
        <v>1658</v>
      </c>
      <c r="E1090" s="0" t="s">
        <v>13</v>
      </c>
      <c r="F1090" s="0" t="s">
        <v>14</v>
      </c>
      <c r="G1090" s="0" t="s">
        <v>15</v>
      </c>
      <c r="H1090" s="5">
        <v>3937.545500</v>
      </c>
    </row>
    <row r="1091" spans="1:9">
      <c r="A1091" s="22" t="str">
        <f>HYPERLINK("https://app.vivvix.com/360/KMI/IntelliDrive/ApplUI/Pages/CreativePages/CustomReportCreativeDetail.aspx?App=23&amp;ReportView=4&amp;Qid=1711245&amp;Row=1083&amp;Col=1","No Title Assigned - #15268812233")</f>
        <v/>
      </c>
      <c r="B1091" s="0" t="s">
        <v>1659</v>
      </c>
      <c r="C1091" s="0" t="s">
        <v>1660</v>
      </c>
      <c r="D1091" s="0" t="s">
        <v>1660</v>
      </c>
      <c r="E1091" s="0" t="s">
        <v>13</v>
      </c>
      <c r="F1091" s="0" t="s">
        <v>128</v>
      </c>
      <c r="G1091" s="0" t="s">
        <v>456</v>
      </c>
      <c r="H1091" s="5">
        <v>2212.897700</v>
      </c>
    </row>
    <row r="1092" spans="1:9">
      <c r="A1092" s="22" t="str">
        <f>HYPERLINK("https://app.vivvix.com/360/KMI/IntelliDrive/ApplUI/Pages/CreativePages/CustomReportCreativeDetail.aspx?App=23&amp;ReportView=4&amp;Qid=1711245&amp;Row=1084&amp;Col=1","No Title Assigned - #15268819690")</f>
        <v/>
      </c>
      <c r="B1092" s="0" t="s">
        <v>1661</v>
      </c>
      <c r="E1092" s="0" t="s">
        <v>13</v>
      </c>
      <c r="F1092" s="0" t="s">
        <v>13</v>
      </c>
      <c r="G1092" s="0" t="s">
        <v>54</v>
      </c>
      <c r="H1092" s="5">
        <v>18162.573600</v>
      </c>
    </row>
    <row r="1093" spans="1:9">
      <c r="A1093" s="22" t="str">
        <f>HYPERLINK("https://app.vivvix.com/360/KMI/IntelliDrive/ApplUI/Pages/CreativePages/CustomReportCreativeDetail.aspx?App=23&amp;ReportView=4&amp;Qid=1711245&amp;Row=1085&amp;Col=1","No Title Assigned - #15268849463")</f>
        <v/>
      </c>
      <c r="B1093" s="0" t="s">
        <v>1662</v>
      </c>
      <c r="E1093" s="0" t="s">
        <v>13</v>
      </c>
      <c r="F1093" s="0" t="s">
        <v>13</v>
      </c>
      <c r="G1093" s="0" t="s">
        <v>54</v>
      </c>
      <c r="H1093" s="5">
        <v>1314.822400</v>
      </c>
    </row>
    <row r="1094" spans="1:9">
      <c r="A1094" s="22" t="str">
        <f>HYPERLINK("https://app.vivvix.com/360/KMI/IntelliDrive/ApplUI/Pages/CreativePages/CustomReportCreativeDetail.aspx?App=23&amp;ReportView=4&amp;Qid=1711245&amp;Row=1086&amp;Col=1","No Title Assigned - #15268849480")</f>
        <v/>
      </c>
      <c r="B1094" s="0" t="s">
        <v>1663</v>
      </c>
      <c r="E1094" s="0" t="s">
        <v>13</v>
      </c>
      <c r="F1094" s="0" t="s">
        <v>13</v>
      </c>
      <c r="G1094" s="0" t="s">
        <v>54</v>
      </c>
      <c r="H1094" s="5">
        <v>6164.337400</v>
      </c>
    </row>
    <row r="1095" spans="1:9">
      <c r="A1095" s="22" t="str">
        <f>HYPERLINK("https://app.vivvix.com/360/KMI/IntelliDrive/ApplUI/Pages/CreativePages/CustomReportCreativeDetail.aspx?App=23&amp;ReportView=4&amp;Qid=1711245&amp;Row=1087&amp;Col=1","No Title Assigned - #15268857171")</f>
        <v/>
      </c>
      <c r="B1095" s="0" t="s">
        <v>1664</v>
      </c>
      <c r="E1095" s="0" t="s">
        <v>13</v>
      </c>
      <c r="F1095" s="0" t="s">
        <v>13</v>
      </c>
      <c r="G1095" s="0" t="s">
        <v>54</v>
      </c>
      <c r="H1095" s="5">
        <v>19.650500</v>
      </c>
    </row>
    <row r="1096" spans="1:9">
      <c r="A1096" s="22" t="str">
        <f>HYPERLINK("https://app.vivvix.com/360/KMI/IntelliDrive/ApplUI/Pages/CreativePages/CustomReportCreativeDetail.aspx?App=23&amp;ReportView=4&amp;Qid=1711245&amp;Row=1088&amp;Col=1","No Title Assigned - #15268924587")</f>
        <v/>
      </c>
      <c r="B1096" s="0" t="s">
        <v>1665</v>
      </c>
      <c r="C1096" s="0" t="s">
        <v>1666</v>
      </c>
      <c r="D1096" s="0" t="s">
        <v>1666</v>
      </c>
      <c r="E1096" s="0" t="s">
        <v>13</v>
      </c>
      <c r="F1096" s="0" t="s">
        <v>28</v>
      </c>
      <c r="G1096" s="0" t="s">
        <v>110</v>
      </c>
      <c r="H1096" s="5">
        <v>10450.242300</v>
      </c>
    </row>
    <row r="1097" spans="1:9">
      <c r="A1097" s="22" t="str">
        <f>HYPERLINK("https://app.vivvix.com/360/KMI/IntelliDrive/ApplUI/Pages/CreativePages/CustomReportCreativeDetail.aspx?App=23&amp;ReportView=4&amp;Qid=1711245&amp;Row=1089&amp;Col=1","No Title Assigned - #15268928672")</f>
        <v/>
      </c>
      <c r="B1097" s="0" t="s">
        <v>1667</v>
      </c>
      <c r="E1097" s="0" t="s">
        <v>13</v>
      </c>
      <c r="F1097" s="0" t="s">
        <v>13</v>
      </c>
      <c r="G1097" s="0" t="s">
        <v>54</v>
      </c>
      <c r="H1097" s="5">
        <v>14402.214200</v>
      </c>
    </row>
    <row r="1098" spans="1:9">
      <c r="A1098" s="22" t="str">
        <f>HYPERLINK("https://app.vivvix.com/360/KMI/IntelliDrive/ApplUI/Pages/CreativePages/CustomReportCreativeDetail.aspx?App=23&amp;ReportView=4&amp;Qid=1711245&amp;Row=1090&amp;Col=1","No Title Assigned - #15268936904")</f>
        <v/>
      </c>
      <c r="B1098" s="0" t="s">
        <v>1668</v>
      </c>
      <c r="E1098" s="0" t="s">
        <v>13</v>
      </c>
      <c r="F1098" s="0" t="s">
        <v>13</v>
      </c>
      <c r="G1098" s="0" t="s">
        <v>54</v>
      </c>
      <c r="H1098" s="5">
        <v>90.098500</v>
      </c>
    </row>
    <row r="1099" spans="1:9">
      <c r="A1099" s="22" t="str">
        <f>HYPERLINK("https://app.vivvix.com/360/KMI/IntelliDrive/ApplUI/Pages/CreativePages/CustomReportCreativeDetail.aspx?App=23&amp;ReportView=4&amp;Qid=1711245&amp;Row=1091&amp;Col=1","No Title Assigned - #15268937563")</f>
        <v/>
      </c>
      <c r="B1099" s="0" t="s">
        <v>1669</v>
      </c>
      <c r="E1099" s="0" t="s">
        <v>13</v>
      </c>
      <c r="F1099" s="0" t="s">
        <v>13</v>
      </c>
      <c r="G1099" s="0" t="s">
        <v>54</v>
      </c>
      <c r="H1099" s="5">
        <v>19.908200</v>
      </c>
    </row>
    <row r="1100" spans="1:9">
      <c r="A1100" s="22" t="str">
        <f>HYPERLINK("https://app.vivvix.com/360/KMI/IntelliDrive/ApplUI/Pages/CreativePages/CustomReportCreativeDetail.aspx?App=23&amp;ReportView=4&amp;Qid=1711245&amp;Row=1092&amp;Col=1","No Title Assigned - #15268956182")</f>
        <v/>
      </c>
      <c r="B1100" s="0" t="s">
        <v>1670</v>
      </c>
      <c r="E1100" s="0" t="s">
        <v>13</v>
      </c>
      <c r="F1100" s="0" t="s">
        <v>13</v>
      </c>
      <c r="G1100" s="0" t="s">
        <v>54</v>
      </c>
      <c r="H1100" s="5">
        <v>8.156200</v>
      </c>
    </row>
    <row r="1101" spans="1:9">
      <c r="A1101" s="22" t="str">
        <f>HYPERLINK("https://app.vivvix.com/360/KMI/IntelliDrive/ApplUI/Pages/CreativePages/CustomReportCreativeDetail.aspx?App=23&amp;ReportView=4&amp;Qid=1711245&amp;Row=1093&amp;Col=1","No Title Assigned - #15269031505")</f>
        <v/>
      </c>
      <c r="B1101" s="0" t="s">
        <v>1671</v>
      </c>
      <c r="E1101" s="0" t="s">
        <v>13</v>
      </c>
      <c r="F1101" s="0" t="s">
        <v>13</v>
      </c>
      <c r="G1101" s="0" t="s">
        <v>54</v>
      </c>
      <c r="H1101" s="5">
        <v>794.263000</v>
      </c>
    </row>
    <row r="1102" spans="1:9">
      <c r="A1102" s="22" t="str">
        <f>HYPERLINK("https://app.vivvix.com/360/KMI/IntelliDrive/ApplUI/Pages/CreativePages/CustomReportCreativeDetail.aspx?App=23&amp;ReportView=4&amp;Qid=1711245&amp;Row=1094&amp;Col=1","No Title Assigned - #15269031563")</f>
        <v/>
      </c>
      <c r="B1102" s="0" t="s">
        <v>1672</v>
      </c>
      <c r="E1102" s="0" t="s">
        <v>13</v>
      </c>
      <c r="F1102" s="0" t="s">
        <v>13</v>
      </c>
      <c r="G1102" s="0" t="s">
        <v>54</v>
      </c>
      <c r="H1102" s="5">
        <v>161.561200</v>
      </c>
    </row>
    <row r="1103" spans="1:9">
      <c r="A1103" s="22" t="str">
        <f>HYPERLINK("https://app.vivvix.com/360/KMI/IntelliDrive/ApplUI/Pages/CreativePages/CustomReportCreativeDetail.aspx?App=23&amp;ReportView=4&amp;Qid=1711245&amp;Row=1095&amp;Col=1","No Title Assigned - #15269040412")</f>
        <v/>
      </c>
      <c r="B1103" s="0" t="s">
        <v>1673</v>
      </c>
      <c r="E1103" s="0" t="s">
        <v>13</v>
      </c>
      <c r="F1103" s="0" t="s">
        <v>13</v>
      </c>
      <c r="G1103" s="0" t="s">
        <v>54</v>
      </c>
      <c r="H1103" s="5">
        <v>1864.841300</v>
      </c>
    </row>
    <row r="1104" spans="1:9">
      <c r="A1104" s="22" t="str">
        <f>HYPERLINK("https://app.vivvix.com/360/KMI/IntelliDrive/ApplUI/Pages/CreativePages/CustomReportCreativeDetail.aspx?App=23&amp;ReportView=4&amp;Qid=1711245&amp;Row=1096&amp;Col=1","No Title Assigned - #15269156325")</f>
        <v/>
      </c>
      <c r="B1104" s="0" t="s">
        <v>1674</v>
      </c>
      <c r="C1104" s="0" t="s">
        <v>1675</v>
      </c>
      <c r="D1104" s="0" t="s">
        <v>1675</v>
      </c>
      <c r="E1104" s="0" t="s">
        <v>13</v>
      </c>
      <c r="F1104" s="0" t="s">
        <v>17</v>
      </c>
      <c r="G1104" s="0" t="s">
        <v>446</v>
      </c>
      <c r="H1104" s="5">
        <v>1356.661100</v>
      </c>
    </row>
    <row r="1105" spans="1:9">
      <c r="A1105" s="22" t="str">
        <f>HYPERLINK("https://app.vivvix.com/360/KMI/IntelliDrive/ApplUI/Pages/CreativePages/CustomReportCreativeDetail.aspx?App=23&amp;ReportView=4&amp;Qid=1711245&amp;Row=1097&amp;Col=1","No Title Assigned - #15269163709")</f>
        <v/>
      </c>
      <c r="B1105" s="0" t="s">
        <v>1676</v>
      </c>
      <c r="E1105" s="0" t="s">
        <v>13</v>
      </c>
      <c r="F1105" s="0" t="s">
        <v>13</v>
      </c>
      <c r="G1105" s="0" t="s">
        <v>54</v>
      </c>
      <c r="H1105" s="5">
        <v>17574.571900</v>
      </c>
    </row>
    <row r="1106" spans="1:9">
      <c r="A1106" s="22" t="str">
        <f>HYPERLINK("https://app.vivvix.com/360/KMI/IntelliDrive/ApplUI/Pages/CreativePages/CustomReportCreativeDetail.aspx?App=23&amp;ReportView=4&amp;Qid=1711245&amp;Row=1098&amp;Col=1","No Title Assigned - #15269183620")</f>
        <v/>
      </c>
      <c r="B1106" s="0" t="s">
        <v>1677</v>
      </c>
      <c r="E1106" s="0" t="s">
        <v>13</v>
      </c>
      <c r="F1106" s="0" t="s">
        <v>13</v>
      </c>
      <c r="G1106" s="0" t="s">
        <v>54</v>
      </c>
      <c r="H1106" s="5">
        <v>1044.625200</v>
      </c>
    </row>
    <row r="1107" spans="1:9">
      <c r="A1107" s="22" t="str">
        <f>HYPERLINK("https://app.vivvix.com/360/KMI/IntelliDrive/ApplUI/Pages/CreativePages/CustomReportCreativeDetail.aspx?App=23&amp;ReportView=4&amp;Qid=1711245&amp;Row=1099&amp;Col=1","No Title Assigned - #15269191640")</f>
        <v/>
      </c>
      <c r="B1107" s="0" t="s">
        <v>1678</v>
      </c>
      <c r="E1107" s="0" t="s">
        <v>13</v>
      </c>
      <c r="F1107" s="0" t="s">
        <v>13</v>
      </c>
      <c r="G1107" s="0" t="s">
        <v>54</v>
      </c>
      <c r="H1107" s="5">
        <v>3332.372700</v>
      </c>
    </row>
    <row r="1108" spans="1:9">
      <c r="A1108" s="22" t="str">
        <f>HYPERLINK("https://app.vivvix.com/360/KMI/IntelliDrive/ApplUI/Pages/CreativePages/CustomReportCreativeDetail.aspx?App=23&amp;ReportView=4&amp;Qid=1711245&amp;Row=1100&amp;Col=1","No Title Assigned - #15269192803")</f>
        <v/>
      </c>
      <c r="B1108" s="0" t="s">
        <v>1679</v>
      </c>
      <c r="E1108" s="0" t="s">
        <v>13</v>
      </c>
      <c r="F1108" s="0" t="s">
        <v>13</v>
      </c>
      <c r="G1108" s="0" t="s">
        <v>54</v>
      </c>
      <c r="H1108" s="5">
        <v>424.638100</v>
      </c>
    </row>
    <row r="1109" spans="1:9">
      <c r="A1109" s="22" t="str">
        <f>HYPERLINK("https://app.vivvix.com/360/KMI/IntelliDrive/ApplUI/Pages/CreativePages/CustomReportCreativeDetail.aspx?App=23&amp;ReportView=4&amp;Qid=1711245&amp;Row=1101&amp;Col=1","No Title Assigned - #15269234015")</f>
        <v/>
      </c>
      <c r="B1109" s="0" t="s">
        <v>1680</v>
      </c>
      <c r="E1109" s="0" t="s">
        <v>13</v>
      </c>
      <c r="F1109" s="0" t="s">
        <v>13</v>
      </c>
      <c r="G1109" s="0" t="s">
        <v>54</v>
      </c>
      <c r="H1109" s="5">
        <v>339.841700</v>
      </c>
    </row>
    <row r="1110" spans="1:9">
      <c r="A1110" s="22" t="str">
        <f>HYPERLINK("https://app.vivvix.com/360/KMI/IntelliDrive/ApplUI/Pages/CreativePages/CustomReportCreativeDetail.aspx?App=23&amp;ReportView=4&amp;Qid=1711245&amp;Row=1102&amp;Col=1","No Title Assigned - #15269262745")</f>
        <v/>
      </c>
      <c r="B1110" s="0" t="s">
        <v>1681</v>
      </c>
      <c r="E1110" s="0" t="s">
        <v>13</v>
      </c>
      <c r="F1110" s="0" t="s">
        <v>13</v>
      </c>
      <c r="G1110" s="0" t="s">
        <v>54</v>
      </c>
      <c r="H1110" s="5">
        <v>1396.189600</v>
      </c>
    </row>
    <row r="1111" spans="1:9">
      <c r="A1111" s="22" t="str">
        <f>HYPERLINK("https://app.vivvix.com/360/KMI/IntelliDrive/ApplUI/Pages/CreativePages/CustomReportCreativeDetail.aspx?App=23&amp;ReportView=4&amp;Qid=1711245&amp;Row=1103&amp;Col=1","No Title Assigned - #15269308803")</f>
        <v/>
      </c>
      <c r="B1111" s="0" t="s">
        <v>1682</v>
      </c>
      <c r="E1111" s="0" t="s">
        <v>13</v>
      </c>
      <c r="F1111" s="0" t="s">
        <v>13</v>
      </c>
      <c r="G1111" s="0" t="s">
        <v>54</v>
      </c>
      <c r="H1111" s="5">
        <v>727.120500</v>
      </c>
    </row>
    <row r="1112" spans="1:9">
      <c r="A1112" s="22" t="str">
        <f>HYPERLINK("https://app.vivvix.com/360/KMI/IntelliDrive/ApplUI/Pages/CreativePages/CustomReportCreativeDetail.aspx?App=23&amp;ReportView=4&amp;Qid=1711245&amp;Row=1104&amp;Col=1","No Title Assigned - #15269309031")</f>
        <v/>
      </c>
      <c r="B1112" s="0" t="s">
        <v>1683</v>
      </c>
      <c r="E1112" s="0" t="s">
        <v>13</v>
      </c>
      <c r="F1112" s="0" t="s">
        <v>13</v>
      </c>
      <c r="G1112" s="0" t="s">
        <v>54</v>
      </c>
      <c r="H1112" s="5">
        <v>948.664300</v>
      </c>
    </row>
    <row r="1113" spans="1:9">
      <c r="A1113" s="22" t="str">
        <f>HYPERLINK("https://app.vivvix.com/360/KMI/IntelliDrive/ApplUI/Pages/CreativePages/CustomReportCreativeDetail.aspx?App=23&amp;ReportView=4&amp;Qid=1711245&amp;Row=1105&amp;Col=1","No Title Assigned - #15269342300")</f>
        <v/>
      </c>
      <c r="B1113" s="0" t="s">
        <v>1684</v>
      </c>
      <c r="E1113" s="0" t="s">
        <v>13</v>
      </c>
      <c r="F1113" s="0" t="s">
        <v>13</v>
      </c>
      <c r="G1113" s="0" t="s">
        <v>54</v>
      </c>
      <c r="H1113" s="5">
        <v>193.477600</v>
      </c>
    </row>
    <row r="1114" spans="1:9">
      <c r="A1114" s="22" t="str">
        <f>HYPERLINK("https://app.vivvix.com/360/KMI/IntelliDrive/ApplUI/Pages/CreativePages/CustomReportCreativeDetail.aspx?App=23&amp;ReportView=4&amp;Qid=1711245&amp;Row=1106&amp;Col=1","No Title Assigned - #15269342307")</f>
        <v/>
      </c>
      <c r="B1114" s="0" t="s">
        <v>1685</v>
      </c>
      <c r="E1114" s="0" t="s">
        <v>13</v>
      </c>
      <c r="F1114" s="0" t="s">
        <v>13</v>
      </c>
      <c r="G1114" s="0" t="s">
        <v>54</v>
      </c>
      <c r="H1114" s="5">
        <v>48.369400</v>
      </c>
    </row>
    <row r="1115" spans="1:9">
      <c r="A1115" s="22" t="str">
        <f>HYPERLINK("https://app.vivvix.com/360/KMI/IntelliDrive/ApplUI/Pages/CreativePages/CustomReportCreativeDetail.aspx?App=23&amp;ReportView=4&amp;Qid=1711245&amp;Row=1107&amp;Col=1","No Title Assigned - #15269406631")</f>
        <v/>
      </c>
      <c r="B1115" s="0" t="s">
        <v>1686</v>
      </c>
      <c r="E1115" s="0" t="s">
        <v>13</v>
      </c>
      <c r="F1115" s="0" t="s">
        <v>13</v>
      </c>
      <c r="G1115" s="0" t="s">
        <v>54</v>
      </c>
      <c r="H1115" s="5">
        <v>91171.127300</v>
      </c>
    </row>
    <row r="1116" spans="1:9">
      <c r="A1116" s="22" t="str">
        <f>HYPERLINK("https://app.vivvix.com/360/KMI/IntelliDrive/ApplUI/Pages/CreativePages/CustomReportCreativeDetail.aspx?App=23&amp;ReportView=4&amp;Qid=1711245&amp;Row=1108&amp;Col=1","No Title Assigned - #15269422949")</f>
        <v/>
      </c>
      <c r="B1116" s="0" t="s">
        <v>1687</v>
      </c>
      <c r="E1116" s="0" t="s">
        <v>13</v>
      </c>
      <c r="F1116" s="0" t="s">
        <v>13</v>
      </c>
      <c r="G1116" s="0" t="s">
        <v>54</v>
      </c>
      <c r="H1116" s="5">
        <v>48.369400</v>
      </c>
    </row>
    <row r="1117" spans="1:9">
      <c r="A1117" s="22" t="str">
        <f>HYPERLINK("https://app.vivvix.com/360/KMI/IntelliDrive/ApplUI/Pages/CreativePages/CustomReportCreativeDetail.aspx?App=23&amp;ReportView=4&amp;Qid=1711245&amp;Row=1109&amp;Col=1","No Title Assigned - #15269422951")</f>
        <v/>
      </c>
      <c r="B1117" s="0" t="s">
        <v>1688</v>
      </c>
      <c r="E1117" s="0" t="s">
        <v>13</v>
      </c>
      <c r="F1117" s="0" t="s">
        <v>13</v>
      </c>
      <c r="G1117" s="0" t="s">
        <v>54</v>
      </c>
      <c r="H1117" s="5">
        <v>145.108200</v>
      </c>
    </row>
    <row r="1118" spans="1:9">
      <c r="A1118" s="22" t="str">
        <f>HYPERLINK("https://app.vivvix.com/360/KMI/IntelliDrive/ApplUI/Pages/CreativePages/CustomReportCreativeDetail.aspx?App=23&amp;ReportView=4&amp;Qid=1711245&amp;Row=1110&amp;Col=1","No Title Assigned - #15269423733")</f>
        <v/>
      </c>
      <c r="B1118" s="0" t="s">
        <v>1689</v>
      </c>
      <c r="E1118" s="0" t="s">
        <v>13</v>
      </c>
      <c r="F1118" s="0" t="s">
        <v>13</v>
      </c>
      <c r="G1118" s="0" t="s">
        <v>54</v>
      </c>
      <c r="H1118" s="5">
        <v>196.853500</v>
      </c>
    </row>
    <row r="1119" spans="1:9">
      <c r="A1119" s="22" t="str">
        <f>HYPERLINK("https://app.vivvix.com/360/KMI/IntelliDrive/ApplUI/Pages/CreativePages/CustomReportCreativeDetail.aspx?App=23&amp;ReportView=4&amp;Qid=1711245&amp;Row=1111&amp;Col=1","No Title Assigned - #15269427358")</f>
        <v/>
      </c>
      <c r="B1119" s="0" t="s">
        <v>1690</v>
      </c>
      <c r="E1119" s="0" t="s">
        <v>13</v>
      </c>
      <c r="F1119" s="0" t="s">
        <v>13</v>
      </c>
      <c r="G1119" s="0" t="s">
        <v>54</v>
      </c>
      <c r="H1119" s="5">
        <v>80.719600</v>
      </c>
    </row>
    <row r="1120" spans="1:9">
      <c r="A1120" s="22" t="str">
        <f>HYPERLINK("https://app.vivvix.com/360/KMI/IntelliDrive/ApplUI/Pages/CreativePages/CustomReportCreativeDetail.aspx?App=23&amp;ReportView=4&amp;Qid=1711245&amp;Row=1112&amp;Col=1","No Title Assigned - #15269474123")</f>
        <v/>
      </c>
      <c r="B1120" s="0" t="s">
        <v>1691</v>
      </c>
      <c r="E1120" s="0" t="s">
        <v>13</v>
      </c>
      <c r="F1120" s="0" t="s">
        <v>13</v>
      </c>
      <c r="G1120" s="0" t="s">
        <v>54</v>
      </c>
      <c r="H1120" s="5">
        <v>1570.273200</v>
      </c>
    </row>
    <row r="1121" spans="1:9">
      <c r="A1121" s="22" t="str">
        <f>HYPERLINK("https://app.vivvix.com/360/KMI/IntelliDrive/ApplUI/Pages/CreativePages/CustomReportCreativeDetail.aspx?App=23&amp;ReportView=4&amp;Qid=1711245&amp;Row=1113&amp;Col=1","No Title Assigned - #15269478308")</f>
        <v/>
      </c>
      <c r="B1121" s="0" t="s">
        <v>1692</v>
      </c>
      <c r="C1121" s="0" t="s">
        <v>1693</v>
      </c>
      <c r="D1121" s="0" t="s">
        <v>1693</v>
      </c>
      <c r="E1121" s="0" t="s">
        <v>13</v>
      </c>
      <c r="F1121" s="0" t="s">
        <v>17</v>
      </c>
      <c r="G1121" s="0" t="s">
        <v>446</v>
      </c>
      <c r="H1121" s="5">
        <v>816.743500</v>
      </c>
    </row>
    <row r="1122" spans="1:9">
      <c r="A1122" s="22" t="str">
        <f>HYPERLINK("https://app.vivvix.com/360/KMI/IntelliDrive/ApplUI/Pages/CreativePages/CustomReportCreativeDetail.aspx?App=23&amp;ReportView=4&amp;Qid=1711245&amp;Row=1114&amp;Col=1","No Title Assigned - #15269486255")</f>
        <v/>
      </c>
      <c r="B1122" s="0" t="s">
        <v>1694</v>
      </c>
      <c r="E1122" s="0" t="s">
        <v>13</v>
      </c>
      <c r="F1122" s="0" t="s">
        <v>13</v>
      </c>
      <c r="G1122" s="0" t="s">
        <v>54</v>
      </c>
      <c r="H1122" s="5">
        <v>179.154200</v>
      </c>
    </row>
    <row r="1123" spans="1:9">
      <c r="A1123" s="22" t="str">
        <f>HYPERLINK("https://app.vivvix.com/360/KMI/IntelliDrive/ApplUI/Pages/CreativePages/CustomReportCreativeDetail.aspx?App=23&amp;ReportView=4&amp;Qid=1711245&amp;Row=1115&amp;Col=1","No Title Assigned - #15269559621")</f>
        <v/>
      </c>
      <c r="B1123" s="0" t="s">
        <v>1695</v>
      </c>
      <c r="E1123" s="0" t="s">
        <v>13</v>
      </c>
      <c r="F1123" s="0" t="s">
        <v>13</v>
      </c>
      <c r="G1123" s="0" t="s">
        <v>54</v>
      </c>
      <c r="H1123" s="5">
        <v>7944.290900</v>
      </c>
    </row>
    <row r="1124" spans="1:9">
      <c r="A1124" s="22" t="str">
        <f>HYPERLINK("https://app.vivvix.com/360/KMI/IntelliDrive/ApplUI/Pages/CreativePages/CustomReportCreativeDetail.aspx?App=23&amp;ReportView=4&amp;Qid=1711245&amp;Row=1116&amp;Col=1","No Title Assigned - #15269559668")</f>
        <v/>
      </c>
      <c r="B1124" s="0" t="s">
        <v>1696</v>
      </c>
      <c r="E1124" s="0" t="s">
        <v>13</v>
      </c>
      <c r="F1124" s="0" t="s">
        <v>13</v>
      </c>
      <c r="G1124" s="0" t="s">
        <v>54</v>
      </c>
      <c r="H1124" s="5">
        <v>482.312200</v>
      </c>
    </row>
    <row r="1125" spans="1:9">
      <c r="A1125" s="22" t="str">
        <f>HYPERLINK("https://app.vivvix.com/360/KMI/IntelliDrive/ApplUI/Pages/CreativePages/CustomReportCreativeDetail.aspx?App=23&amp;ReportView=4&amp;Qid=1711245&amp;Row=1117&amp;Col=1","No Title Assigned - #15269563500")</f>
        <v/>
      </c>
      <c r="B1125" s="0" t="s">
        <v>1697</v>
      </c>
      <c r="E1125" s="0" t="s">
        <v>13</v>
      </c>
      <c r="F1125" s="0" t="s">
        <v>13</v>
      </c>
      <c r="G1125" s="0" t="s">
        <v>54</v>
      </c>
      <c r="H1125" s="5">
        <v>470.765800</v>
      </c>
    </row>
    <row r="1126" spans="1:9">
      <c r="A1126" s="22" t="str">
        <f>HYPERLINK("https://app.vivvix.com/360/KMI/IntelliDrive/ApplUI/Pages/CreativePages/CustomReportCreativeDetail.aspx?App=23&amp;ReportView=4&amp;Qid=1711245&amp;Row=1118&amp;Col=1","No Title Assigned - #15269609758")</f>
        <v/>
      </c>
      <c r="B1126" s="0" t="s">
        <v>1698</v>
      </c>
      <c r="C1126" s="0" t="s">
        <v>1699</v>
      </c>
      <c r="D1126" s="0" t="s">
        <v>1660</v>
      </c>
      <c r="E1126" s="0" t="s">
        <v>13</v>
      </c>
      <c r="F1126" s="0" t="s">
        <v>128</v>
      </c>
      <c r="G1126" s="0" t="s">
        <v>456</v>
      </c>
      <c r="H1126" s="5">
        <v>7471.174400</v>
      </c>
    </row>
    <row r="1127" spans="1:9">
      <c r="A1127" s="22" t="str">
        <f>HYPERLINK("https://app.vivvix.com/360/KMI/IntelliDrive/ApplUI/Pages/CreativePages/CustomReportCreativeDetail.aspx?App=23&amp;ReportView=4&amp;Qid=1711245&amp;Row=1119&amp;Col=1","No Title Assigned - #15269623843")</f>
        <v/>
      </c>
      <c r="B1127" s="0" t="s">
        <v>1700</v>
      </c>
      <c r="E1127" s="0" t="s">
        <v>13</v>
      </c>
      <c r="F1127" s="0" t="s">
        <v>13</v>
      </c>
      <c r="G1127" s="0" t="s">
        <v>54</v>
      </c>
      <c r="H1127" s="5">
        <v>567.671000</v>
      </c>
    </row>
    <row r="1128" spans="1:9">
      <c r="A1128" s="22" t="str">
        <f>HYPERLINK("https://app.vivvix.com/360/KMI/IntelliDrive/ApplUI/Pages/CreativePages/CustomReportCreativeDetail.aspx?App=23&amp;ReportView=4&amp;Qid=1711245&amp;Row=1120&amp;Col=1","No Title Assigned - #15269630679")</f>
        <v/>
      </c>
      <c r="B1128" s="0" t="s">
        <v>1701</v>
      </c>
      <c r="E1128" s="0" t="s">
        <v>13</v>
      </c>
      <c r="F1128" s="0" t="s">
        <v>13</v>
      </c>
      <c r="G1128" s="0" t="s">
        <v>54</v>
      </c>
      <c r="H1128" s="5">
        <v>271.761900</v>
      </c>
    </row>
    <row r="1129" spans="1:9">
      <c r="A1129" s="22" t="str">
        <f>HYPERLINK("https://app.vivvix.com/360/KMI/IntelliDrive/ApplUI/Pages/CreativePages/CustomReportCreativeDetail.aspx?App=23&amp;ReportView=4&amp;Qid=1711245&amp;Row=1121&amp;Col=1","No Title Assigned - #15269672641")</f>
        <v/>
      </c>
      <c r="B1129" s="0" t="s">
        <v>1702</v>
      </c>
      <c r="E1129" s="0" t="s">
        <v>13</v>
      </c>
      <c r="F1129" s="0" t="s">
        <v>13</v>
      </c>
      <c r="G1129" s="0" t="s">
        <v>54</v>
      </c>
      <c r="H1129" s="5">
        <v>19.908200</v>
      </c>
    </row>
    <row r="1130" spans="1:9">
      <c r="A1130" s="22" t="str">
        <f>HYPERLINK("https://app.vivvix.com/360/KMI/IntelliDrive/ApplUI/Pages/CreativePages/CustomReportCreativeDetail.aspx?App=23&amp;ReportView=4&amp;Qid=1711245&amp;Row=1122&amp;Col=1","No Title Assigned - #15269672642")</f>
        <v/>
      </c>
      <c r="B1130" s="0" t="s">
        <v>1703</v>
      </c>
      <c r="E1130" s="0" t="s">
        <v>13</v>
      </c>
      <c r="F1130" s="0" t="s">
        <v>13</v>
      </c>
      <c r="G1130" s="0" t="s">
        <v>54</v>
      </c>
      <c r="H1130" s="5">
        <v>183.472400</v>
      </c>
    </row>
    <row r="1131" spans="1:9">
      <c r="A1131" s="22" t="str">
        <f>HYPERLINK("https://app.vivvix.com/360/KMI/IntelliDrive/ApplUI/Pages/CreativePages/CustomReportCreativeDetail.aspx?App=23&amp;ReportView=4&amp;Qid=1711245&amp;Row=1123&amp;Col=1","No Title Assigned - #15269680626")</f>
        <v/>
      </c>
      <c r="B1131" s="0" t="s">
        <v>1704</v>
      </c>
      <c r="E1131" s="0" t="s">
        <v>13</v>
      </c>
      <c r="F1131" s="0" t="s">
        <v>13</v>
      </c>
      <c r="G1131" s="0" t="s">
        <v>54</v>
      </c>
      <c r="H1131" s="5">
        <v>1999.346600</v>
      </c>
    </row>
    <row r="1132" spans="1:9">
      <c r="A1132" s="22" t="str">
        <f>HYPERLINK("https://app.vivvix.com/360/KMI/IntelliDrive/ApplUI/Pages/CreativePages/CustomReportCreativeDetail.aspx?App=23&amp;ReportView=4&amp;Qid=1711245&amp;Row=1124&amp;Col=1","No Title Assigned - #15269704217")</f>
        <v/>
      </c>
      <c r="B1132" s="0" t="s">
        <v>1705</v>
      </c>
      <c r="E1132" s="0" t="s">
        <v>13</v>
      </c>
      <c r="F1132" s="0" t="s">
        <v>13</v>
      </c>
      <c r="G1132" s="0" t="s">
        <v>54</v>
      </c>
      <c r="H1132" s="5">
        <v>2544.128900</v>
      </c>
    </row>
    <row r="1133" spans="1:9">
      <c r="A1133" s="22" t="str">
        <f>HYPERLINK("https://app.vivvix.com/360/KMI/IntelliDrive/ApplUI/Pages/CreativePages/CustomReportCreativeDetail.aspx?App=23&amp;ReportView=4&amp;Qid=1711245&amp;Row=1125&amp;Col=1","No Title Assigned - #15269767772")</f>
        <v/>
      </c>
      <c r="B1133" s="0" t="s">
        <v>1706</v>
      </c>
      <c r="E1133" s="0" t="s">
        <v>13</v>
      </c>
      <c r="F1133" s="0" t="s">
        <v>13</v>
      </c>
      <c r="G1133" s="0" t="s">
        <v>54</v>
      </c>
      <c r="H1133" s="5">
        <v>442.021200</v>
      </c>
    </row>
    <row r="1134" spans="1:9">
      <c r="A1134" s="22" t="str">
        <f>HYPERLINK("https://app.vivvix.com/360/KMI/IntelliDrive/ApplUI/Pages/CreativePages/CustomReportCreativeDetail.aspx?App=23&amp;ReportView=4&amp;Qid=1711245&amp;Row=1126&amp;Col=1","No Title Assigned - #15269790429")</f>
        <v/>
      </c>
      <c r="B1134" s="0" t="s">
        <v>1707</v>
      </c>
      <c r="E1134" s="0" t="s">
        <v>13</v>
      </c>
      <c r="F1134" s="0" t="s">
        <v>13</v>
      </c>
      <c r="G1134" s="0" t="s">
        <v>54</v>
      </c>
      <c r="H1134" s="5">
        <v>605.874200</v>
      </c>
    </row>
    <row r="1135" spans="1:9">
      <c r="A1135" s="22" t="str">
        <f>HYPERLINK("https://app.vivvix.com/360/KMI/IntelliDrive/ApplUI/Pages/CreativePages/CustomReportCreativeDetail.aspx?App=23&amp;ReportView=4&amp;Qid=1711245&amp;Row=1127&amp;Col=1","No Title Assigned - #15269852025")</f>
        <v/>
      </c>
      <c r="B1135" s="0" t="s">
        <v>1708</v>
      </c>
      <c r="E1135" s="0" t="s">
        <v>13</v>
      </c>
      <c r="F1135" s="0" t="s">
        <v>13</v>
      </c>
      <c r="G1135" s="0" t="s">
        <v>54</v>
      </c>
      <c r="H1135" s="5">
        <v>1598.300900</v>
      </c>
    </row>
    <row r="1136" spans="1:9">
      <c r="A1136" s="22" t="str">
        <f>HYPERLINK("https://app.vivvix.com/360/KMI/IntelliDrive/ApplUI/Pages/CreativePages/CustomReportCreativeDetail.aspx?App=23&amp;ReportView=4&amp;Qid=1711245&amp;Row=1128&amp;Col=1","No Title Assigned - #15269861855")</f>
        <v/>
      </c>
      <c r="B1136" s="0" t="s">
        <v>1709</v>
      </c>
      <c r="E1136" s="0" t="s">
        <v>13</v>
      </c>
      <c r="F1136" s="0" t="s">
        <v>13</v>
      </c>
      <c r="G1136" s="0" t="s">
        <v>54</v>
      </c>
      <c r="H1136" s="5">
        <v>4990.032900</v>
      </c>
    </row>
    <row r="1137" spans="1:9">
      <c r="A1137" s="22" t="str">
        <f>HYPERLINK("https://app.vivvix.com/360/KMI/IntelliDrive/ApplUI/Pages/CreativePages/CustomReportCreativeDetail.aspx?App=23&amp;ReportView=4&amp;Qid=1711245&amp;Row=1129&amp;Col=1","No Title Assigned - #15269864266")</f>
        <v/>
      </c>
      <c r="B1137" s="0" t="s">
        <v>1710</v>
      </c>
      <c r="E1137" s="0" t="s">
        <v>13</v>
      </c>
      <c r="F1137" s="0" t="s">
        <v>13</v>
      </c>
      <c r="G1137" s="0" t="s">
        <v>54</v>
      </c>
      <c r="H1137" s="5">
        <v>1283.230000</v>
      </c>
    </row>
    <row r="1138" spans="1:9">
      <c r="A1138" s="22" t="str">
        <f>HYPERLINK("https://app.vivvix.com/360/KMI/IntelliDrive/ApplUI/Pages/CreativePages/CustomReportCreativeDetail.aspx?App=23&amp;ReportView=4&amp;Qid=1711245&amp;Row=1130&amp;Col=1","No Title Assigned - #15269864405")</f>
        <v/>
      </c>
      <c r="B1138" s="0" t="s">
        <v>1711</v>
      </c>
      <c r="E1138" s="0" t="s">
        <v>13</v>
      </c>
      <c r="F1138" s="0" t="s">
        <v>13</v>
      </c>
      <c r="G1138" s="0" t="s">
        <v>54</v>
      </c>
      <c r="H1138" s="5">
        <v>543.170500</v>
      </c>
    </row>
    <row r="1139" spans="1:9">
      <c r="A1139" s="22" t="str">
        <f>HYPERLINK("https://app.vivvix.com/360/KMI/IntelliDrive/ApplUI/Pages/CreativePages/CustomReportCreativeDetail.aspx?App=23&amp;ReportView=4&amp;Qid=1711245&amp;Row=1131&amp;Col=1","No Title Assigned - #15270001319")</f>
        <v/>
      </c>
      <c r="B1139" s="0" t="s">
        <v>1712</v>
      </c>
      <c r="E1139" s="0" t="s">
        <v>13</v>
      </c>
      <c r="F1139" s="0" t="s">
        <v>13</v>
      </c>
      <c r="G1139" s="0" t="s">
        <v>54</v>
      </c>
      <c r="H1139" s="5">
        <v>6030.566200</v>
      </c>
    </row>
    <row r="1140" spans="1:9">
      <c r="A1140" s="22" t="str">
        <f>HYPERLINK("https://app.vivvix.com/360/KMI/IntelliDrive/ApplUI/Pages/CreativePages/CustomReportCreativeDetail.aspx?App=23&amp;ReportView=4&amp;Qid=1711245&amp;Row=1132&amp;Col=1","No Title Assigned - #15270056726")</f>
        <v/>
      </c>
      <c r="B1140" s="0" t="s">
        <v>1713</v>
      </c>
      <c r="E1140" s="0" t="s">
        <v>13</v>
      </c>
      <c r="F1140" s="0" t="s">
        <v>13</v>
      </c>
      <c r="G1140" s="0" t="s">
        <v>54</v>
      </c>
      <c r="H1140" s="5">
        <v>2576.733800</v>
      </c>
    </row>
    <row r="1141" spans="1:9">
      <c r="A1141" s="22" t="str">
        <f>HYPERLINK("https://app.vivvix.com/360/KMI/IntelliDrive/ApplUI/Pages/CreativePages/CustomReportCreativeDetail.aspx?App=23&amp;ReportView=4&amp;Qid=1711245&amp;Row=1133&amp;Col=1","No Title Assigned - #15270135009")</f>
        <v/>
      </c>
      <c r="B1141" s="0" t="s">
        <v>1714</v>
      </c>
      <c r="E1141" s="0" t="s">
        <v>13</v>
      </c>
      <c r="F1141" s="0" t="s">
        <v>13</v>
      </c>
      <c r="G1141" s="0" t="s">
        <v>54</v>
      </c>
      <c r="H1141" s="5">
        <v>1287.544200</v>
      </c>
    </row>
    <row r="1142" spans="1:9">
      <c r="A1142" s="22" t="str">
        <f>HYPERLINK("https://app.vivvix.com/360/KMI/IntelliDrive/ApplUI/Pages/CreativePages/CustomReportCreativeDetail.aspx?App=23&amp;ReportView=4&amp;Qid=1711245&amp;Row=1134&amp;Col=1","No Title Assigned - #15270135159")</f>
        <v/>
      </c>
      <c r="B1142" s="0" t="s">
        <v>1715</v>
      </c>
      <c r="E1142" s="0" t="s">
        <v>13</v>
      </c>
      <c r="F1142" s="0" t="s">
        <v>13</v>
      </c>
      <c r="G1142" s="0" t="s">
        <v>54</v>
      </c>
      <c r="H1142" s="5">
        <v>9084.952200</v>
      </c>
    </row>
    <row r="1143" spans="1:9">
      <c r="A1143" s="22" t="str">
        <f>HYPERLINK("https://app.vivvix.com/360/KMI/IntelliDrive/ApplUI/Pages/CreativePages/CustomReportCreativeDetail.aspx?App=23&amp;ReportView=4&amp;Qid=1711245&amp;Row=1135&amp;Col=1","No Title Assigned - #15270135160")</f>
        <v/>
      </c>
      <c r="B1143" s="0" t="s">
        <v>1716</v>
      </c>
      <c r="E1143" s="0" t="s">
        <v>13</v>
      </c>
      <c r="F1143" s="0" t="s">
        <v>13</v>
      </c>
      <c r="G1143" s="0" t="s">
        <v>54</v>
      </c>
      <c r="H1143" s="5">
        <v>9733.021600</v>
      </c>
    </row>
    <row r="1144" spans="1:9">
      <c r="A1144" s="22" t="str">
        <f>HYPERLINK("https://app.vivvix.com/360/KMI/IntelliDrive/ApplUI/Pages/CreativePages/CustomReportCreativeDetail.aspx?App=23&amp;ReportView=4&amp;Qid=1711245&amp;Row=1136&amp;Col=1","No Title Assigned - #15270173557")</f>
        <v/>
      </c>
      <c r="B1144" s="0" t="s">
        <v>1717</v>
      </c>
      <c r="C1144" s="0" t="s">
        <v>1718</v>
      </c>
      <c r="D1144" s="0" t="s">
        <v>1718</v>
      </c>
      <c r="E1144" s="0" t="s">
        <v>13</v>
      </c>
      <c r="F1144" s="0" t="s">
        <v>14</v>
      </c>
      <c r="G1144" s="0" t="s">
        <v>15</v>
      </c>
      <c r="H1144" s="5">
        <v>4.206300</v>
      </c>
    </row>
    <row r="1145" spans="1:9">
      <c r="A1145" s="22" t="str">
        <f>HYPERLINK("https://app.vivvix.com/360/KMI/IntelliDrive/ApplUI/Pages/CreativePages/CustomReportCreativeDetail.aspx?App=23&amp;ReportView=4&amp;Qid=1711245&amp;Row=1137&amp;Col=1","No Title Assigned - #15270191216")</f>
        <v/>
      </c>
      <c r="B1145" s="0" t="s">
        <v>1719</v>
      </c>
      <c r="C1145" s="0" t="s">
        <v>1720</v>
      </c>
      <c r="D1145" s="0" t="s">
        <v>1720</v>
      </c>
      <c r="E1145" s="0" t="s">
        <v>13</v>
      </c>
      <c r="F1145" s="0" t="s">
        <v>14</v>
      </c>
      <c r="G1145" s="0" t="s">
        <v>15</v>
      </c>
      <c r="H1145" s="5">
        <v>4.918800</v>
      </c>
    </row>
    <row r="1146" spans="1:9">
      <c r="A1146" s="22" t="str">
        <f>HYPERLINK("https://app.vivvix.com/360/KMI/IntelliDrive/ApplUI/Pages/CreativePages/CustomReportCreativeDetail.aspx?App=23&amp;ReportView=4&amp;Qid=1711245&amp;Row=1138&amp;Col=1","No Title Assigned - #15270244781")</f>
        <v/>
      </c>
      <c r="B1146" s="0" t="s">
        <v>1721</v>
      </c>
      <c r="E1146" s="0" t="s">
        <v>13</v>
      </c>
      <c r="F1146" s="0" t="s">
        <v>13</v>
      </c>
      <c r="G1146" s="0" t="s">
        <v>54</v>
      </c>
      <c r="H1146" s="5">
        <v>10975.479300</v>
      </c>
    </row>
    <row r="1147" spans="1:9">
      <c r="A1147" s="22" t="str">
        <f>HYPERLINK("https://app.vivvix.com/360/KMI/IntelliDrive/ApplUI/Pages/CreativePages/CustomReportCreativeDetail.aspx?App=23&amp;ReportView=4&amp;Qid=1711245&amp;Row=1139&amp;Col=1","No Title Assigned - #15270247526")</f>
        <v/>
      </c>
      <c r="B1147" s="0" t="s">
        <v>1722</v>
      </c>
      <c r="E1147" s="0" t="s">
        <v>13</v>
      </c>
      <c r="F1147" s="0" t="s">
        <v>13</v>
      </c>
      <c r="G1147" s="0" t="s">
        <v>54</v>
      </c>
      <c r="H1147" s="5">
        <v>619.513100</v>
      </c>
    </row>
    <row r="1148" spans="1:9">
      <c r="A1148" s="22" t="str">
        <f>HYPERLINK("https://app.vivvix.com/360/KMI/IntelliDrive/ApplUI/Pages/CreativePages/CustomReportCreativeDetail.aspx?App=23&amp;ReportView=4&amp;Qid=1711245&amp;Row=1140&amp;Col=1","No Title Assigned - #15270247991")</f>
        <v/>
      </c>
      <c r="B1148" s="0" t="s">
        <v>1723</v>
      </c>
      <c r="E1148" s="0" t="s">
        <v>13</v>
      </c>
      <c r="F1148" s="0" t="s">
        <v>13</v>
      </c>
      <c r="G1148" s="0" t="s">
        <v>54</v>
      </c>
      <c r="H1148" s="5">
        <v>1734.950300</v>
      </c>
    </row>
    <row r="1149" spans="1:9">
      <c r="A1149" s="22" t="str">
        <f>HYPERLINK("https://app.vivvix.com/360/KMI/IntelliDrive/ApplUI/Pages/CreativePages/CustomReportCreativeDetail.aspx?App=23&amp;ReportView=4&amp;Qid=1711245&amp;Row=1141&amp;Col=1","No Title Assigned - #15270261373")</f>
        <v/>
      </c>
      <c r="B1149" s="0" t="s">
        <v>1724</v>
      </c>
      <c r="C1149" s="0" t="s">
        <v>1725</v>
      </c>
      <c r="D1149" s="0" t="s">
        <v>1725</v>
      </c>
      <c r="E1149" s="0" t="s">
        <v>13</v>
      </c>
      <c r="F1149" s="0" t="s">
        <v>13</v>
      </c>
      <c r="G1149" s="0" t="s">
        <v>576</v>
      </c>
      <c r="H1149" s="5">
        <v>35873.740200</v>
      </c>
    </row>
    <row r="1150" spans="1:9">
      <c r="A1150" s="22" t="str">
        <f>HYPERLINK("https://app.vivvix.com/360/KMI/IntelliDrive/ApplUI/Pages/CreativePages/CustomReportCreativeDetail.aspx?App=23&amp;ReportView=4&amp;Qid=1711245&amp;Row=1142&amp;Col=1","No Title Assigned - #15270262761")</f>
        <v/>
      </c>
      <c r="B1150" s="0" t="s">
        <v>1726</v>
      </c>
      <c r="C1150" s="0" t="s">
        <v>1727</v>
      </c>
      <c r="D1150" s="0" t="s">
        <v>1727</v>
      </c>
      <c r="E1150" s="0" t="s">
        <v>13</v>
      </c>
      <c r="F1150" s="0" t="s">
        <v>14</v>
      </c>
      <c r="G1150" s="0" t="s">
        <v>15</v>
      </c>
      <c r="H1150" s="5">
        <v>20919.822700</v>
      </c>
    </row>
    <row r="1151" spans="1:9">
      <c r="A1151" s="22" t="str">
        <f>HYPERLINK("https://app.vivvix.com/360/KMI/IntelliDrive/ApplUI/Pages/CreativePages/CustomReportCreativeDetail.aspx?App=23&amp;ReportView=4&amp;Qid=1711245&amp;Row=1143&amp;Col=1","No Title Assigned - #15270265897")</f>
        <v/>
      </c>
      <c r="B1151" s="0" t="s">
        <v>1728</v>
      </c>
      <c r="E1151" s="0" t="s">
        <v>13</v>
      </c>
      <c r="F1151" s="0" t="s">
        <v>13</v>
      </c>
      <c r="G1151" s="0" t="s">
        <v>54</v>
      </c>
      <c r="H1151" s="5">
        <v>6289.318300</v>
      </c>
    </row>
    <row r="1152" spans="1:9">
      <c r="A1152" s="22" t="str">
        <f>HYPERLINK("https://app.vivvix.com/360/KMI/IntelliDrive/ApplUI/Pages/CreativePages/CustomReportCreativeDetail.aspx?App=23&amp;ReportView=4&amp;Qid=1711245&amp;Row=1144&amp;Col=1","No Title Assigned - #15270267755")</f>
        <v/>
      </c>
      <c r="B1152" s="0" t="s">
        <v>1729</v>
      </c>
      <c r="C1152" s="0" t="s">
        <v>1730</v>
      </c>
      <c r="D1152" s="0" t="s">
        <v>1730</v>
      </c>
      <c r="E1152" s="0" t="s">
        <v>13</v>
      </c>
      <c r="F1152" s="0" t="s">
        <v>13</v>
      </c>
      <c r="G1152" s="0" t="s">
        <v>35</v>
      </c>
      <c r="H1152" s="5">
        <v>225438.121300</v>
      </c>
    </row>
    <row r="1153" spans="1:9">
      <c r="A1153" s="22" t="str">
        <f>HYPERLINK("https://app.vivvix.com/360/KMI/IntelliDrive/ApplUI/Pages/CreativePages/CustomReportCreativeDetail.aspx?App=23&amp;ReportView=4&amp;Qid=1711245&amp;Row=1145&amp;Col=1","No Title Assigned - #15270280715")</f>
        <v/>
      </c>
      <c r="B1153" s="0" t="s">
        <v>1731</v>
      </c>
      <c r="E1153" s="0" t="s">
        <v>13</v>
      </c>
      <c r="F1153" s="0" t="s">
        <v>13</v>
      </c>
      <c r="G1153" s="0" t="s">
        <v>54</v>
      </c>
      <c r="H1153" s="5">
        <v>240.611100</v>
      </c>
    </row>
    <row r="1154" spans="1:9">
      <c r="A1154" s="22" t="str">
        <f>HYPERLINK("https://app.vivvix.com/360/KMI/IntelliDrive/ApplUI/Pages/CreativePages/CustomReportCreativeDetail.aspx?App=23&amp;ReportView=4&amp;Qid=1711245&amp;Row=1146&amp;Col=1","No Title Assigned - #15270280730")</f>
        <v/>
      </c>
      <c r="B1154" s="0" t="s">
        <v>1732</v>
      </c>
      <c r="E1154" s="0" t="s">
        <v>13</v>
      </c>
      <c r="F1154" s="0" t="s">
        <v>13</v>
      </c>
      <c r="G1154" s="0" t="s">
        <v>54</v>
      </c>
      <c r="H1154" s="5">
        <v>240.611100</v>
      </c>
    </row>
    <row r="1155" spans="1:9">
      <c r="A1155" s="22" t="str">
        <f>HYPERLINK("https://app.vivvix.com/360/KMI/IntelliDrive/ApplUI/Pages/CreativePages/CustomReportCreativeDetail.aspx?App=23&amp;ReportView=4&amp;Qid=1711245&amp;Row=1147&amp;Col=1","No Title Assigned - #15270295843")</f>
        <v/>
      </c>
      <c r="B1155" s="0" t="s">
        <v>1733</v>
      </c>
      <c r="E1155" s="0" t="s">
        <v>13</v>
      </c>
      <c r="F1155" s="0" t="s">
        <v>13</v>
      </c>
      <c r="G1155" s="0" t="s">
        <v>54</v>
      </c>
      <c r="H1155" s="5">
        <v>12681.961000</v>
      </c>
    </row>
    <row r="1156" spans="1:9">
      <c r="A1156" s="22" t="str">
        <f>HYPERLINK("https://app.vivvix.com/360/KMI/IntelliDrive/ApplUI/Pages/CreativePages/CustomReportCreativeDetail.aspx?App=23&amp;ReportView=4&amp;Qid=1711245&amp;Row=1148&amp;Col=1","No Title Assigned - #15270334059")</f>
        <v/>
      </c>
      <c r="B1156" s="0" t="s">
        <v>1734</v>
      </c>
      <c r="E1156" s="0" t="s">
        <v>13</v>
      </c>
      <c r="F1156" s="0" t="s">
        <v>13</v>
      </c>
      <c r="G1156" s="0" t="s">
        <v>54</v>
      </c>
      <c r="H1156" s="5">
        <v>1340.046900</v>
      </c>
    </row>
    <row r="1157" spans="1:9">
      <c r="A1157" s="22" t="str">
        <f>HYPERLINK("https://app.vivvix.com/360/KMI/IntelliDrive/ApplUI/Pages/CreativePages/CustomReportCreativeDetail.aspx?App=23&amp;ReportView=4&amp;Qid=1711245&amp;Row=1149&amp;Col=1","No Title Assigned - #15270357257")</f>
        <v/>
      </c>
      <c r="B1157" s="0" t="s">
        <v>1735</v>
      </c>
      <c r="E1157" s="0" t="s">
        <v>13</v>
      </c>
      <c r="F1157" s="0" t="s">
        <v>13</v>
      </c>
      <c r="G1157" s="0" t="s">
        <v>54</v>
      </c>
      <c r="H1157" s="5">
        <v>3114.438300</v>
      </c>
    </row>
    <row r="1158" spans="1:9">
      <c r="A1158" s="22" t="str">
        <f>HYPERLINK("https://app.vivvix.com/360/KMI/IntelliDrive/ApplUI/Pages/CreativePages/CustomReportCreativeDetail.aspx?App=23&amp;ReportView=4&amp;Qid=1711245&amp;Row=1150&amp;Col=1","No Title Assigned - #15270368407")</f>
        <v/>
      </c>
      <c r="B1158" s="0" t="s">
        <v>1736</v>
      </c>
      <c r="E1158" s="0" t="s">
        <v>13</v>
      </c>
      <c r="F1158" s="0" t="s">
        <v>13</v>
      </c>
      <c r="G1158" s="0" t="s">
        <v>54</v>
      </c>
      <c r="H1158" s="5">
        <v>2712.470200</v>
      </c>
    </row>
    <row r="1159" spans="1:9">
      <c r="A1159" s="22" t="str">
        <f>HYPERLINK("https://app.vivvix.com/360/KMI/IntelliDrive/ApplUI/Pages/CreativePages/CustomReportCreativeDetail.aspx?App=23&amp;ReportView=4&amp;Qid=1711245&amp;Row=1151&amp;Col=1","No Title Assigned - #15270373936")</f>
        <v/>
      </c>
      <c r="B1159" s="0" t="s">
        <v>1737</v>
      </c>
      <c r="E1159" s="0" t="s">
        <v>13</v>
      </c>
      <c r="F1159" s="0" t="s">
        <v>13</v>
      </c>
      <c r="G1159" s="0" t="s">
        <v>54</v>
      </c>
      <c r="H1159" s="5">
        <v>531.428400</v>
      </c>
    </row>
    <row r="1160" spans="1:9">
      <c r="A1160" s="22" t="str">
        <f>HYPERLINK("https://app.vivvix.com/360/KMI/IntelliDrive/ApplUI/Pages/CreativePages/CustomReportCreativeDetail.aspx?App=23&amp;ReportView=4&amp;Qid=1711245&amp;Row=1152&amp;Col=1","No Title Assigned - #15270378819")</f>
        <v/>
      </c>
      <c r="B1160" s="0" t="s">
        <v>1738</v>
      </c>
      <c r="E1160" s="0" t="s">
        <v>13</v>
      </c>
      <c r="F1160" s="0" t="s">
        <v>13</v>
      </c>
      <c r="G1160" s="0" t="s">
        <v>54</v>
      </c>
      <c r="H1160" s="5">
        <v>78.540300</v>
      </c>
    </row>
    <row r="1161" spans="1:9">
      <c r="A1161" s="22" t="str">
        <f>HYPERLINK("https://app.vivvix.com/360/KMI/IntelliDrive/ApplUI/Pages/CreativePages/CustomReportCreativeDetail.aspx?App=23&amp;ReportView=4&amp;Qid=1711245&amp;Row=1153&amp;Col=1","No Title Assigned - #15270379774")</f>
        <v/>
      </c>
      <c r="B1161" s="0" t="s">
        <v>1739</v>
      </c>
      <c r="E1161" s="0" t="s">
        <v>13</v>
      </c>
      <c r="F1161" s="0" t="s">
        <v>13</v>
      </c>
      <c r="G1161" s="0" t="s">
        <v>54</v>
      </c>
      <c r="H1161" s="5">
        <v>240.042800</v>
      </c>
    </row>
    <row r="1162" spans="1:9">
      <c r="A1162" s="22" t="str">
        <f>HYPERLINK("https://app.vivvix.com/360/KMI/IntelliDrive/ApplUI/Pages/CreativePages/CustomReportCreativeDetail.aspx?App=23&amp;ReportView=4&amp;Qid=1711245&amp;Row=1154&amp;Col=1","No Title Assigned - #15270401022")</f>
        <v/>
      </c>
      <c r="B1162" s="0" t="s">
        <v>1740</v>
      </c>
      <c r="C1162" s="0" t="s">
        <v>1741</v>
      </c>
      <c r="D1162" s="0" t="s">
        <v>1741</v>
      </c>
      <c r="E1162" s="0" t="s">
        <v>13</v>
      </c>
      <c r="F1162" s="0" t="s">
        <v>14</v>
      </c>
      <c r="G1162" s="0" t="s">
        <v>15</v>
      </c>
      <c r="H1162" s="5">
        <v>164.582400</v>
      </c>
    </row>
    <row r="1163" spans="1:9">
      <c r="A1163" s="22" t="str">
        <f>HYPERLINK("https://app.vivvix.com/360/KMI/IntelliDrive/ApplUI/Pages/CreativePages/CustomReportCreativeDetail.aspx?App=23&amp;ReportView=4&amp;Qid=1711245&amp;Row=1155&amp;Col=1","No Title Assigned - #15270450884")</f>
        <v/>
      </c>
      <c r="B1163" s="0" t="s">
        <v>1742</v>
      </c>
      <c r="E1163" s="0" t="s">
        <v>13</v>
      </c>
      <c r="F1163" s="0" t="s">
        <v>13</v>
      </c>
      <c r="G1163" s="0" t="s">
        <v>54</v>
      </c>
      <c r="H1163" s="5">
        <v>7689.595300</v>
      </c>
    </row>
    <row r="1164" spans="1:9">
      <c r="A1164" s="22" t="str">
        <f>HYPERLINK("https://app.vivvix.com/360/KMI/IntelliDrive/ApplUI/Pages/CreativePages/CustomReportCreativeDetail.aspx?App=23&amp;ReportView=4&amp;Qid=1711245&amp;Row=1156&amp;Col=1","No Title Assigned - #15270484795")</f>
        <v/>
      </c>
      <c r="B1164" s="0" t="s">
        <v>1743</v>
      </c>
      <c r="E1164" s="0" t="s">
        <v>13</v>
      </c>
      <c r="F1164" s="0" t="s">
        <v>13</v>
      </c>
      <c r="G1164" s="0" t="s">
        <v>54</v>
      </c>
      <c r="H1164" s="5">
        <v>1313.076000</v>
      </c>
    </row>
    <row r="1165" spans="1:9">
      <c r="A1165" s="22" t="str">
        <f>HYPERLINK("https://app.vivvix.com/360/KMI/IntelliDrive/ApplUI/Pages/CreativePages/CustomReportCreativeDetail.aspx?App=23&amp;ReportView=4&amp;Qid=1711245&amp;Row=1157&amp;Col=1","No Title Assigned - #15270497966")</f>
        <v/>
      </c>
      <c r="B1165" s="0" t="s">
        <v>1744</v>
      </c>
      <c r="C1165" s="0" t="s">
        <v>1745</v>
      </c>
      <c r="D1165" s="0" t="s">
        <v>1745</v>
      </c>
      <c r="E1165" s="0" t="s">
        <v>13</v>
      </c>
      <c r="F1165" s="0" t="s">
        <v>14</v>
      </c>
      <c r="G1165" s="0" t="s">
        <v>15</v>
      </c>
      <c r="H1165" s="5">
        <v>815.671800</v>
      </c>
    </row>
    <row r="1166" spans="1:9">
      <c r="A1166" s="22" t="str">
        <f>HYPERLINK("https://app.vivvix.com/360/KMI/IntelliDrive/ApplUI/Pages/CreativePages/CustomReportCreativeDetail.aspx?App=23&amp;ReportView=4&amp;Qid=1711245&amp;Row=1158&amp;Col=1","No Title Assigned - #15270525100")</f>
        <v/>
      </c>
      <c r="B1166" s="0" t="s">
        <v>1746</v>
      </c>
      <c r="E1166" s="0" t="s">
        <v>13</v>
      </c>
      <c r="F1166" s="0" t="s">
        <v>13</v>
      </c>
      <c r="G1166" s="0" t="s">
        <v>54</v>
      </c>
      <c r="H1166" s="5">
        <v>251.316100</v>
      </c>
    </row>
    <row r="1167" spans="1:9">
      <c r="A1167" s="22" t="str">
        <f>HYPERLINK("https://app.vivvix.com/360/KMI/IntelliDrive/ApplUI/Pages/CreativePages/CustomReportCreativeDetail.aspx?App=23&amp;ReportView=4&amp;Qid=1711245&amp;Row=1159&amp;Col=1","No Title Assigned - #15270525212")</f>
        <v/>
      </c>
      <c r="B1167" s="0" t="s">
        <v>1747</v>
      </c>
      <c r="E1167" s="0" t="s">
        <v>13</v>
      </c>
      <c r="F1167" s="0" t="s">
        <v>13</v>
      </c>
      <c r="G1167" s="0" t="s">
        <v>54</v>
      </c>
      <c r="H1167" s="5">
        <v>251.316100</v>
      </c>
    </row>
    <row r="1168" spans="1:9">
      <c r="A1168" s="22" t="str">
        <f>HYPERLINK("https://app.vivvix.com/360/KMI/IntelliDrive/ApplUI/Pages/CreativePages/CustomReportCreativeDetail.aspx?App=23&amp;ReportView=4&amp;Qid=1711245&amp;Row=1160&amp;Col=1","No Title Assigned - #15270525991")</f>
        <v/>
      </c>
      <c r="B1168" s="0" t="s">
        <v>1748</v>
      </c>
      <c r="C1168" s="0" t="s">
        <v>1749</v>
      </c>
      <c r="D1168" s="0" t="s">
        <v>1749</v>
      </c>
      <c r="E1168" s="0" t="s">
        <v>13</v>
      </c>
      <c r="F1168" s="0" t="s">
        <v>530</v>
      </c>
      <c r="G1168" s="0" t="s">
        <v>531</v>
      </c>
      <c r="H1168" s="5">
        <v>3958.962900</v>
      </c>
    </row>
    <row r="1169" spans="1:9">
      <c r="A1169" s="22" t="str">
        <f>HYPERLINK("https://app.vivvix.com/360/KMI/IntelliDrive/ApplUI/Pages/CreativePages/CustomReportCreativeDetail.aspx?App=23&amp;ReportView=4&amp;Qid=1711245&amp;Row=1161&amp;Col=1","No Title Assigned - #15270541079")</f>
        <v/>
      </c>
      <c r="B1169" s="0" t="s">
        <v>1750</v>
      </c>
      <c r="E1169" s="0" t="s">
        <v>13</v>
      </c>
      <c r="F1169" s="0" t="s">
        <v>13</v>
      </c>
      <c r="G1169" s="0" t="s">
        <v>54</v>
      </c>
      <c r="H1169" s="5">
        <v>1676.703900</v>
      </c>
    </row>
    <row r="1170" spans="1:9">
      <c r="A1170" s="22" t="str">
        <f>HYPERLINK("https://app.vivvix.com/360/KMI/IntelliDrive/ApplUI/Pages/CreativePages/CustomReportCreativeDetail.aspx?App=23&amp;ReportView=4&amp;Qid=1711245&amp;Row=1162&amp;Col=1","No Title Assigned - #15270544451")</f>
        <v/>
      </c>
      <c r="B1170" s="0" t="s">
        <v>1751</v>
      </c>
      <c r="E1170" s="0" t="s">
        <v>13</v>
      </c>
      <c r="F1170" s="0" t="s">
        <v>13</v>
      </c>
      <c r="G1170" s="0" t="s">
        <v>54</v>
      </c>
      <c r="H1170" s="5">
        <v>712.427000</v>
      </c>
    </row>
    <row r="1171" spans="1:9">
      <c r="A1171" s="22" t="str">
        <f>HYPERLINK("https://app.vivvix.com/360/KMI/IntelliDrive/ApplUI/Pages/CreativePages/CustomReportCreativeDetail.aspx?App=23&amp;ReportView=4&amp;Qid=1711245&amp;Row=1163&amp;Col=1","No Title Assigned - #15270544823")</f>
        <v/>
      </c>
      <c r="B1171" s="0" t="s">
        <v>1752</v>
      </c>
      <c r="E1171" s="0" t="s">
        <v>13</v>
      </c>
      <c r="F1171" s="0" t="s">
        <v>13</v>
      </c>
      <c r="G1171" s="0" t="s">
        <v>54</v>
      </c>
      <c r="H1171" s="5">
        <v>1784.156700</v>
      </c>
    </row>
    <row r="1172" spans="1:9">
      <c r="A1172" s="22" t="str">
        <f>HYPERLINK("https://app.vivvix.com/360/KMI/IntelliDrive/ApplUI/Pages/CreativePages/CustomReportCreativeDetail.aspx?App=23&amp;ReportView=4&amp;Qid=1711245&amp;Row=1164&amp;Col=1","No Title Assigned - #15270551496")</f>
        <v/>
      </c>
      <c r="B1172" s="0" t="s">
        <v>1753</v>
      </c>
      <c r="E1172" s="0" t="s">
        <v>13</v>
      </c>
      <c r="F1172" s="0" t="s">
        <v>13</v>
      </c>
      <c r="G1172" s="0" t="s">
        <v>54</v>
      </c>
      <c r="H1172" s="5">
        <v>964.826400</v>
      </c>
    </row>
    <row r="1173" spans="1:9">
      <c r="A1173" s="22" t="str">
        <f>HYPERLINK("https://app.vivvix.com/360/KMI/IntelliDrive/ApplUI/Pages/CreativePages/CustomReportCreativeDetail.aspx?App=23&amp;ReportView=4&amp;Qid=1711245&amp;Row=1165&amp;Col=1","No Title Assigned - #15270611637")</f>
        <v/>
      </c>
      <c r="B1173" s="0" t="s">
        <v>1754</v>
      </c>
      <c r="E1173" s="0" t="s">
        <v>13</v>
      </c>
      <c r="F1173" s="0" t="s">
        <v>13</v>
      </c>
      <c r="G1173" s="0" t="s">
        <v>54</v>
      </c>
      <c r="H1173" s="5">
        <v>1999.346600</v>
      </c>
    </row>
    <row r="1174" spans="1:9">
      <c r="A1174" s="22" t="str">
        <f>HYPERLINK("https://app.vivvix.com/360/KMI/IntelliDrive/ApplUI/Pages/CreativePages/CustomReportCreativeDetail.aspx?App=23&amp;ReportView=4&amp;Qid=1711245&amp;Row=1166&amp;Col=1","No Title Assigned - #15270626330")</f>
        <v/>
      </c>
      <c r="B1174" s="0" t="s">
        <v>1755</v>
      </c>
      <c r="E1174" s="0" t="s">
        <v>13</v>
      </c>
      <c r="F1174" s="0" t="s">
        <v>13</v>
      </c>
      <c r="G1174" s="0" t="s">
        <v>54</v>
      </c>
      <c r="H1174" s="5">
        <v>369.252500</v>
      </c>
    </row>
    <row r="1175" spans="1:9">
      <c r="A1175" s="22" t="str">
        <f>HYPERLINK("https://app.vivvix.com/360/KMI/IntelliDrive/ApplUI/Pages/CreativePages/CustomReportCreativeDetail.aspx?App=23&amp;ReportView=4&amp;Qid=1711245&amp;Row=1167&amp;Col=1","No Title Assigned - #15270626331")</f>
        <v/>
      </c>
      <c r="B1175" s="0" t="s">
        <v>1756</v>
      </c>
      <c r="E1175" s="0" t="s">
        <v>13</v>
      </c>
      <c r="F1175" s="0" t="s">
        <v>13</v>
      </c>
      <c r="G1175" s="0" t="s">
        <v>54</v>
      </c>
      <c r="H1175" s="5">
        <v>152.548000</v>
      </c>
    </row>
    <row r="1176" spans="1:9">
      <c r="A1176" s="22" t="str">
        <f>HYPERLINK("https://app.vivvix.com/360/KMI/IntelliDrive/ApplUI/Pages/CreativePages/CustomReportCreativeDetail.aspx?App=23&amp;ReportView=4&amp;Qid=1711245&amp;Row=1168&amp;Col=1","No Title Assigned - #15270626366")</f>
        <v/>
      </c>
      <c r="B1176" s="0" t="s">
        <v>1757</v>
      </c>
      <c r="E1176" s="0" t="s">
        <v>13</v>
      </c>
      <c r="F1176" s="0" t="s">
        <v>13</v>
      </c>
      <c r="G1176" s="0" t="s">
        <v>54</v>
      </c>
      <c r="H1176" s="5">
        <v>720.128500</v>
      </c>
    </row>
    <row r="1177" spans="1:9">
      <c r="A1177" s="22" t="str">
        <f>HYPERLINK("https://app.vivvix.com/360/KMI/IntelliDrive/ApplUI/Pages/CreativePages/CustomReportCreativeDetail.aspx?App=23&amp;ReportView=4&amp;Qid=1711245&amp;Row=1169&amp;Col=1","No Title Assigned - #15270626390")</f>
        <v/>
      </c>
      <c r="B1177" s="0" t="s">
        <v>1758</v>
      </c>
      <c r="E1177" s="0" t="s">
        <v>13</v>
      </c>
      <c r="F1177" s="0" t="s">
        <v>13</v>
      </c>
      <c r="G1177" s="0" t="s">
        <v>54</v>
      </c>
      <c r="H1177" s="5">
        <v>3112.953900</v>
      </c>
    </row>
    <row r="1178" spans="1:9">
      <c r="A1178" s="22" t="str">
        <f>HYPERLINK("https://app.vivvix.com/360/KMI/IntelliDrive/ApplUI/Pages/CreativePages/CustomReportCreativeDetail.aspx?App=23&amp;ReportView=4&amp;Qid=1711245&amp;Row=1170&amp;Col=1","No Title Assigned - #15270642332")</f>
        <v/>
      </c>
      <c r="B1178" s="0" t="s">
        <v>1759</v>
      </c>
      <c r="E1178" s="0" t="s">
        <v>13</v>
      </c>
      <c r="F1178" s="0" t="s">
        <v>13</v>
      </c>
      <c r="G1178" s="0" t="s">
        <v>54</v>
      </c>
      <c r="H1178" s="5">
        <v>816.733400</v>
      </c>
    </row>
    <row r="1179" spans="1:9">
      <c r="A1179" s="22" t="str">
        <f>HYPERLINK("https://app.vivvix.com/360/KMI/IntelliDrive/ApplUI/Pages/CreativePages/CustomReportCreativeDetail.aspx?App=23&amp;ReportView=4&amp;Qid=1711245&amp;Row=1171&amp;Col=1","No Title Assigned - #15270672916")</f>
        <v/>
      </c>
      <c r="B1179" s="0" t="s">
        <v>1760</v>
      </c>
      <c r="C1179" s="0" t="s">
        <v>1761</v>
      </c>
      <c r="D1179" s="0" t="s">
        <v>1761</v>
      </c>
      <c r="E1179" s="0" t="s">
        <v>13</v>
      </c>
      <c r="F1179" s="0" t="s">
        <v>14</v>
      </c>
      <c r="G1179" s="0" t="s">
        <v>15</v>
      </c>
      <c r="H1179" s="5">
        <v>3957.220500</v>
      </c>
    </row>
    <row r="1180" spans="1:9">
      <c r="A1180" s="22" t="str">
        <f>HYPERLINK("https://app.vivvix.com/360/KMI/IntelliDrive/ApplUI/Pages/CreativePages/CustomReportCreativeDetail.aspx?App=23&amp;ReportView=4&amp;Qid=1711245&amp;Row=1172&amp;Col=1","No Title Assigned - #15270680607")</f>
        <v/>
      </c>
      <c r="B1180" s="0" t="s">
        <v>1762</v>
      </c>
      <c r="E1180" s="0" t="s">
        <v>13</v>
      </c>
      <c r="F1180" s="0" t="s">
        <v>13</v>
      </c>
      <c r="G1180" s="0" t="s">
        <v>54</v>
      </c>
      <c r="H1180" s="5">
        <v>239.664600</v>
      </c>
    </row>
    <row r="1181" spans="1:9">
      <c r="A1181" s="22" t="str">
        <f>HYPERLINK("https://app.vivvix.com/360/KMI/IntelliDrive/ApplUI/Pages/CreativePages/CustomReportCreativeDetail.aspx?App=23&amp;ReportView=4&amp;Qid=1711245&amp;Row=1173&amp;Col=1","No Title Assigned - #15270716787")</f>
        <v/>
      </c>
      <c r="B1181" s="0" t="s">
        <v>1763</v>
      </c>
      <c r="E1181" s="0" t="s">
        <v>13</v>
      </c>
      <c r="F1181" s="0" t="s">
        <v>13</v>
      </c>
      <c r="G1181" s="0" t="s">
        <v>54</v>
      </c>
      <c r="H1181" s="5">
        <v>165.354700</v>
      </c>
    </row>
    <row r="1182" spans="1:9">
      <c r="A1182" s="22" t="str">
        <f>HYPERLINK("https://app.vivvix.com/360/KMI/IntelliDrive/ApplUI/Pages/CreativePages/CustomReportCreativeDetail.aspx?App=23&amp;ReportView=4&amp;Qid=1711245&amp;Row=1174&amp;Col=1","No Title Assigned - #15270758195")</f>
        <v/>
      </c>
      <c r="B1182" s="0" t="s">
        <v>1764</v>
      </c>
      <c r="C1182" s="0" t="s">
        <v>1765</v>
      </c>
      <c r="D1182" s="0" t="s">
        <v>1765</v>
      </c>
      <c r="E1182" s="0" t="s">
        <v>13</v>
      </c>
      <c r="F1182" s="0" t="s">
        <v>14</v>
      </c>
      <c r="G1182" s="0" t="s">
        <v>15</v>
      </c>
      <c r="H1182" s="5">
        <v>41.754300</v>
      </c>
    </row>
    <row r="1183" spans="1:9">
      <c r="A1183" s="22" t="str">
        <f>HYPERLINK("https://app.vivvix.com/360/KMI/IntelliDrive/ApplUI/Pages/CreativePages/CustomReportCreativeDetail.aspx?App=23&amp;ReportView=4&amp;Qid=1711245&amp;Row=1175&amp;Col=1","No Title Assigned - #15270796138")</f>
        <v/>
      </c>
      <c r="B1183" s="0" t="s">
        <v>1766</v>
      </c>
      <c r="E1183" s="0" t="s">
        <v>13</v>
      </c>
      <c r="F1183" s="0" t="s">
        <v>13</v>
      </c>
      <c r="G1183" s="0" t="s">
        <v>54</v>
      </c>
      <c r="H1183" s="5">
        <v>7442.993700</v>
      </c>
    </row>
    <row r="1184" spans="1:9">
      <c r="A1184" s="22" t="str">
        <f>HYPERLINK("https://app.vivvix.com/360/KMI/IntelliDrive/ApplUI/Pages/CreativePages/CustomReportCreativeDetail.aspx?App=23&amp;ReportView=4&amp;Qid=1711245&amp;Row=1176&amp;Col=1","No Title Assigned - #15270851557")</f>
        <v/>
      </c>
      <c r="B1184" s="0" t="s">
        <v>1767</v>
      </c>
      <c r="C1184" s="0" t="s">
        <v>1768</v>
      </c>
      <c r="D1184" s="0" t="s">
        <v>1768</v>
      </c>
      <c r="E1184" s="0" t="s">
        <v>13</v>
      </c>
      <c r="F1184" s="0" t="s">
        <v>13</v>
      </c>
      <c r="G1184" s="0" t="s">
        <v>121</v>
      </c>
      <c r="H1184" s="5">
        <v>16615.252700</v>
      </c>
    </row>
    <row r="1185" spans="1:9">
      <c r="A1185" s="22" t="str">
        <f>HYPERLINK("https://app.vivvix.com/360/KMI/IntelliDrive/ApplUI/Pages/CreativePages/CustomReportCreativeDetail.aspx?App=23&amp;ReportView=4&amp;Qid=1711245&amp;Row=1177&amp;Col=1","No Title Assigned - #15270881780")</f>
        <v/>
      </c>
      <c r="B1185" s="0" t="s">
        <v>1769</v>
      </c>
      <c r="E1185" s="0" t="s">
        <v>13</v>
      </c>
      <c r="F1185" s="0" t="s">
        <v>13</v>
      </c>
      <c r="G1185" s="0" t="s">
        <v>54</v>
      </c>
      <c r="H1185" s="5">
        <v>830.622100</v>
      </c>
    </row>
    <row r="1186" spans="1:9">
      <c r="A1186" s="22" t="str">
        <f>HYPERLINK("https://app.vivvix.com/360/KMI/IntelliDrive/ApplUI/Pages/CreativePages/CustomReportCreativeDetail.aspx?App=23&amp;ReportView=4&amp;Qid=1711245&amp;Row=1178&amp;Col=1","No Title Assigned - #15270943867")</f>
        <v/>
      </c>
      <c r="B1186" s="0" t="s">
        <v>1770</v>
      </c>
      <c r="C1186" s="0" t="s">
        <v>1771</v>
      </c>
      <c r="D1186" s="0" t="s">
        <v>1771</v>
      </c>
      <c r="E1186" s="0" t="s">
        <v>13</v>
      </c>
      <c r="F1186" s="0" t="s">
        <v>14</v>
      </c>
      <c r="G1186" s="0" t="s">
        <v>15</v>
      </c>
      <c r="H1186" s="5">
        <v>163067.250500</v>
      </c>
    </row>
    <row r="1187" spans="1:9">
      <c r="A1187" s="22" t="str">
        <f>HYPERLINK("https://app.vivvix.com/360/KMI/IntelliDrive/ApplUI/Pages/CreativePages/CustomReportCreativeDetail.aspx?App=23&amp;ReportView=4&amp;Qid=1711245&amp;Row=1179&amp;Col=1","No Title Assigned - #15270959443")</f>
        <v/>
      </c>
      <c r="B1187" s="0" t="s">
        <v>1772</v>
      </c>
      <c r="E1187" s="0" t="s">
        <v>13</v>
      </c>
      <c r="F1187" s="0" t="s">
        <v>13</v>
      </c>
      <c r="G1187" s="0" t="s">
        <v>54</v>
      </c>
      <c r="H1187" s="5">
        <v>401.572100</v>
      </c>
    </row>
    <row r="1188" spans="1:9">
      <c r="A1188" s="22" t="str">
        <f>HYPERLINK("https://app.vivvix.com/360/KMI/IntelliDrive/ApplUI/Pages/CreativePages/CustomReportCreativeDetail.aspx?App=23&amp;ReportView=4&amp;Qid=1711245&amp;Row=1180&amp;Col=1","No Title Assigned - #15270959454")</f>
        <v/>
      </c>
      <c r="B1188" s="0" t="s">
        <v>1773</v>
      </c>
      <c r="E1188" s="0" t="s">
        <v>13</v>
      </c>
      <c r="F1188" s="0" t="s">
        <v>13</v>
      </c>
      <c r="G1188" s="0" t="s">
        <v>54</v>
      </c>
      <c r="H1188" s="5">
        <v>401.572100</v>
      </c>
    </row>
    <row r="1189" spans="1:9">
      <c r="A1189" s="22" t="str">
        <f>HYPERLINK("https://app.vivvix.com/360/KMI/IntelliDrive/ApplUI/Pages/CreativePages/CustomReportCreativeDetail.aspx?App=23&amp;ReportView=4&amp;Qid=1711245&amp;Row=1181&amp;Col=1","No Title Assigned - #15271041988")</f>
        <v/>
      </c>
      <c r="B1189" s="0" t="s">
        <v>1774</v>
      </c>
      <c r="E1189" s="0" t="s">
        <v>13</v>
      </c>
      <c r="F1189" s="0" t="s">
        <v>13</v>
      </c>
      <c r="G1189" s="0" t="s">
        <v>54</v>
      </c>
      <c r="H1189" s="5">
        <v>487.337800</v>
      </c>
    </row>
    <row r="1190" spans="1:9">
      <c r="A1190" s="22" t="str">
        <f>HYPERLINK("https://app.vivvix.com/360/KMI/IntelliDrive/ApplUI/Pages/CreativePages/CustomReportCreativeDetail.aspx?App=23&amp;ReportView=4&amp;Qid=1711245&amp;Row=1182&amp;Col=1","No Title Assigned - #15271065307")</f>
        <v/>
      </c>
      <c r="B1190" s="0" t="s">
        <v>1775</v>
      </c>
      <c r="E1190" s="0" t="s">
        <v>13</v>
      </c>
      <c r="F1190" s="0" t="s">
        <v>13</v>
      </c>
      <c r="G1190" s="0" t="s">
        <v>54</v>
      </c>
      <c r="H1190" s="5">
        <v>5218.407700</v>
      </c>
    </row>
    <row r="1191" spans="1:9">
      <c r="A1191" s="22" t="str">
        <f>HYPERLINK("https://app.vivvix.com/360/KMI/IntelliDrive/ApplUI/Pages/CreativePages/CustomReportCreativeDetail.aspx?App=23&amp;ReportView=4&amp;Qid=1711245&amp;Row=1183&amp;Col=1","No Title Assigned - #15271084216")</f>
        <v/>
      </c>
      <c r="B1191" s="0" t="s">
        <v>1776</v>
      </c>
      <c r="E1191" s="0" t="s">
        <v>13</v>
      </c>
      <c r="F1191" s="0" t="s">
        <v>13</v>
      </c>
      <c r="G1191" s="0" t="s">
        <v>54</v>
      </c>
      <c r="H1191" s="5">
        <v>6458.020800</v>
      </c>
    </row>
    <row r="1192" spans="1:9">
      <c r="A1192" s="22" t="str">
        <f>HYPERLINK("https://app.vivvix.com/360/KMI/IntelliDrive/ApplUI/Pages/CreativePages/CustomReportCreativeDetail.aspx?App=23&amp;ReportView=4&amp;Qid=1711245&amp;Row=1184&amp;Col=1","No Title Assigned - #15271084330")</f>
        <v/>
      </c>
      <c r="B1192" s="0" t="s">
        <v>1777</v>
      </c>
      <c r="E1192" s="0" t="s">
        <v>13</v>
      </c>
      <c r="F1192" s="0" t="s">
        <v>13</v>
      </c>
      <c r="G1192" s="0" t="s">
        <v>54</v>
      </c>
      <c r="H1192" s="5">
        <v>45.612900</v>
      </c>
    </row>
    <row r="1193" spans="1:9">
      <c r="A1193" s="22" t="str">
        <f>HYPERLINK("https://app.vivvix.com/360/KMI/IntelliDrive/ApplUI/Pages/CreativePages/CustomReportCreativeDetail.aspx?App=23&amp;ReportView=4&amp;Qid=1711245&amp;Row=1185&amp;Col=1","No Title Assigned - #15271103164")</f>
        <v/>
      </c>
      <c r="B1193" s="0" t="s">
        <v>1778</v>
      </c>
      <c r="C1193" s="0" t="s">
        <v>1779</v>
      </c>
      <c r="D1193" s="0" t="s">
        <v>1779</v>
      </c>
      <c r="E1193" s="0" t="s">
        <v>13</v>
      </c>
      <c r="F1193" s="0" t="s">
        <v>14</v>
      </c>
      <c r="G1193" s="0" t="s">
        <v>15</v>
      </c>
      <c r="H1193" s="5">
        <v>9311.386100</v>
      </c>
    </row>
    <row r="1194" spans="1:9">
      <c r="A1194" s="22" t="str">
        <f>HYPERLINK("https://app.vivvix.com/360/KMI/IntelliDrive/ApplUI/Pages/CreativePages/CustomReportCreativeDetail.aspx?App=23&amp;ReportView=4&amp;Qid=1711245&amp;Row=1186&amp;Col=1","No Title Assigned - #15271137236")</f>
        <v/>
      </c>
      <c r="B1194" s="0" t="s">
        <v>1780</v>
      </c>
      <c r="E1194" s="0" t="s">
        <v>13</v>
      </c>
      <c r="F1194" s="0" t="s">
        <v>13</v>
      </c>
      <c r="G1194" s="0" t="s">
        <v>54</v>
      </c>
      <c r="H1194" s="5">
        <v>20.951000</v>
      </c>
    </row>
    <row r="1195" spans="1:9">
      <c r="A1195" s="22" t="str">
        <f>HYPERLINK("https://app.vivvix.com/360/KMI/IntelliDrive/ApplUI/Pages/CreativePages/CustomReportCreativeDetail.aspx?App=23&amp;ReportView=4&amp;Qid=1711245&amp;Row=1187&amp;Col=1","No Title Assigned - #15271167846")</f>
        <v/>
      </c>
      <c r="B1195" s="0" t="s">
        <v>1781</v>
      </c>
      <c r="E1195" s="0" t="s">
        <v>13</v>
      </c>
      <c r="F1195" s="0" t="s">
        <v>13</v>
      </c>
      <c r="G1195" s="0" t="s">
        <v>54</v>
      </c>
      <c r="H1195" s="5">
        <v>25.076300</v>
      </c>
    </row>
    <row r="1196" spans="1:9">
      <c r="A1196" s="22" t="str">
        <f>HYPERLINK("https://app.vivvix.com/360/KMI/IntelliDrive/ApplUI/Pages/CreativePages/CustomReportCreativeDetail.aspx?App=23&amp;ReportView=4&amp;Qid=1711245&amp;Row=1188&amp;Col=1","No Title Assigned - #15271175411")</f>
        <v/>
      </c>
      <c r="B1196" s="0" t="s">
        <v>1782</v>
      </c>
      <c r="E1196" s="0" t="s">
        <v>13</v>
      </c>
      <c r="F1196" s="0" t="s">
        <v>14</v>
      </c>
      <c r="G1196" s="0" t="s">
        <v>22</v>
      </c>
      <c r="H1196" s="5">
        <v>665.506200</v>
      </c>
    </row>
    <row r="1197" spans="1:9">
      <c r="A1197" s="22" t="str">
        <f>HYPERLINK("https://app.vivvix.com/360/KMI/IntelliDrive/ApplUI/Pages/CreativePages/CustomReportCreativeDetail.aspx?App=23&amp;ReportView=4&amp;Qid=1711245&amp;Row=1189&amp;Col=1","No Title Assigned - #15271175412")</f>
        <v/>
      </c>
      <c r="B1197" s="0" t="s">
        <v>1783</v>
      </c>
      <c r="E1197" s="0" t="s">
        <v>13</v>
      </c>
      <c r="F1197" s="0" t="s">
        <v>14</v>
      </c>
      <c r="G1197" s="0" t="s">
        <v>22</v>
      </c>
      <c r="H1197" s="5">
        <v>1260.263600</v>
      </c>
    </row>
    <row r="1198" spans="1:9">
      <c r="A1198" s="22" t="str">
        <f>HYPERLINK("https://app.vivvix.com/360/KMI/IntelliDrive/ApplUI/Pages/CreativePages/CustomReportCreativeDetail.aspx?App=23&amp;ReportView=4&amp;Qid=1711245&amp;Row=1190&amp;Col=1","No Title Assigned - #15271175412")</f>
        <v/>
      </c>
      <c r="B1198" s="0" t="s">
        <v>1783</v>
      </c>
      <c r="E1198" s="0" t="s">
        <v>13</v>
      </c>
      <c r="F1198" s="0" t="s">
        <v>14</v>
      </c>
      <c r="G1198" s="0" t="s">
        <v>22</v>
      </c>
      <c r="H1198" s="5">
        <v>7222.702800</v>
      </c>
    </row>
    <row r="1199" spans="1:9">
      <c r="A1199" s="22" t="str">
        <f>HYPERLINK("https://app.vivvix.com/360/KMI/IntelliDrive/ApplUI/Pages/CreativePages/CustomReportCreativeDetail.aspx?App=23&amp;ReportView=4&amp;Qid=1711245&amp;Row=1191&amp;Col=1","No Title Assigned - #15271183533")</f>
        <v/>
      </c>
      <c r="B1199" s="0" t="s">
        <v>1784</v>
      </c>
      <c r="C1199" s="0" t="s">
        <v>1785</v>
      </c>
      <c r="D1199" s="0" t="s">
        <v>1675</v>
      </c>
      <c r="E1199" s="0" t="s">
        <v>13</v>
      </c>
      <c r="F1199" s="0" t="s">
        <v>17</v>
      </c>
      <c r="G1199" s="0" t="s">
        <v>446</v>
      </c>
      <c r="H1199" s="5">
        <v>243.212400</v>
      </c>
    </row>
    <row r="1200" spans="1:9">
      <c r="A1200" s="22" t="str">
        <f>HYPERLINK("https://app.vivvix.com/360/KMI/IntelliDrive/ApplUI/Pages/CreativePages/CustomReportCreativeDetail.aspx?App=23&amp;ReportView=4&amp;Qid=1711245&amp;Row=1192&amp;Col=1","No Title Assigned - #15271186046")</f>
        <v/>
      </c>
      <c r="B1200" s="0" t="s">
        <v>1786</v>
      </c>
      <c r="C1200" s="0" t="s">
        <v>1787</v>
      </c>
      <c r="D1200" s="0" t="s">
        <v>1787</v>
      </c>
      <c r="E1200" s="0" t="s">
        <v>13</v>
      </c>
      <c r="F1200" s="0" t="s">
        <v>14</v>
      </c>
      <c r="G1200" s="0" t="s">
        <v>15</v>
      </c>
      <c r="H1200" s="5">
        <v>4867.741300</v>
      </c>
    </row>
    <row r="1201" spans="1:9">
      <c r="A1201" s="22" t="str">
        <f>HYPERLINK("https://app.vivvix.com/360/KMI/IntelliDrive/ApplUI/Pages/CreativePages/CustomReportCreativeDetail.aspx?App=23&amp;ReportView=4&amp;Qid=1711245&amp;Row=1193&amp;Col=1","No Title Assigned - #15271212271")</f>
        <v/>
      </c>
      <c r="B1201" s="0" t="s">
        <v>1788</v>
      </c>
      <c r="E1201" s="0" t="s">
        <v>13</v>
      </c>
      <c r="F1201" s="0" t="s">
        <v>13</v>
      </c>
      <c r="G1201" s="0" t="s">
        <v>54</v>
      </c>
      <c r="H1201" s="5">
        <v>697.159500</v>
      </c>
    </row>
    <row r="1202" spans="1:9">
      <c r="A1202" s="22" t="str">
        <f>HYPERLINK("https://app.vivvix.com/360/KMI/IntelliDrive/ApplUI/Pages/CreativePages/CustomReportCreativeDetail.aspx?App=23&amp;ReportView=4&amp;Qid=1711245&amp;Row=1194&amp;Col=1","No Title Assigned - #15271287766")</f>
        <v/>
      </c>
      <c r="B1202" s="0" t="s">
        <v>1789</v>
      </c>
      <c r="C1202" s="0" t="s">
        <v>1790</v>
      </c>
      <c r="D1202" s="0" t="s">
        <v>1660</v>
      </c>
      <c r="E1202" s="0" t="s">
        <v>13</v>
      </c>
      <c r="F1202" s="0" t="s">
        <v>128</v>
      </c>
      <c r="G1202" s="0" t="s">
        <v>456</v>
      </c>
      <c r="H1202" s="5">
        <v>9084.550300</v>
      </c>
    </row>
    <row r="1203" spans="1:9">
      <c r="A1203" s="22" t="str">
        <f>HYPERLINK("https://app.vivvix.com/360/KMI/IntelliDrive/ApplUI/Pages/CreativePages/CustomReportCreativeDetail.aspx?App=23&amp;ReportView=4&amp;Qid=1711245&amp;Row=1195&amp;Col=1","No Title Assigned - #15271302317")</f>
        <v/>
      </c>
      <c r="B1203" s="0" t="s">
        <v>1791</v>
      </c>
      <c r="E1203" s="0" t="s">
        <v>13</v>
      </c>
      <c r="F1203" s="0" t="s">
        <v>13</v>
      </c>
      <c r="G1203" s="0" t="s">
        <v>54</v>
      </c>
      <c r="H1203" s="5">
        <v>921.851300</v>
      </c>
    </row>
    <row r="1204" spans="1:9">
      <c r="A1204" s="22" t="str">
        <f>HYPERLINK("https://app.vivvix.com/360/KMI/IntelliDrive/ApplUI/Pages/CreativePages/CustomReportCreativeDetail.aspx?App=23&amp;ReportView=4&amp;Qid=1711245&amp;Row=1196&amp;Col=1","No Title Assigned - #15271303208")</f>
        <v/>
      </c>
      <c r="B1204" s="0" t="s">
        <v>1792</v>
      </c>
      <c r="E1204" s="0" t="s">
        <v>13</v>
      </c>
      <c r="F1204" s="0" t="s">
        <v>13</v>
      </c>
      <c r="G1204" s="0" t="s">
        <v>54</v>
      </c>
      <c r="H1204" s="5">
        <v>161.536400</v>
      </c>
    </row>
    <row r="1205" spans="1:9">
      <c r="A1205" s="22" t="str">
        <f>HYPERLINK("https://app.vivvix.com/360/KMI/IntelliDrive/ApplUI/Pages/CreativePages/CustomReportCreativeDetail.aspx?App=23&amp;ReportView=4&amp;Qid=1711245&amp;Row=1197&amp;Col=1","No Title Assigned - #15271312201")</f>
        <v/>
      </c>
      <c r="B1205" s="0" t="s">
        <v>1793</v>
      </c>
      <c r="E1205" s="0" t="s">
        <v>13</v>
      </c>
      <c r="F1205" s="0" t="s">
        <v>13</v>
      </c>
      <c r="G1205" s="0" t="s">
        <v>54</v>
      </c>
      <c r="H1205" s="5">
        <v>7.215000</v>
      </c>
    </row>
    <row r="1206" spans="1:9">
      <c r="A1206" s="22" t="str">
        <f>HYPERLINK("https://app.vivvix.com/360/KMI/IntelliDrive/ApplUI/Pages/CreativePages/CustomReportCreativeDetail.aspx?App=23&amp;ReportView=4&amp;Qid=1711245&amp;Row=1198&amp;Col=1","No Title Assigned - #15271312654")</f>
        <v/>
      </c>
      <c r="B1206" s="0" t="s">
        <v>1794</v>
      </c>
      <c r="E1206" s="0" t="s">
        <v>13</v>
      </c>
      <c r="F1206" s="0" t="s">
        <v>13</v>
      </c>
      <c r="G1206" s="0" t="s">
        <v>54</v>
      </c>
      <c r="H1206" s="5">
        <v>1.512800</v>
      </c>
    </row>
    <row r="1207" spans="1:9">
      <c r="A1207" s="22" t="str">
        <f>HYPERLINK("https://app.vivvix.com/360/KMI/IntelliDrive/ApplUI/Pages/CreativePages/CustomReportCreativeDetail.aspx?App=23&amp;ReportView=4&amp;Qid=1711245&amp;Row=1199&amp;Col=1","No Title Assigned - #15271377094")</f>
        <v/>
      </c>
      <c r="B1207" s="0" t="s">
        <v>1795</v>
      </c>
      <c r="E1207" s="0" t="s">
        <v>13</v>
      </c>
      <c r="F1207" s="0" t="s">
        <v>13</v>
      </c>
      <c r="G1207" s="0" t="s">
        <v>54</v>
      </c>
      <c r="H1207" s="5">
        <v>1159.030400</v>
      </c>
    </row>
    <row r="1208" spans="1:9">
      <c r="A1208" s="22" t="str">
        <f>HYPERLINK("https://app.vivvix.com/360/KMI/IntelliDrive/ApplUI/Pages/CreativePages/CustomReportCreativeDetail.aspx?App=23&amp;ReportView=4&amp;Qid=1711245&amp;Row=1200&amp;Col=1","No Title Assigned - #15271422139")</f>
        <v/>
      </c>
      <c r="B1208" s="0" t="s">
        <v>1796</v>
      </c>
      <c r="C1208" s="0" t="s">
        <v>1797</v>
      </c>
      <c r="D1208" s="0" t="s">
        <v>1797</v>
      </c>
      <c r="E1208" s="0" t="s">
        <v>13</v>
      </c>
      <c r="F1208" s="0" t="s">
        <v>14</v>
      </c>
      <c r="G1208" s="0" t="s">
        <v>15</v>
      </c>
      <c r="H1208" s="5">
        <v>4027.340500</v>
      </c>
    </row>
    <row r="1209" spans="1:9">
      <c r="A1209" s="22" t="str">
        <f>HYPERLINK("https://app.vivvix.com/360/KMI/IntelliDrive/ApplUI/Pages/CreativePages/CustomReportCreativeDetail.aspx?App=23&amp;ReportView=4&amp;Qid=1711245&amp;Row=1201&amp;Col=1","No Title Assigned - #15271423674")</f>
        <v/>
      </c>
      <c r="B1209" s="0" t="s">
        <v>1798</v>
      </c>
      <c r="C1209" s="0" t="s">
        <v>1799</v>
      </c>
      <c r="D1209" s="0" t="s">
        <v>1771</v>
      </c>
      <c r="E1209" s="0" t="s">
        <v>13</v>
      </c>
      <c r="F1209" s="0" t="s">
        <v>14</v>
      </c>
      <c r="G1209" s="0" t="s">
        <v>15</v>
      </c>
      <c r="H1209" s="5">
        <v>4390.782900</v>
      </c>
    </row>
    <row r="1210" spans="1:9">
      <c r="A1210" s="22" t="str">
        <f>HYPERLINK("https://app.vivvix.com/360/KMI/IntelliDrive/ApplUI/Pages/CreativePages/CustomReportCreativeDetail.aspx?App=23&amp;ReportView=4&amp;Qid=1711245&amp;Row=1202&amp;Col=1","No Title Assigned - #15271423718")</f>
        <v/>
      </c>
      <c r="B1210" s="0" t="s">
        <v>1800</v>
      </c>
      <c r="C1210" s="0" t="s">
        <v>1801</v>
      </c>
      <c r="D1210" s="0" t="s">
        <v>1801</v>
      </c>
      <c r="E1210" s="0" t="s">
        <v>13</v>
      </c>
      <c r="F1210" s="0" t="s">
        <v>14</v>
      </c>
      <c r="G1210" s="0" t="s">
        <v>15</v>
      </c>
      <c r="H1210" s="5">
        <v>195.827000</v>
      </c>
    </row>
    <row r="1211" spans="1:9">
      <c r="A1211" s="22" t="str">
        <f>HYPERLINK("https://app.vivvix.com/360/KMI/IntelliDrive/ApplUI/Pages/CreativePages/CustomReportCreativeDetail.aspx?App=23&amp;ReportView=4&amp;Qid=1711245&amp;Row=1203&amp;Col=1","No Title Assigned - #15271519997")</f>
        <v/>
      </c>
      <c r="B1211" s="0" t="s">
        <v>1802</v>
      </c>
      <c r="E1211" s="0" t="s">
        <v>13</v>
      </c>
      <c r="F1211" s="0" t="s">
        <v>13</v>
      </c>
      <c r="G1211" s="0" t="s">
        <v>54</v>
      </c>
      <c r="H1211" s="5">
        <v>426.959900</v>
      </c>
    </row>
    <row r="1212" spans="1:9">
      <c r="A1212" s="22" t="str">
        <f>HYPERLINK("https://app.vivvix.com/360/KMI/IntelliDrive/ApplUI/Pages/CreativePages/CustomReportCreativeDetail.aspx?App=23&amp;ReportView=4&amp;Qid=1711245&amp;Row=1204&amp;Col=1","No Title Assigned - #15271595630")</f>
        <v/>
      </c>
      <c r="B1212" s="0" t="s">
        <v>1803</v>
      </c>
      <c r="E1212" s="0" t="s">
        <v>13</v>
      </c>
      <c r="F1212" s="0" t="s">
        <v>13</v>
      </c>
      <c r="G1212" s="0" t="s">
        <v>54</v>
      </c>
      <c r="H1212" s="5">
        <v>44.216700</v>
      </c>
    </row>
    <row r="1213" spans="1:9">
      <c r="A1213" s="22" t="str">
        <f>HYPERLINK("https://app.vivvix.com/360/KMI/IntelliDrive/ApplUI/Pages/CreativePages/CustomReportCreativeDetail.aspx?App=23&amp;ReportView=4&amp;Qid=1711245&amp;Row=1205&amp;Col=1","No Title Assigned - #15271622803")</f>
        <v/>
      </c>
      <c r="B1213" s="0" t="s">
        <v>1804</v>
      </c>
      <c r="E1213" s="0" t="s">
        <v>13</v>
      </c>
      <c r="F1213" s="0" t="s">
        <v>13</v>
      </c>
      <c r="G1213" s="0" t="s">
        <v>54</v>
      </c>
      <c r="H1213" s="5">
        <v>452.247800</v>
      </c>
    </row>
    <row r="1214" spans="1:9">
      <c r="A1214" s="22" t="str">
        <f>HYPERLINK("https://app.vivvix.com/360/KMI/IntelliDrive/ApplUI/Pages/CreativePages/CustomReportCreativeDetail.aspx?App=23&amp;ReportView=4&amp;Qid=1711245&amp;Row=1206&amp;Col=1","No Title Assigned - #15271629293")</f>
        <v/>
      </c>
      <c r="B1214" s="0" t="s">
        <v>1805</v>
      </c>
      <c r="E1214" s="0" t="s">
        <v>13</v>
      </c>
      <c r="F1214" s="0" t="s">
        <v>13</v>
      </c>
      <c r="G1214" s="0" t="s">
        <v>54</v>
      </c>
      <c r="H1214" s="5">
        <v>1211.024500</v>
      </c>
    </row>
    <row r="1215" spans="1:9">
      <c r="A1215" s="22" t="str">
        <f>HYPERLINK("https://app.vivvix.com/360/KMI/IntelliDrive/ApplUI/Pages/CreativePages/CustomReportCreativeDetail.aspx?App=23&amp;ReportView=4&amp;Qid=1711245&amp;Row=1207&amp;Col=1","No Title Assigned - #15271732941")</f>
        <v/>
      </c>
      <c r="B1215" s="0" t="s">
        <v>1806</v>
      </c>
      <c r="E1215" s="0" t="s">
        <v>13</v>
      </c>
      <c r="F1215" s="0" t="s">
        <v>13</v>
      </c>
      <c r="G1215" s="0" t="s">
        <v>54</v>
      </c>
      <c r="H1215" s="5">
        <v>507.946400</v>
      </c>
    </row>
    <row r="1216" spans="1:9">
      <c r="A1216" s="22" t="str">
        <f>HYPERLINK("https://app.vivvix.com/360/KMI/IntelliDrive/ApplUI/Pages/CreativePages/CustomReportCreativeDetail.aspx?App=23&amp;ReportView=4&amp;Qid=1711245&amp;Row=1208&amp;Col=1","No Title Assigned - #15271781256")</f>
        <v/>
      </c>
      <c r="B1216" s="0" t="s">
        <v>1807</v>
      </c>
      <c r="C1216" s="0" t="s">
        <v>1808</v>
      </c>
      <c r="D1216" s="0" t="s">
        <v>1808</v>
      </c>
      <c r="E1216" s="0" t="s">
        <v>13</v>
      </c>
      <c r="F1216" s="0" t="s">
        <v>530</v>
      </c>
      <c r="G1216" s="0" t="s">
        <v>531</v>
      </c>
      <c r="H1216" s="5">
        <v>16805.603100</v>
      </c>
    </row>
    <row r="1217" spans="1:9">
      <c r="A1217" s="22" t="str">
        <f>HYPERLINK("https://app.vivvix.com/360/KMI/IntelliDrive/ApplUI/Pages/CreativePages/CustomReportCreativeDetail.aspx?App=23&amp;ReportView=4&amp;Qid=1711245&amp;Row=1209&amp;Col=1","No Title Assigned - #15271787484")</f>
        <v/>
      </c>
      <c r="B1217" s="0" t="s">
        <v>1809</v>
      </c>
      <c r="C1217" s="0" t="s">
        <v>1810</v>
      </c>
      <c r="D1217" s="0" t="s">
        <v>1810</v>
      </c>
      <c r="E1217" s="0" t="s">
        <v>13</v>
      </c>
      <c r="F1217" s="0" t="s">
        <v>530</v>
      </c>
      <c r="G1217" s="0" t="s">
        <v>531</v>
      </c>
      <c r="H1217" s="5">
        <v>3295.353600</v>
      </c>
    </row>
    <row r="1218" spans="1:9">
      <c r="A1218" s="22" t="str">
        <f>HYPERLINK("https://app.vivvix.com/360/KMI/IntelliDrive/ApplUI/Pages/CreativePages/CustomReportCreativeDetail.aspx?App=23&amp;ReportView=4&amp;Qid=1711245&amp;Row=1210&amp;Col=1","No Title Assigned - #15271793060")</f>
        <v/>
      </c>
      <c r="B1218" s="0" t="s">
        <v>1811</v>
      </c>
      <c r="C1218" s="0" t="s">
        <v>1812</v>
      </c>
      <c r="D1218" s="0" t="s">
        <v>1812</v>
      </c>
      <c r="E1218" s="0" t="s">
        <v>13</v>
      </c>
      <c r="F1218" s="0" t="s">
        <v>530</v>
      </c>
      <c r="G1218" s="0" t="s">
        <v>531</v>
      </c>
      <c r="H1218" s="5">
        <v>720.911600</v>
      </c>
    </row>
    <row r="1219" spans="1:9">
      <c r="A1219" s="22" t="str">
        <f>HYPERLINK("https://app.vivvix.com/360/KMI/IntelliDrive/ApplUI/Pages/CreativePages/CustomReportCreativeDetail.aspx?App=23&amp;ReportView=4&amp;Qid=1711245&amp;Row=1211&amp;Col=1","No Title Assigned - #15271793078")</f>
        <v/>
      </c>
      <c r="B1219" s="0" t="s">
        <v>1813</v>
      </c>
      <c r="C1219" s="0" t="s">
        <v>1814</v>
      </c>
      <c r="D1219" s="0" t="s">
        <v>1814</v>
      </c>
      <c r="E1219" s="0" t="s">
        <v>13</v>
      </c>
      <c r="F1219" s="0" t="s">
        <v>530</v>
      </c>
      <c r="G1219" s="0" t="s">
        <v>531</v>
      </c>
      <c r="H1219" s="5">
        <v>2548.715300</v>
      </c>
    </row>
    <row r="1220" spans="1:9">
      <c r="A1220" s="22" t="str">
        <f>HYPERLINK("https://app.vivvix.com/360/KMI/IntelliDrive/ApplUI/Pages/CreativePages/CustomReportCreativeDetail.aspx?App=23&amp;ReportView=4&amp;Qid=1711245&amp;Row=1212&amp;Col=1","No Title Assigned - #15271802339")</f>
        <v/>
      </c>
      <c r="B1220" s="0" t="s">
        <v>1815</v>
      </c>
      <c r="E1220" s="0" t="s">
        <v>13</v>
      </c>
      <c r="F1220" s="0" t="s">
        <v>13</v>
      </c>
      <c r="G1220" s="0" t="s">
        <v>54</v>
      </c>
      <c r="H1220" s="5">
        <v>0.378200</v>
      </c>
    </row>
    <row r="1221" spans="1:9">
      <c r="A1221" s="22" t="str">
        <f>HYPERLINK("https://app.vivvix.com/360/KMI/IntelliDrive/ApplUI/Pages/CreativePages/CustomReportCreativeDetail.aspx?App=23&amp;ReportView=4&amp;Qid=1711245&amp;Row=1213&amp;Col=1","No Title Assigned - #15271922669")</f>
        <v/>
      </c>
      <c r="B1221" s="0" t="s">
        <v>1816</v>
      </c>
      <c r="E1221" s="0" t="s">
        <v>13</v>
      </c>
      <c r="F1221" s="0" t="s">
        <v>13</v>
      </c>
      <c r="G1221" s="0" t="s">
        <v>54</v>
      </c>
      <c r="H1221" s="5">
        <v>13156.751500</v>
      </c>
    </row>
    <row r="1222" spans="1:9">
      <c r="A1222" s="22" t="str">
        <f>HYPERLINK("https://app.vivvix.com/360/KMI/IntelliDrive/ApplUI/Pages/CreativePages/CustomReportCreativeDetail.aspx?App=23&amp;ReportView=4&amp;Qid=1711245&amp;Row=1214&amp;Col=1","No Title Assigned - #15271938488")</f>
        <v/>
      </c>
      <c r="B1222" s="0" t="s">
        <v>1817</v>
      </c>
      <c r="C1222" s="0" t="s">
        <v>1818</v>
      </c>
      <c r="D1222" s="0" t="s">
        <v>1818</v>
      </c>
      <c r="E1222" s="0" t="s">
        <v>13</v>
      </c>
      <c r="F1222" s="0" t="s">
        <v>540</v>
      </c>
      <c r="G1222" s="0" t="s">
        <v>541</v>
      </c>
      <c r="H1222" s="5">
        <v>915.978700</v>
      </c>
    </row>
    <row r="1223" spans="1:9">
      <c r="A1223" s="22" t="str">
        <f>HYPERLINK("https://app.vivvix.com/360/KMI/IntelliDrive/ApplUI/Pages/CreativePages/CustomReportCreativeDetail.aspx?App=23&amp;ReportView=4&amp;Qid=1711245&amp;Row=1215&amp;Col=1","No Title Assigned - #15272035266")</f>
        <v/>
      </c>
      <c r="B1223" s="0" t="s">
        <v>1819</v>
      </c>
      <c r="E1223" s="0" t="s">
        <v>13</v>
      </c>
      <c r="F1223" s="0" t="s">
        <v>13</v>
      </c>
      <c r="G1223" s="0" t="s">
        <v>54</v>
      </c>
      <c r="H1223" s="5">
        <v>671.510600</v>
      </c>
    </row>
    <row r="1224" spans="1:9">
      <c r="A1224" s="22" t="str">
        <f>HYPERLINK("https://app.vivvix.com/360/KMI/IntelliDrive/ApplUI/Pages/CreativePages/CustomReportCreativeDetail.aspx?App=23&amp;ReportView=4&amp;Qid=1711245&amp;Row=1216&amp;Col=1","No Title Assigned - #15272086760")</f>
        <v/>
      </c>
      <c r="B1224" s="0" t="s">
        <v>1820</v>
      </c>
      <c r="E1224" s="0" t="s">
        <v>13</v>
      </c>
      <c r="F1224" s="0" t="s">
        <v>13</v>
      </c>
      <c r="G1224" s="0" t="s">
        <v>54</v>
      </c>
      <c r="H1224" s="5">
        <v>25.791300</v>
      </c>
    </row>
    <row r="1225" spans="1:9">
      <c r="A1225" s="22" t="str">
        <f>HYPERLINK("https://app.vivvix.com/360/KMI/IntelliDrive/ApplUI/Pages/CreativePages/CustomReportCreativeDetail.aspx?App=23&amp;ReportView=4&amp;Qid=1711245&amp;Row=1217&amp;Col=1","No Title Assigned - #15272098004")</f>
        <v/>
      </c>
      <c r="B1225" s="0" t="s">
        <v>1821</v>
      </c>
      <c r="C1225" s="0" t="s">
        <v>1822</v>
      </c>
      <c r="D1225" s="0" t="s">
        <v>1822</v>
      </c>
      <c r="E1225" s="0" t="s">
        <v>13</v>
      </c>
      <c r="F1225" s="0" t="s">
        <v>14</v>
      </c>
      <c r="G1225" s="0" t="s">
        <v>15</v>
      </c>
      <c r="H1225" s="5">
        <v>441.184200</v>
      </c>
    </row>
    <row r="1226" spans="1:9">
      <c r="A1226" s="22" t="str">
        <f>HYPERLINK("https://app.vivvix.com/360/KMI/IntelliDrive/ApplUI/Pages/CreativePages/CustomReportCreativeDetail.aspx?App=23&amp;ReportView=4&amp;Qid=1711245&amp;Row=1218&amp;Col=1","No Title Assigned - #15272117340")</f>
        <v/>
      </c>
      <c r="B1226" s="0" t="s">
        <v>1823</v>
      </c>
      <c r="E1226" s="0" t="s">
        <v>13</v>
      </c>
      <c r="F1226" s="0" t="s">
        <v>13</v>
      </c>
      <c r="G1226" s="0" t="s">
        <v>54</v>
      </c>
      <c r="H1226" s="5">
        <v>392.542000</v>
      </c>
    </row>
    <row r="1227" spans="1:9">
      <c r="A1227" s="22" t="str">
        <f>HYPERLINK("https://app.vivvix.com/360/KMI/IntelliDrive/ApplUI/Pages/CreativePages/CustomReportCreativeDetail.aspx?App=23&amp;ReportView=4&amp;Qid=1711245&amp;Row=1219&amp;Col=1","No Title Assigned - #15272130495")</f>
        <v/>
      </c>
      <c r="B1227" s="0" t="s">
        <v>1824</v>
      </c>
      <c r="E1227" s="0" t="s">
        <v>13</v>
      </c>
      <c r="F1227" s="0" t="s">
        <v>13</v>
      </c>
      <c r="G1227" s="0" t="s">
        <v>54</v>
      </c>
      <c r="H1227" s="5">
        <v>14351.860500</v>
      </c>
    </row>
    <row r="1228" spans="1:9">
      <c r="A1228" s="22" t="str">
        <f>HYPERLINK("https://app.vivvix.com/360/KMI/IntelliDrive/ApplUI/Pages/CreativePages/CustomReportCreativeDetail.aspx?App=23&amp;ReportView=4&amp;Qid=1711245&amp;Row=1220&amp;Col=1","No Title Assigned - #15272133702")</f>
        <v/>
      </c>
      <c r="B1228" s="0" t="s">
        <v>1825</v>
      </c>
      <c r="E1228" s="0" t="s">
        <v>13</v>
      </c>
      <c r="F1228" s="0" t="s">
        <v>13</v>
      </c>
      <c r="G1228" s="0" t="s">
        <v>54</v>
      </c>
      <c r="H1228" s="5">
        <v>1834.880900</v>
      </c>
    </row>
    <row r="1229" spans="1:9">
      <c r="A1229" s="22" t="str">
        <f>HYPERLINK("https://app.vivvix.com/360/KMI/IntelliDrive/ApplUI/Pages/CreativePages/CustomReportCreativeDetail.aspx?App=23&amp;ReportView=4&amp;Qid=1711245&amp;Row=1221&amp;Col=1","No Title Assigned - #15272138065")</f>
        <v/>
      </c>
      <c r="B1229" s="0" t="s">
        <v>1826</v>
      </c>
      <c r="E1229" s="0" t="s">
        <v>13</v>
      </c>
      <c r="F1229" s="0" t="s">
        <v>13</v>
      </c>
      <c r="G1229" s="0" t="s">
        <v>54</v>
      </c>
      <c r="H1229" s="5">
        <v>984.778100</v>
      </c>
    </row>
    <row r="1230" spans="1:9">
      <c r="A1230" s="22" t="str">
        <f>HYPERLINK("https://app.vivvix.com/360/KMI/IntelliDrive/ApplUI/Pages/CreativePages/CustomReportCreativeDetail.aspx?App=23&amp;ReportView=4&amp;Qid=1711245&amp;Row=1222&amp;Col=1","No Title Assigned - #15272138066")</f>
        <v/>
      </c>
      <c r="B1230" s="0" t="s">
        <v>1827</v>
      </c>
      <c r="E1230" s="0" t="s">
        <v>13</v>
      </c>
      <c r="F1230" s="0" t="s">
        <v>13</v>
      </c>
      <c r="G1230" s="0" t="s">
        <v>54</v>
      </c>
      <c r="H1230" s="5">
        <v>1137.592000</v>
      </c>
    </row>
    <row r="1231" spans="1:9">
      <c r="A1231" s="22" t="str">
        <f>HYPERLINK("https://app.vivvix.com/360/KMI/IntelliDrive/ApplUI/Pages/CreativePages/CustomReportCreativeDetail.aspx?App=23&amp;ReportView=4&amp;Qid=1711245&amp;Row=1223&amp;Col=1","No Title Assigned - #15272143856")</f>
        <v/>
      </c>
      <c r="B1231" s="0" t="s">
        <v>1828</v>
      </c>
      <c r="E1231" s="0" t="s">
        <v>13</v>
      </c>
      <c r="F1231" s="0" t="s">
        <v>13</v>
      </c>
      <c r="G1231" s="0" t="s">
        <v>54</v>
      </c>
      <c r="H1231" s="5">
        <v>2189.794000</v>
      </c>
    </row>
    <row r="1232" spans="1:9">
      <c r="A1232" s="22" t="str">
        <f>HYPERLINK("https://app.vivvix.com/360/KMI/IntelliDrive/ApplUI/Pages/CreativePages/CustomReportCreativeDetail.aspx?App=23&amp;ReportView=4&amp;Qid=1711245&amp;Row=1224&amp;Col=1","No Title Assigned - #15272144404")</f>
        <v/>
      </c>
      <c r="B1232" s="0" t="s">
        <v>1829</v>
      </c>
      <c r="E1232" s="0" t="s">
        <v>13</v>
      </c>
      <c r="F1232" s="0" t="s">
        <v>13</v>
      </c>
      <c r="G1232" s="0" t="s">
        <v>54</v>
      </c>
      <c r="H1232" s="5">
        <v>1465.421800</v>
      </c>
    </row>
    <row r="1233" spans="1:9">
      <c r="A1233" s="22" t="str">
        <f>HYPERLINK("https://app.vivvix.com/360/KMI/IntelliDrive/ApplUI/Pages/CreativePages/CustomReportCreativeDetail.aspx?App=23&amp;ReportView=4&amp;Qid=1711245&amp;Row=1225&amp;Col=1","No Title Assigned - #15272161248")</f>
        <v/>
      </c>
      <c r="B1233" s="0" t="s">
        <v>1830</v>
      </c>
      <c r="E1233" s="0" t="s">
        <v>13</v>
      </c>
      <c r="F1233" s="0" t="s">
        <v>13</v>
      </c>
      <c r="G1233" s="0" t="s">
        <v>54</v>
      </c>
      <c r="H1233" s="5">
        <v>4.099900</v>
      </c>
    </row>
    <row r="1234" spans="1:9">
      <c r="A1234" s="22" t="str">
        <f>HYPERLINK("https://app.vivvix.com/360/KMI/IntelliDrive/ApplUI/Pages/CreativePages/CustomReportCreativeDetail.aspx?App=23&amp;ReportView=4&amp;Qid=1711245&amp;Row=1226&amp;Col=1","No Title Assigned - #15272166004")</f>
        <v/>
      </c>
      <c r="B1234" s="0" t="s">
        <v>1831</v>
      </c>
      <c r="E1234" s="0" t="s">
        <v>13</v>
      </c>
      <c r="F1234" s="0" t="s">
        <v>13</v>
      </c>
      <c r="G1234" s="0" t="s">
        <v>54</v>
      </c>
      <c r="H1234" s="5">
        <v>3.216600</v>
      </c>
    </row>
    <row r="1235" spans="1:9">
      <c r="A1235" s="22" t="str">
        <f>HYPERLINK("https://app.vivvix.com/360/KMI/IntelliDrive/ApplUI/Pages/CreativePages/CustomReportCreativeDetail.aspx?App=23&amp;ReportView=4&amp;Qid=1711245&amp;Row=1227&amp;Col=1","No Title Assigned - #15272263089")</f>
        <v/>
      </c>
      <c r="B1235" s="0" t="s">
        <v>1832</v>
      </c>
      <c r="C1235" s="0" t="s">
        <v>1833</v>
      </c>
      <c r="D1235" s="0" t="s">
        <v>1833</v>
      </c>
      <c r="E1235" s="0" t="s">
        <v>13</v>
      </c>
      <c r="F1235" s="0" t="s">
        <v>14</v>
      </c>
      <c r="G1235" s="0" t="s">
        <v>15</v>
      </c>
      <c r="H1235" s="5">
        <v>781.882400</v>
      </c>
    </row>
    <row r="1236" spans="1:9">
      <c r="A1236" s="22" t="str">
        <f>HYPERLINK("https://app.vivvix.com/360/KMI/IntelliDrive/ApplUI/Pages/CreativePages/CustomReportCreativeDetail.aspx?App=23&amp;ReportView=4&amp;Qid=1711245&amp;Row=1228&amp;Col=1","No Title Assigned - #15272288914")</f>
        <v/>
      </c>
      <c r="B1236" s="0" t="s">
        <v>1834</v>
      </c>
      <c r="C1236" s="0" t="s">
        <v>1835</v>
      </c>
      <c r="D1236" s="0" t="s">
        <v>1835</v>
      </c>
      <c r="E1236" s="0" t="s">
        <v>13</v>
      </c>
      <c r="F1236" s="0" t="s">
        <v>28</v>
      </c>
      <c r="G1236" s="0" t="s">
        <v>453</v>
      </c>
      <c r="H1236" s="5">
        <v>4210.527200</v>
      </c>
    </row>
    <row r="1237" spans="1:9">
      <c r="A1237" s="22" t="str">
        <f>HYPERLINK("https://app.vivvix.com/360/KMI/IntelliDrive/ApplUI/Pages/CreativePages/CustomReportCreativeDetail.aspx?App=23&amp;ReportView=4&amp;Qid=1711245&amp;Row=1229&amp;Col=1","No Title Assigned - #15272304393")</f>
        <v/>
      </c>
      <c r="B1237" s="0" t="s">
        <v>1836</v>
      </c>
      <c r="E1237" s="0" t="s">
        <v>13</v>
      </c>
      <c r="F1237" s="0" t="s">
        <v>13</v>
      </c>
      <c r="G1237" s="0" t="s">
        <v>54</v>
      </c>
      <c r="H1237" s="5">
        <v>18.757100</v>
      </c>
    </row>
    <row r="1238" spans="1:9">
      <c r="A1238" s="22" t="str">
        <f>HYPERLINK("https://app.vivvix.com/360/KMI/IntelliDrive/ApplUI/Pages/CreativePages/CustomReportCreativeDetail.aspx?App=23&amp;ReportView=4&amp;Qid=1711245&amp;Row=1230&amp;Col=1","No Title Assigned - #15272304414")</f>
        <v/>
      </c>
      <c r="B1238" s="0" t="s">
        <v>1837</v>
      </c>
      <c r="E1238" s="0" t="s">
        <v>13</v>
      </c>
      <c r="F1238" s="0" t="s">
        <v>13</v>
      </c>
      <c r="G1238" s="0" t="s">
        <v>54</v>
      </c>
      <c r="H1238" s="5">
        <v>6456.434300</v>
      </c>
    </row>
    <row r="1239" spans="1:9">
      <c r="A1239" s="22" t="str">
        <f>HYPERLINK("https://app.vivvix.com/360/KMI/IntelliDrive/ApplUI/Pages/CreativePages/CustomReportCreativeDetail.aspx?App=23&amp;ReportView=4&amp;Qid=1711245&amp;Row=1231&amp;Col=1","No Title Assigned - #15272309552")</f>
        <v/>
      </c>
      <c r="B1239" s="0" t="s">
        <v>1838</v>
      </c>
      <c r="E1239" s="0" t="s">
        <v>13</v>
      </c>
      <c r="F1239" s="0" t="s">
        <v>13</v>
      </c>
      <c r="G1239" s="0" t="s">
        <v>54</v>
      </c>
      <c r="H1239" s="5">
        <v>36749.526500</v>
      </c>
    </row>
    <row r="1240" spans="1:9">
      <c r="A1240" s="22" t="str">
        <f>HYPERLINK("https://app.vivvix.com/360/KMI/IntelliDrive/ApplUI/Pages/CreativePages/CustomReportCreativeDetail.aspx?App=23&amp;ReportView=4&amp;Qid=1711245&amp;Row=1232&amp;Col=1","No Title Assigned - #15272311856")</f>
        <v/>
      </c>
      <c r="B1240" s="0" t="s">
        <v>1839</v>
      </c>
      <c r="E1240" s="0" t="s">
        <v>13</v>
      </c>
      <c r="F1240" s="0" t="s">
        <v>13</v>
      </c>
      <c r="G1240" s="0" t="s">
        <v>54</v>
      </c>
      <c r="H1240" s="5">
        <v>6571.997600</v>
      </c>
    </row>
    <row r="1241" spans="1:9">
      <c r="A1241" s="22" t="str">
        <f>HYPERLINK("https://app.vivvix.com/360/KMI/IntelliDrive/ApplUI/Pages/CreativePages/CustomReportCreativeDetail.aspx?App=23&amp;ReportView=4&amp;Qid=1711245&amp;Row=1233&amp;Col=1","No Title Assigned - #15272319216")</f>
        <v/>
      </c>
      <c r="B1241" s="0" t="s">
        <v>1840</v>
      </c>
      <c r="E1241" s="0" t="s">
        <v>13</v>
      </c>
      <c r="F1241" s="0" t="s">
        <v>13</v>
      </c>
      <c r="G1241" s="0" t="s">
        <v>54</v>
      </c>
      <c r="H1241" s="5">
        <v>32848.183600</v>
      </c>
    </row>
    <row r="1242" spans="1:9">
      <c r="A1242" s="22" t="str">
        <f>HYPERLINK("https://app.vivvix.com/360/KMI/IntelliDrive/ApplUI/Pages/CreativePages/CustomReportCreativeDetail.aspx?App=23&amp;ReportView=4&amp;Qid=1711245&amp;Row=1234&amp;Col=1","No Title Assigned - #15272327012")</f>
        <v/>
      </c>
      <c r="B1242" s="0" t="s">
        <v>1841</v>
      </c>
      <c r="E1242" s="0" t="s">
        <v>13</v>
      </c>
      <c r="F1242" s="0" t="s">
        <v>13</v>
      </c>
      <c r="G1242" s="0" t="s">
        <v>54</v>
      </c>
      <c r="H1242" s="5">
        <v>306.814300</v>
      </c>
    </row>
    <row r="1243" spans="1:9">
      <c r="A1243" s="22" t="str">
        <f>HYPERLINK("https://app.vivvix.com/360/KMI/IntelliDrive/ApplUI/Pages/CreativePages/CustomReportCreativeDetail.aspx?App=23&amp;ReportView=4&amp;Qid=1711245&amp;Row=1235&amp;Col=1","No Title Assigned - #15272336583")</f>
        <v/>
      </c>
      <c r="B1243" s="0" t="s">
        <v>1842</v>
      </c>
      <c r="E1243" s="0" t="s">
        <v>13</v>
      </c>
      <c r="F1243" s="0" t="s">
        <v>13</v>
      </c>
      <c r="G1243" s="0" t="s">
        <v>54</v>
      </c>
      <c r="H1243" s="5">
        <v>0.378200</v>
      </c>
    </row>
    <row r="1244" spans="1:9">
      <c r="A1244" s="22" t="str">
        <f>HYPERLINK("https://app.vivvix.com/360/KMI/IntelliDrive/ApplUI/Pages/CreativePages/CustomReportCreativeDetail.aspx?App=23&amp;ReportView=4&amp;Qid=1711245&amp;Row=1236&amp;Col=1","No Title Assigned - #15272385872")</f>
        <v/>
      </c>
      <c r="B1244" s="0" t="s">
        <v>1843</v>
      </c>
      <c r="C1244" s="0" t="s">
        <v>1844</v>
      </c>
      <c r="D1244" s="0" t="s">
        <v>1844</v>
      </c>
      <c r="E1244" s="0" t="s">
        <v>13</v>
      </c>
      <c r="F1244" s="0" t="s">
        <v>106</v>
      </c>
      <c r="G1244" s="0" t="s">
        <v>107</v>
      </c>
      <c r="H1244" s="5">
        <v>82.440900</v>
      </c>
    </row>
    <row r="1245" spans="1:9">
      <c r="A1245" s="22" t="str">
        <f>HYPERLINK("https://app.vivvix.com/360/KMI/IntelliDrive/ApplUI/Pages/CreativePages/CustomReportCreativeDetail.aspx?App=23&amp;ReportView=4&amp;Qid=1711245&amp;Row=1237&amp;Col=1","No Title Assigned - #15272385873")</f>
        <v/>
      </c>
      <c r="B1245" s="0" t="s">
        <v>1845</v>
      </c>
      <c r="C1245" s="0" t="s">
        <v>1846</v>
      </c>
      <c r="D1245" s="0" t="s">
        <v>1846</v>
      </c>
      <c r="E1245" s="0" t="s">
        <v>13</v>
      </c>
      <c r="F1245" s="0" t="s">
        <v>106</v>
      </c>
      <c r="G1245" s="0" t="s">
        <v>107</v>
      </c>
      <c r="H1245" s="5">
        <v>82.440900</v>
      </c>
    </row>
    <row r="1246" spans="1:9">
      <c r="A1246" s="22" t="str">
        <f>HYPERLINK("https://app.vivvix.com/360/KMI/IntelliDrive/ApplUI/Pages/CreativePages/CustomReportCreativeDetail.aspx?App=23&amp;ReportView=4&amp;Qid=1711245&amp;Row=1238&amp;Col=1","No Title Assigned - #15272418207")</f>
        <v/>
      </c>
      <c r="B1246" s="0" t="s">
        <v>1847</v>
      </c>
      <c r="E1246" s="0" t="s">
        <v>13</v>
      </c>
      <c r="F1246" s="0" t="s">
        <v>13</v>
      </c>
      <c r="G1246" s="0" t="s">
        <v>54</v>
      </c>
      <c r="H1246" s="5">
        <v>421.457800</v>
      </c>
    </row>
    <row r="1247" spans="1:9">
      <c r="A1247" s="22" t="str">
        <f>HYPERLINK("https://app.vivvix.com/360/KMI/IntelliDrive/ApplUI/Pages/CreativePages/CustomReportCreativeDetail.aspx?App=23&amp;ReportView=4&amp;Qid=1711245&amp;Row=1239&amp;Col=1","No Title Assigned - #15272428342")</f>
        <v/>
      </c>
      <c r="B1247" s="0" t="s">
        <v>1848</v>
      </c>
      <c r="C1247" s="0" t="s">
        <v>1849</v>
      </c>
      <c r="D1247" s="0" t="s">
        <v>1849</v>
      </c>
      <c r="E1247" s="0" t="s">
        <v>13</v>
      </c>
      <c r="F1247" s="0" t="s">
        <v>106</v>
      </c>
      <c r="G1247" s="0" t="s">
        <v>107</v>
      </c>
      <c r="H1247" s="5">
        <v>247.322700</v>
      </c>
    </row>
    <row r="1248" spans="1:9">
      <c r="A1248" s="22" t="str">
        <f>HYPERLINK("https://app.vivvix.com/360/KMI/IntelliDrive/ApplUI/Pages/CreativePages/CustomReportCreativeDetail.aspx?App=23&amp;ReportView=4&amp;Qid=1711245&amp;Row=1240&amp;Col=1","No Title Assigned - #15272433004")</f>
        <v/>
      </c>
      <c r="B1248" s="0" t="s">
        <v>1850</v>
      </c>
      <c r="E1248" s="0" t="s">
        <v>13</v>
      </c>
      <c r="F1248" s="0" t="s">
        <v>13</v>
      </c>
      <c r="G1248" s="0" t="s">
        <v>54</v>
      </c>
      <c r="H1248" s="5">
        <v>2.269200</v>
      </c>
    </row>
    <row r="1249" spans="1:9">
      <c r="A1249" s="22" t="str">
        <f>HYPERLINK("https://app.vivvix.com/360/KMI/IntelliDrive/ApplUI/Pages/CreativePages/CustomReportCreativeDetail.aspx?App=23&amp;ReportView=4&amp;Qid=1711245&amp;Row=1241&amp;Col=1","No Title Assigned - #15272464401")</f>
        <v/>
      </c>
      <c r="B1249" s="0" t="s">
        <v>1851</v>
      </c>
      <c r="E1249" s="0" t="s">
        <v>13</v>
      </c>
      <c r="F1249" s="0" t="s">
        <v>13</v>
      </c>
      <c r="G1249" s="0" t="s">
        <v>54</v>
      </c>
      <c r="H1249" s="5">
        <v>18.757100</v>
      </c>
    </row>
    <row r="1250" spans="1:9">
      <c r="A1250" s="22" t="str">
        <f>HYPERLINK("https://app.vivvix.com/360/KMI/IntelliDrive/ApplUI/Pages/CreativePages/CustomReportCreativeDetail.aspx?App=23&amp;ReportView=4&amp;Qid=1711245&amp;Row=1242&amp;Col=1","No Title Assigned - #15272509965")</f>
        <v/>
      </c>
      <c r="B1250" s="0" t="s">
        <v>1852</v>
      </c>
      <c r="E1250" s="0" t="s">
        <v>13</v>
      </c>
      <c r="F1250" s="0" t="s">
        <v>13</v>
      </c>
      <c r="G1250" s="0" t="s">
        <v>54</v>
      </c>
      <c r="H1250" s="5">
        <v>917.531400</v>
      </c>
    </row>
    <row r="1251" spans="1:9">
      <c r="A1251" s="22" t="str">
        <f>HYPERLINK("https://app.vivvix.com/360/KMI/IntelliDrive/ApplUI/Pages/CreativePages/CustomReportCreativeDetail.aspx?App=23&amp;ReportView=4&amp;Qid=1711245&amp;Row=1243&amp;Col=1","No Title Assigned - #15272531356")</f>
        <v/>
      </c>
      <c r="B1251" s="0" t="s">
        <v>1853</v>
      </c>
      <c r="C1251" s="0" t="s">
        <v>1854</v>
      </c>
      <c r="D1251" s="0" t="s">
        <v>1854</v>
      </c>
      <c r="E1251" s="0" t="s">
        <v>13</v>
      </c>
      <c r="F1251" s="0" t="s">
        <v>13</v>
      </c>
      <c r="G1251" s="0" t="s">
        <v>54</v>
      </c>
      <c r="H1251" s="5">
        <v>10.911300</v>
      </c>
    </row>
    <row r="1252" spans="1:9">
      <c r="A1252" s="22" t="str">
        <f>HYPERLINK("https://app.vivvix.com/360/KMI/IntelliDrive/ApplUI/Pages/CreativePages/CustomReportCreativeDetail.aspx?App=23&amp;ReportView=4&amp;Qid=1711245&amp;Row=1244&amp;Col=1","No Title Assigned - #15272541797")</f>
        <v/>
      </c>
      <c r="B1252" s="0" t="s">
        <v>1855</v>
      </c>
      <c r="C1252" s="0" t="s">
        <v>1856</v>
      </c>
      <c r="D1252" s="0" t="s">
        <v>1856</v>
      </c>
      <c r="E1252" s="0" t="s">
        <v>13</v>
      </c>
      <c r="F1252" s="0" t="s">
        <v>14</v>
      </c>
      <c r="G1252" s="0" t="s">
        <v>15</v>
      </c>
      <c r="H1252" s="5">
        <v>2407.567600</v>
      </c>
    </row>
    <row r="1253" spans="1:9">
      <c r="A1253" s="22" t="str">
        <f>HYPERLINK("https://app.vivvix.com/360/KMI/IntelliDrive/ApplUI/Pages/CreativePages/CustomReportCreativeDetail.aspx?App=23&amp;ReportView=4&amp;Qid=1711245&amp;Row=1245&amp;Col=1","No Title Assigned - #15272548823")</f>
        <v/>
      </c>
      <c r="B1253" s="0" t="s">
        <v>1857</v>
      </c>
      <c r="E1253" s="0" t="s">
        <v>13</v>
      </c>
      <c r="F1253" s="0" t="s">
        <v>13</v>
      </c>
      <c r="G1253" s="0" t="s">
        <v>54</v>
      </c>
      <c r="H1253" s="5">
        <v>19958.433600</v>
      </c>
    </row>
    <row r="1254" spans="1:9">
      <c r="A1254" s="22" t="str">
        <f>HYPERLINK("https://app.vivvix.com/360/KMI/IntelliDrive/ApplUI/Pages/CreativePages/CustomReportCreativeDetail.aspx?App=23&amp;ReportView=4&amp;Qid=1711245&amp;Row=1246&amp;Col=1","No Title Assigned - #15272580694")</f>
        <v/>
      </c>
      <c r="B1254" s="0" t="s">
        <v>1858</v>
      </c>
      <c r="E1254" s="0" t="s">
        <v>13</v>
      </c>
      <c r="F1254" s="0" t="s">
        <v>13</v>
      </c>
      <c r="G1254" s="0" t="s">
        <v>54</v>
      </c>
      <c r="H1254" s="5">
        <v>30.869500</v>
      </c>
    </row>
    <row r="1255" spans="1:9">
      <c r="A1255" s="22" t="str">
        <f>HYPERLINK("https://app.vivvix.com/360/KMI/IntelliDrive/ApplUI/Pages/CreativePages/CustomReportCreativeDetail.aspx?App=23&amp;ReportView=4&amp;Qid=1711245&amp;Row=1247&amp;Col=1","No Title Assigned - #15272605351")</f>
        <v/>
      </c>
      <c r="B1255" s="0" t="s">
        <v>1859</v>
      </c>
      <c r="E1255" s="0" t="s">
        <v>13</v>
      </c>
      <c r="F1255" s="0" t="s">
        <v>13</v>
      </c>
      <c r="G1255" s="0" t="s">
        <v>54</v>
      </c>
      <c r="H1255" s="5">
        <v>18.757100</v>
      </c>
    </row>
    <row r="1256" spans="1:9">
      <c r="A1256" s="22" t="str">
        <f>HYPERLINK("https://app.vivvix.com/360/KMI/IntelliDrive/ApplUI/Pages/CreativePages/CustomReportCreativeDetail.aspx?App=23&amp;ReportView=4&amp;Qid=1711245&amp;Row=1248&amp;Col=1","No Title Assigned - #15272739229")</f>
        <v/>
      </c>
      <c r="B1256" s="0" t="s">
        <v>1860</v>
      </c>
      <c r="E1256" s="0" t="s">
        <v>13</v>
      </c>
      <c r="F1256" s="0" t="s">
        <v>13</v>
      </c>
      <c r="G1256" s="0" t="s">
        <v>54</v>
      </c>
      <c r="H1256" s="5">
        <v>2283.819200</v>
      </c>
    </row>
    <row r="1257" spans="1:9">
      <c r="A1257" s="22" t="str">
        <f>HYPERLINK("https://app.vivvix.com/360/KMI/IntelliDrive/ApplUI/Pages/CreativePages/CustomReportCreativeDetail.aspx?App=23&amp;ReportView=4&amp;Qid=1711245&amp;Row=1249&amp;Col=1","No Title Assigned - #15272745483")</f>
        <v/>
      </c>
      <c r="B1257" s="0" t="s">
        <v>1861</v>
      </c>
      <c r="E1257" s="0" t="s">
        <v>13</v>
      </c>
      <c r="F1257" s="0" t="s">
        <v>13</v>
      </c>
      <c r="G1257" s="0" t="s">
        <v>54</v>
      </c>
      <c r="H1257" s="5">
        <v>1660.994400</v>
      </c>
    </row>
    <row r="1258" spans="1:9">
      <c r="A1258" s="22" t="str">
        <f>HYPERLINK("https://app.vivvix.com/360/KMI/IntelliDrive/ApplUI/Pages/CreativePages/CustomReportCreativeDetail.aspx?App=23&amp;ReportView=4&amp;Qid=1711245&amp;Row=1250&amp;Col=1","No Title Assigned - #15272831651")</f>
        <v/>
      </c>
      <c r="B1258" s="0" t="s">
        <v>1862</v>
      </c>
      <c r="E1258" s="0" t="s">
        <v>13</v>
      </c>
      <c r="F1258" s="0" t="s">
        <v>13</v>
      </c>
      <c r="G1258" s="0" t="s">
        <v>54</v>
      </c>
      <c r="H1258" s="5">
        <v>3851.016800</v>
      </c>
    </row>
    <row r="1259" spans="1:9">
      <c r="A1259" s="22" t="str">
        <f>HYPERLINK("https://app.vivvix.com/360/KMI/IntelliDrive/ApplUI/Pages/CreativePages/CustomReportCreativeDetail.aspx?App=23&amp;ReportView=4&amp;Qid=1711245&amp;Row=1251&amp;Col=1","No Title Assigned - #15272834851")</f>
        <v/>
      </c>
      <c r="B1259" s="0" t="s">
        <v>1863</v>
      </c>
      <c r="E1259" s="0" t="s">
        <v>13</v>
      </c>
      <c r="F1259" s="0" t="s">
        <v>13</v>
      </c>
      <c r="G1259" s="0" t="s">
        <v>54</v>
      </c>
      <c r="H1259" s="5">
        <v>3894.639900</v>
      </c>
    </row>
    <row r="1260" spans="1:9">
      <c r="A1260" s="22" t="str">
        <f>HYPERLINK("https://app.vivvix.com/360/KMI/IntelliDrive/ApplUI/Pages/CreativePages/CustomReportCreativeDetail.aspx?App=23&amp;ReportView=4&amp;Qid=1711245&amp;Row=1252&amp;Col=1","No Title Assigned - #15272855646")</f>
        <v/>
      </c>
      <c r="B1260" s="0" t="s">
        <v>1864</v>
      </c>
      <c r="E1260" s="0" t="s">
        <v>13</v>
      </c>
      <c r="F1260" s="0" t="s">
        <v>13</v>
      </c>
      <c r="G1260" s="0" t="s">
        <v>54</v>
      </c>
      <c r="H1260" s="5">
        <v>984.778100</v>
      </c>
    </row>
    <row r="1261" spans="1:9">
      <c r="A1261" s="22" t="str">
        <f>HYPERLINK("https://app.vivvix.com/360/KMI/IntelliDrive/ApplUI/Pages/CreativePages/CustomReportCreativeDetail.aspx?App=23&amp;ReportView=4&amp;Qid=1711245&amp;Row=1253&amp;Col=1","No Title Assigned - #15272855647")</f>
        <v/>
      </c>
      <c r="B1261" s="0" t="s">
        <v>1865</v>
      </c>
      <c r="E1261" s="0" t="s">
        <v>13</v>
      </c>
      <c r="F1261" s="0" t="s">
        <v>13</v>
      </c>
      <c r="G1261" s="0" t="s">
        <v>54</v>
      </c>
      <c r="H1261" s="5">
        <v>1333.026100</v>
      </c>
    </row>
    <row r="1262" spans="1:9">
      <c r="A1262" s="22" t="str">
        <f>HYPERLINK("https://app.vivvix.com/360/KMI/IntelliDrive/ApplUI/Pages/CreativePages/CustomReportCreativeDetail.aspx?App=23&amp;ReportView=4&amp;Qid=1711245&amp;Row=1254&amp;Col=1","No Title Assigned - #15272871908")</f>
        <v/>
      </c>
      <c r="B1262" s="0" t="s">
        <v>1866</v>
      </c>
      <c r="E1262" s="0" t="s">
        <v>13</v>
      </c>
      <c r="F1262" s="0" t="s">
        <v>13</v>
      </c>
      <c r="G1262" s="0" t="s">
        <v>54</v>
      </c>
      <c r="H1262" s="5">
        <v>1094.011100</v>
      </c>
    </row>
    <row r="1263" spans="1:9">
      <c r="A1263" s="22" t="str">
        <f>HYPERLINK("https://app.vivvix.com/360/KMI/IntelliDrive/ApplUI/Pages/CreativePages/CustomReportCreativeDetail.aspx?App=23&amp;ReportView=4&amp;Qid=1711245&amp;Row=1255&amp;Col=1","No Title Assigned - #15272895048")</f>
        <v/>
      </c>
      <c r="B1263" s="0" t="s">
        <v>1867</v>
      </c>
      <c r="E1263" s="0" t="s">
        <v>13</v>
      </c>
      <c r="F1263" s="0" t="s">
        <v>14</v>
      </c>
      <c r="G1263" s="0" t="s">
        <v>15</v>
      </c>
      <c r="H1263" s="5">
        <v>0.294200</v>
      </c>
    </row>
    <row r="1264" spans="1:9">
      <c r="A1264" s="22" t="str">
        <f>HYPERLINK("https://app.vivvix.com/360/KMI/IntelliDrive/ApplUI/Pages/CreativePages/CustomReportCreativeDetail.aspx?App=23&amp;ReportView=4&amp;Qid=1711245&amp;Row=1256&amp;Col=1","No Title Assigned - #15272992779")</f>
        <v/>
      </c>
      <c r="B1264" s="0" t="s">
        <v>1868</v>
      </c>
      <c r="E1264" s="0" t="s">
        <v>13</v>
      </c>
      <c r="F1264" s="0" t="s">
        <v>13</v>
      </c>
      <c r="G1264" s="0" t="s">
        <v>54</v>
      </c>
      <c r="H1264" s="5">
        <v>3279.517400</v>
      </c>
    </row>
    <row r="1265" spans="1:9">
      <c r="A1265" s="22" t="str">
        <f>HYPERLINK("https://app.vivvix.com/360/KMI/IntelliDrive/ApplUI/Pages/CreativePages/CustomReportCreativeDetail.aspx?App=23&amp;ReportView=4&amp;Qid=1711245&amp;Row=1257&amp;Col=1","No Title Assigned - #15273070523")</f>
        <v/>
      </c>
      <c r="B1265" s="0" t="s">
        <v>1869</v>
      </c>
      <c r="E1265" s="0" t="s">
        <v>13</v>
      </c>
      <c r="F1265" s="0" t="s">
        <v>13</v>
      </c>
      <c r="G1265" s="0" t="s">
        <v>54</v>
      </c>
      <c r="H1265" s="5">
        <v>1.134600</v>
      </c>
    </row>
    <row r="1266" spans="1:9">
      <c r="A1266" s="22" t="str">
        <f>HYPERLINK("https://app.vivvix.com/360/KMI/IntelliDrive/ApplUI/Pages/CreativePages/CustomReportCreativeDetail.aspx?App=23&amp;ReportView=4&amp;Qid=1711245&amp;Row=1258&amp;Col=1","No Title Assigned - #15273092603")</f>
        <v/>
      </c>
      <c r="B1266" s="0" t="s">
        <v>1870</v>
      </c>
      <c r="E1266" s="0" t="s">
        <v>13</v>
      </c>
      <c r="F1266" s="0" t="s">
        <v>14</v>
      </c>
      <c r="G1266" s="0" t="s">
        <v>15</v>
      </c>
      <c r="H1266" s="5">
        <v>238.982500</v>
      </c>
    </row>
    <row r="1267" spans="1:9">
      <c r="A1267" s="22" t="str">
        <f>HYPERLINK("https://app.vivvix.com/360/KMI/IntelliDrive/ApplUI/Pages/CreativePages/CustomReportCreativeDetail.aspx?App=23&amp;ReportView=4&amp;Qid=1711245&amp;Row=1259&amp;Col=1","No Title Assigned - #15273092645")</f>
        <v/>
      </c>
      <c r="B1267" s="0" t="s">
        <v>1871</v>
      </c>
      <c r="C1267" s="0" t="s">
        <v>1872</v>
      </c>
      <c r="D1267" s="0" t="s">
        <v>1872</v>
      </c>
      <c r="E1267" s="0" t="s">
        <v>13</v>
      </c>
      <c r="F1267" s="0" t="s">
        <v>14</v>
      </c>
      <c r="G1267" s="0" t="s">
        <v>15</v>
      </c>
      <c r="H1267" s="5">
        <v>473.820400</v>
      </c>
    </row>
    <row r="1268" spans="1:9">
      <c r="A1268" s="22" t="str">
        <f>HYPERLINK("https://app.vivvix.com/360/KMI/IntelliDrive/ApplUI/Pages/CreativePages/CustomReportCreativeDetail.aspx?App=23&amp;ReportView=4&amp;Qid=1711245&amp;Row=1260&amp;Col=1","No Title Assigned - #15273171421")</f>
        <v/>
      </c>
      <c r="B1268" s="0" t="s">
        <v>1873</v>
      </c>
      <c r="E1268" s="0" t="s">
        <v>13</v>
      </c>
      <c r="F1268" s="0" t="s">
        <v>13</v>
      </c>
      <c r="G1268" s="0" t="s">
        <v>54</v>
      </c>
      <c r="H1268" s="5">
        <v>4321.986700</v>
      </c>
    </row>
    <row r="1269" spans="1:9">
      <c r="A1269" s="22" t="str">
        <f>HYPERLINK("https://app.vivvix.com/360/KMI/IntelliDrive/ApplUI/Pages/CreativePages/CustomReportCreativeDetail.aspx?App=23&amp;ReportView=4&amp;Qid=1711245&amp;Row=1261&amp;Col=1","No Title Assigned - #15273185413")</f>
        <v/>
      </c>
      <c r="B1269" s="0" t="s">
        <v>1874</v>
      </c>
      <c r="E1269" s="0" t="s">
        <v>13</v>
      </c>
      <c r="F1269" s="0" t="s">
        <v>13</v>
      </c>
      <c r="G1269" s="0" t="s">
        <v>54</v>
      </c>
      <c r="H1269" s="5">
        <v>458.604300</v>
      </c>
    </row>
    <row r="1270" spans="1:9">
      <c r="A1270" s="22" t="str">
        <f>HYPERLINK("https://app.vivvix.com/360/KMI/IntelliDrive/ApplUI/Pages/CreativePages/CustomReportCreativeDetail.aspx?App=23&amp;ReportView=4&amp;Qid=1711245&amp;Row=1262&amp;Col=1","No Title Assigned - #15273342658")</f>
        <v/>
      </c>
      <c r="B1270" s="0" t="s">
        <v>1875</v>
      </c>
      <c r="C1270" s="0" t="s">
        <v>1876</v>
      </c>
      <c r="D1270" s="0" t="s">
        <v>1876</v>
      </c>
      <c r="E1270" s="0" t="s">
        <v>13</v>
      </c>
      <c r="F1270" s="0" t="s">
        <v>17</v>
      </c>
      <c r="G1270" s="0" t="s">
        <v>446</v>
      </c>
      <c r="H1270" s="5">
        <v>515.329000</v>
      </c>
    </row>
    <row r="1271" spans="1:9">
      <c r="A1271" s="22" t="str">
        <f>HYPERLINK("https://app.vivvix.com/360/KMI/IntelliDrive/ApplUI/Pages/CreativePages/CustomReportCreativeDetail.aspx?App=23&amp;ReportView=4&amp;Qid=1711245&amp;Row=1263&amp;Col=1","No Title Assigned - #15273369523")</f>
        <v/>
      </c>
      <c r="B1271" s="0" t="s">
        <v>1877</v>
      </c>
      <c r="E1271" s="0" t="s">
        <v>13</v>
      </c>
      <c r="F1271" s="0" t="s">
        <v>13</v>
      </c>
      <c r="G1271" s="0" t="s">
        <v>54</v>
      </c>
      <c r="H1271" s="5">
        <v>460.028000</v>
      </c>
    </row>
    <row r="1272" spans="1:9">
      <c r="A1272" s="22" t="str">
        <f>HYPERLINK("https://app.vivvix.com/360/KMI/IntelliDrive/ApplUI/Pages/CreativePages/CustomReportCreativeDetail.aspx?App=23&amp;ReportView=4&amp;Qid=1711245&amp;Row=1264&amp;Col=1","No Title Assigned - #15273403982")</f>
        <v/>
      </c>
      <c r="B1272" s="0" t="s">
        <v>1878</v>
      </c>
      <c r="E1272" s="0" t="s">
        <v>13</v>
      </c>
      <c r="F1272" s="0" t="s">
        <v>13</v>
      </c>
      <c r="G1272" s="0" t="s">
        <v>54</v>
      </c>
      <c r="H1272" s="5">
        <v>2081.434800</v>
      </c>
    </row>
    <row r="1273" spans="1:9">
      <c r="A1273" s="22" t="str">
        <f>HYPERLINK("https://app.vivvix.com/360/KMI/IntelliDrive/ApplUI/Pages/CreativePages/CustomReportCreativeDetail.aspx?App=23&amp;ReportView=4&amp;Qid=1711245&amp;Row=1265&amp;Col=1","No Title Assigned - #15273429884")</f>
        <v/>
      </c>
      <c r="B1273" s="0" t="s">
        <v>1879</v>
      </c>
      <c r="C1273" s="0" t="s">
        <v>1880</v>
      </c>
      <c r="D1273" s="0" t="s">
        <v>1880</v>
      </c>
      <c r="E1273" s="0" t="s">
        <v>13</v>
      </c>
      <c r="F1273" s="0" t="s">
        <v>13</v>
      </c>
      <c r="G1273" s="0" t="s">
        <v>78</v>
      </c>
      <c r="H1273" s="5">
        <v>510.532000</v>
      </c>
    </row>
    <row r="1274" spans="1:9">
      <c r="A1274" s="22" t="str">
        <f>HYPERLINK("https://app.vivvix.com/360/KMI/IntelliDrive/ApplUI/Pages/CreativePages/CustomReportCreativeDetail.aspx?App=23&amp;ReportView=4&amp;Qid=1711245&amp;Row=1266&amp;Col=1","No Title Assigned - #15273438376")</f>
        <v/>
      </c>
      <c r="B1274" s="0" t="s">
        <v>1881</v>
      </c>
      <c r="E1274" s="0" t="s">
        <v>13</v>
      </c>
      <c r="F1274" s="0" t="s">
        <v>13</v>
      </c>
      <c r="G1274" s="0" t="s">
        <v>54</v>
      </c>
      <c r="H1274" s="5">
        <v>1167.426000</v>
      </c>
    </row>
    <row r="1275" spans="1:9">
      <c r="A1275" s="22" t="str">
        <f>HYPERLINK("https://app.vivvix.com/360/KMI/IntelliDrive/ApplUI/Pages/CreativePages/CustomReportCreativeDetail.aspx?App=23&amp;ReportView=4&amp;Qid=1711245&amp;Row=1267&amp;Col=1","No Title Assigned - #15273441451")</f>
        <v/>
      </c>
      <c r="B1275" s="0" t="s">
        <v>1882</v>
      </c>
      <c r="E1275" s="0" t="s">
        <v>13</v>
      </c>
      <c r="F1275" s="0" t="s">
        <v>13</v>
      </c>
      <c r="G1275" s="0" t="s">
        <v>54</v>
      </c>
      <c r="H1275" s="5">
        <v>1478.057400</v>
      </c>
    </row>
    <row r="1276" spans="1:9">
      <c r="A1276" s="22" t="str">
        <f>HYPERLINK("https://app.vivvix.com/360/KMI/IntelliDrive/ApplUI/Pages/CreativePages/CustomReportCreativeDetail.aspx?App=23&amp;ReportView=4&amp;Qid=1711245&amp;Row=1268&amp;Col=1","No Title Assigned - #15273502842")</f>
        <v/>
      </c>
      <c r="B1276" s="0" t="s">
        <v>1883</v>
      </c>
      <c r="E1276" s="0" t="s">
        <v>13</v>
      </c>
      <c r="F1276" s="0" t="s">
        <v>13</v>
      </c>
      <c r="G1276" s="0" t="s">
        <v>54</v>
      </c>
      <c r="H1276" s="5">
        <v>140.008700</v>
      </c>
    </row>
    <row r="1277" spans="1:9">
      <c r="A1277" s="22" t="str">
        <f>HYPERLINK("https://app.vivvix.com/360/KMI/IntelliDrive/ApplUI/Pages/CreativePages/CustomReportCreativeDetail.aspx?App=23&amp;ReportView=4&amp;Qid=1711245&amp;Row=1269&amp;Col=1","No Title Assigned - #15273510761")</f>
        <v/>
      </c>
      <c r="B1277" s="0" t="s">
        <v>1884</v>
      </c>
      <c r="E1277" s="0" t="s">
        <v>13</v>
      </c>
      <c r="F1277" s="0" t="s">
        <v>13</v>
      </c>
      <c r="G1277" s="0" t="s">
        <v>54</v>
      </c>
      <c r="H1277" s="5">
        <v>140.008700</v>
      </c>
    </row>
    <row r="1278" spans="1:9">
      <c r="A1278" s="22" t="str">
        <f>HYPERLINK("https://app.vivvix.com/360/KMI/IntelliDrive/ApplUI/Pages/CreativePages/CustomReportCreativeDetail.aspx?App=23&amp;ReportView=4&amp;Qid=1711245&amp;Row=1270&amp;Col=1","No Title Assigned - #15273514066")</f>
        <v/>
      </c>
      <c r="B1278" s="0" t="s">
        <v>1885</v>
      </c>
      <c r="C1278" s="0" t="s">
        <v>1886</v>
      </c>
      <c r="D1278" s="0" t="s">
        <v>1886</v>
      </c>
      <c r="E1278" s="0" t="s">
        <v>13</v>
      </c>
      <c r="F1278" s="0" t="s">
        <v>13</v>
      </c>
      <c r="G1278" s="0" t="s">
        <v>54</v>
      </c>
      <c r="H1278" s="5">
        <v>3489.659100</v>
      </c>
    </row>
    <row r="1279" spans="1:9">
      <c r="A1279" s="22" t="str">
        <f>HYPERLINK("https://app.vivvix.com/360/KMI/IntelliDrive/ApplUI/Pages/CreativePages/CustomReportCreativeDetail.aspx?App=23&amp;ReportView=4&amp;Qid=1711245&amp;Row=1271&amp;Col=1","No Title Assigned - #15273539231")</f>
        <v/>
      </c>
      <c r="B1279" s="0" t="s">
        <v>1887</v>
      </c>
      <c r="C1279" s="0" t="s">
        <v>1888</v>
      </c>
      <c r="D1279" s="0" t="s">
        <v>1888</v>
      </c>
      <c r="E1279" s="0" t="s">
        <v>13</v>
      </c>
      <c r="F1279" s="0" t="s">
        <v>28</v>
      </c>
      <c r="G1279" s="0" t="s">
        <v>453</v>
      </c>
      <c r="H1279" s="5">
        <v>3960.029200</v>
      </c>
    </row>
    <row r="1280" spans="1:9">
      <c r="A1280" s="22" t="str">
        <f>HYPERLINK("https://app.vivvix.com/360/KMI/IntelliDrive/ApplUI/Pages/CreativePages/CustomReportCreativeDetail.aspx?App=23&amp;ReportView=4&amp;Qid=1711245&amp;Row=1272&amp;Col=1","No Title Assigned - #15273572782")</f>
        <v/>
      </c>
      <c r="B1280" s="0" t="s">
        <v>1889</v>
      </c>
      <c r="E1280" s="0" t="s">
        <v>13</v>
      </c>
      <c r="F1280" s="0" t="s">
        <v>13</v>
      </c>
      <c r="G1280" s="0" t="s">
        <v>54</v>
      </c>
      <c r="H1280" s="5">
        <v>1367.386500</v>
      </c>
    </row>
    <row r="1281" spans="1:9">
      <c r="A1281" s="22" t="str">
        <f>HYPERLINK("https://app.vivvix.com/360/KMI/IntelliDrive/ApplUI/Pages/CreativePages/CustomReportCreativeDetail.aspx?App=23&amp;ReportView=4&amp;Qid=1711245&amp;Row=1273&amp;Col=1","No Title Assigned - #15273592437")</f>
        <v/>
      </c>
      <c r="B1281" s="0" t="s">
        <v>1890</v>
      </c>
      <c r="E1281" s="0" t="s">
        <v>13</v>
      </c>
      <c r="F1281" s="0" t="s">
        <v>13</v>
      </c>
      <c r="G1281" s="0" t="s">
        <v>54</v>
      </c>
      <c r="H1281" s="5">
        <v>489.145700</v>
      </c>
    </row>
    <row r="1282" spans="1:9">
      <c r="A1282" s="22" t="str">
        <f>HYPERLINK("https://app.vivvix.com/360/KMI/IntelliDrive/ApplUI/Pages/CreativePages/CustomReportCreativeDetail.aspx?App=23&amp;ReportView=4&amp;Qid=1711245&amp;Row=1274&amp;Col=1","No Title Assigned - #15273592819")</f>
        <v/>
      </c>
      <c r="B1282" s="0" t="s">
        <v>1891</v>
      </c>
      <c r="E1282" s="0" t="s">
        <v>13</v>
      </c>
      <c r="F1282" s="0" t="s">
        <v>13</v>
      </c>
      <c r="G1282" s="0" t="s">
        <v>54</v>
      </c>
      <c r="H1282" s="5">
        <v>3502.878800</v>
      </c>
    </row>
    <row r="1283" spans="1:9">
      <c r="A1283" s="22" t="str">
        <f>HYPERLINK("https://app.vivvix.com/360/KMI/IntelliDrive/ApplUI/Pages/CreativePages/CustomReportCreativeDetail.aspx?App=23&amp;ReportView=4&amp;Qid=1711245&amp;Row=1275&amp;Col=1","No Title Assigned - #15273621238")</f>
        <v/>
      </c>
      <c r="B1283" s="0" t="s">
        <v>1892</v>
      </c>
      <c r="E1283" s="0" t="s">
        <v>13</v>
      </c>
      <c r="F1283" s="0" t="s">
        <v>13</v>
      </c>
      <c r="G1283" s="0" t="s">
        <v>54</v>
      </c>
      <c r="H1283" s="5">
        <v>6.677600</v>
      </c>
    </row>
    <row r="1284" spans="1:9">
      <c r="A1284" s="22" t="str">
        <f>HYPERLINK("https://app.vivvix.com/360/KMI/IntelliDrive/ApplUI/Pages/CreativePages/CustomReportCreativeDetail.aspx?App=23&amp;ReportView=4&amp;Qid=1711245&amp;Row=1276&amp;Col=1","No Title Assigned - #15273667440")</f>
        <v/>
      </c>
      <c r="B1284" s="0" t="s">
        <v>1893</v>
      </c>
      <c r="C1284" s="0" t="s">
        <v>1894</v>
      </c>
      <c r="D1284" s="0" t="s">
        <v>1876</v>
      </c>
      <c r="E1284" s="0" t="s">
        <v>13</v>
      </c>
      <c r="F1284" s="0" t="s">
        <v>17</v>
      </c>
      <c r="G1284" s="0" t="s">
        <v>446</v>
      </c>
      <c r="H1284" s="5">
        <v>748.686900</v>
      </c>
    </row>
    <row r="1285" spans="1:9">
      <c r="A1285" s="22" t="str">
        <f>HYPERLINK("https://app.vivvix.com/360/KMI/IntelliDrive/ApplUI/Pages/CreativePages/CustomReportCreativeDetail.aspx?App=23&amp;ReportView=4&amp;Qid=1711245&amp;Row=1277&amp;Col=1","No Title Assigned - #15273699939")</f>
        <v/>
      </c>
      <c r="B1285" s="0" t="s">
        <v>1895</v>
      </c>
      <c r="C1285" s="0" t="s">
        <v>1896</v>
      </c>
      <c r="D1285" s="0" t="s">
        <v>1896</v>
      </c>
      <c r="E1285" s="0" t="s">
        <v>13</v>
      </c>
      <c r="F1285" s="0" t="s">
        <v>17</v>
      </c>
      <c r="G1285" s="0" t="s">
        <v>446</v>
      </c>
      <c r="H1285" s="5">
        <v>2312.755400</v>
      </c>
    </row>
    <row r="1286" spans="1:9">
      <c r="A1286" s="22" t="str">
        <f>HYPERLINK("https://app.vivvix.com/360/KMI/IntelliDrive/ApplUI/Pages/CreativePages/CustomReportCreativeDetail.aspx?App=23&amp;ReportView=4&amp;Qid=1711245&amp;Row=1278&amp;Col=1","No Title Assigned - #15273713762")</f>
        <v/>
      </c>
      <c r="B1286" s="0" t="s">
        <v>1897</v>
      </c>
      <c r="C1286" s="0" t="s">
        <v>1898</v>
      </c>
      <c r="D1286" s="0" t="s">
        <v>1898</v>
      </c>
      <c r="E1286" s="0" t="s">
        <v>13</v>
      </c>
      <c r="F1286" s="0" t="s">
        <v>13</v>
      </c>
      <c r="G1286" s="0" t="s">
        <v>35</v>
      </c>
      <c r="H1286" s="5">
        <v>568.824800</v>
      </c>
    </row>
    <row r="1287" spans="1:9">
      <c r="A1287" s="22" t="str">
        <f>HYPERLINK("https://app.vivvix.com/360/KMI/IntelliDrive/ApplUI/Pages/CreativePages/CustomReportCreativeDetail.aspx?App=23&amp;ReportView=4&amp;Qid=1711245&amp;Row=1279&amp;Col=1","No Title Assigned - #15273722051")</f>
        <v/>
      </c>
      <c r="B1287" s="0" t="s">
        <v>1899</v>
      </c>
      <c r="E1287" s="0" t="s">
        <v>13</v>
      </c>
      <c r="F1287" s="0" t="s">
        <v>13</v>
      </c>
      <c r="G1287" s="0" t="s">
        <v>54</v>
      </c>
      <c r="H1287" s="5">
        <v>954.406100</v>
      </c>
    </row>
    <row r="1288" spans="1:9">
      <c r="A1288" s="22" t="str">
        <f>HYPERLINK("https://app.vivvix.com/360/KMI/IntelliDrive/ApplUI/Pages/CreativePages/CustomReportCreativeDetail.aspx?App=23&amp;ReportView=4&amp;Qid=1711245&amp;Row=1280&amp;Col=1","No Title Assigned - #15273733574")</f>
        <v/>
      </c>
      <c r="B1288" s="0" t="s">
        <v>1900</v>
      </c>
      <c r="E1288" s="0" t="s">
        <v>13</v>
      </c>
      <c r="F1288" s="0" t="s">
        <v>13</v>
      </c>
      <c r="G1288" s="0" t="s">
        <v>54</v>
      </c>
      <c r="H1288" s="5">
        <v>1020.512800</v>
      </c>
    </row>
    <row r="1289" spans="1:9">
      <c r="A1289" s="22" t="str">
        <f>HYPERLINK("https://app.vivvix.com/360/KMI/IntelliDrive/ApplUI/Pages/CreativePages/CustomReportCreativeDetail.aspx?App=23&amp;ReportView=4&amp;Qid=1711245&amp;Row=1281&amp;Col=1","No Title Assigned - #15273788212")</f>
        <v/>
      </c>
      <c r="B1289" s="0" t="s">
        <v>1901</v>
      </c>
      <c r="E1289" s="0" t="s">
        <v>13</v>
      </c>
      <c r="F1289" s="0" t="s">
        <v>13</v>
      </c>
      <c r="G1289" s="0" t="s">
        <v>54</v>
      </c>
      <c r="H1289" s="5">
        <v>17471.148400</v>
      </c>
    </row>
    <row r="1290" spans="1:9">
      <c r="A1290" s="22" t="str">
        <f>HYPERLINK("https://app.vivvix.com/360/KMI/IntelliDrive/ApplUI/Pages/CreativePages/CustomReportCreativeDetail.aspx?App=23&amp;ReportView=4&amp;Qid=1711245&amp;Row=1282&amp;Col=1","No Title Assigned - #15273788823")</f>
        <v/>
      </c>
      <c r="B1290" s="0" t="s">
        <v>1902</v>
      </c>
      <c r="E1290" s="0" t="s">
        <v>13</v>
      </c>
      <c r="F1290" s="0" t="s">
        <v>13</v>
      </c>
      <c r="G1290" s="0" t="s">
        <v>54</v>
      </c>
      <c r="H1290" s="5">
        <v>943.916300</v>
      </c>
    </row>
    <row r="1291" spans="1:9">
      <c r="A1291" s="22" t="str">
        <f>HYPERLINK("https://app.vivvix.com/360/KMI/IntelliDrive/ApplUI/Pages/CreativePages/CustomReportCreativeDetail.aspx?App=23&amp;ReportView=4&amp;Qid=1711245&amp;Row=1283&amp;Col=1","No Title Assigned - #15273789221")</f>
        <v/>
      </c>
      <c r="B1291" s="0" t="s">
        <v>1903</v>
      </c>
      <c r="E1291" s="0" t="s">
        <v>13</v>
      </c>
      <c r="F1291" s="0" t="s">
        <v>13</v>
      </c>
      <c r="G1291" s="0" t="s">
        <v>54</v>
      </c>
      <c r="H1291" s="5">
        <v>524.086000</v>
      </c>
    </row>
    <row r="1292" spans="1:9">
      <c r="A1292" s="22" t="str">
        <f>HYPERLINK("https://app.vivvix.com/360/KMI/IntelliDrive/ApplUI/Pages/CreativePages/CustomReportCreativeDetail.aspx?App=23&amp;ReportView=4&amp;Qid=1711245&amp;Row=1284&amp;Col=1","No Title Assigned - #15273799035")</f>
        <v/>
      </c>
      <c r="B1292" s="0" t="s">
        <v>1904</v>
      </c>
      <c r="E1292" s="0" t="s">
        <v>13</v>
      </c>
      <c r="F1292" s="0" t="s">
        <v>13</v>
      </c>
      <c r="G1292" s="0" t="s">
        <v>54</v>
      </c>
      <c r="H1292" s="5">
        <v>195.453000</v>
      </c>
    </row>
    <row r="1293" spans="1:9">
      <c r="A1293" s="22" t="str">
        <f>HYPERLINK("https://app.vivvix.com/360/KMI/IntelliDrive/ApplUI/Pages/CreativePages/CustomReportCreativeDetail.aspx?App=23&amp;ReportView=4&amp;Qid=1711245&amp;Row=1285&amp;Col=1","No Title Assigned - #15273807244")</f>
        <v/>
      </c>
      <c r="B1293" s="0" t="s">
        <v>1905</v>
      </c>
      <c r="E1293" s="0" t="s">
        <v>13</v>
      </c>
      <c r="F1293" s="0" t="s">
        <v>13</v>
      </c>
      <c r="G1293" s="0" t="s">
        <v>54</v>
      </c>
      <c r="H1293" s="5">
        <v>234.064100</v>
      </c>
    </row>
    <row r="1294" spans="1:9">
      <c r="A1294" s="22" t="str">
        <f>HYPERLINK("https://app.vivvix.com/360/KMI/IntelliDrive/ApplUI/Pages/CreativePages/CustomReportCreativeDetail.aspx?App=23&amp;ReportView=4&amp;Qid=1711245&amp;Row=1286&amp;Col=1","No Title Assigned - #15273810392")</f>
        <v/>
      </c>
      <c r="B1294" s="0" t="s">
        <v>1906</v>
      </c>
      <c r="C1294" s="0" t="s">
        <v>1907</v>
      </c>
      <c r="D1294" s="0" t="s">
        <v>1812</v>
      </c>
      <c r="E1294" s="0" t="s">
        <v>13</v>
      </c>
      <c r="F1294" s="0" t="s">
        <v>530</v>
      </c>
      <c r="G1294" s="0" t="s">
        <v>531</v>
      </c>
      <c r="H1294" s="5">
        <v>4065.486100</v>
      </c>
    </row>
    <row r="1295" spans="1:9">
      <c r="A1295" s="22" t="str">
        <f>HYPERLINK("https://app.vivvix.com/360/KMI/IntelliDrive/ApplUI/Pages/CreativePages/CustomReportCreativeDetail.aspx?App=23&amp;ReportView=4&amp;Qid=1711245&amp;Row=1287&amp;Col=1","No Title Assigned - #15273811267")</f>
        <v/>
      </c>
      <c r="B1295" s="0" t="s">
        <v>1908</v>
      </c>
      <c r="C1295" s="0" t="s">
        <v>1909</v>
      </c>
      <c r="D1295" s="0" t="s">
        <v>1909</v>
      </c>
      <c r="E1295" s="0" t="s">
        <v>13</v>
      </c>
      <c r="F1295" s="0" t="s">
        <v>540</v>
      </c>
      <c r="G1295" s="0" t="s">
        <v>541</v>
      </c>
      <c r="H1295" s="5">
        <v>6496.490300</v>
      </c>
    </row>
    <row r="1296" spans="1:9">
      <c r="A1296" s="22" t="str">
        <f>HYPERLINK("https://app.vivvix.com/360/KMI/IntelliDrive/ApplUI/Pages/CreativePages/CustomReportCreativeDetail.aspx?App=23&amp;ReportView=4&amp;Qid=1711245&amp;Row=1288&amp;Col=1","No Title Assigned - #15273819007")</f>
        <v/>
      </c>
      <c r="B1296" s="0" t="s">
        <v>1910</v>
      </c>
      <c r="E1296" s="0" t="s">
        <v>13</v>
      </c>
      <c r="F1296" s="0" t="s">
        <v>13</v>
      </c>
      <c r="G1296" s="0" t="s">
        <v>54</v>
      </c>
      <c r="H1296" s="5">
        <v>230.546100</v>
      </c>
    </row>
    <row r="1297" spans="1:9">
      <c r="A1297" s="22" t="str">
        <f>HYPERLINK("https://app.vivvix.com/360/KMI/IntelliDrive/ApplUI/Pages/CreativePages/CustomReportCreativeDetail.aspx?App=23&amp;ReportView=4&amp;Qid=1711245&amp;Row=1289&amp;Col=1","No Title Assigned - #15273871039")</f>
        <v/>
      </c>
      <c r="B1297" s="0" t="s">
        <v>1911</v>
      </c>
      <c r="C1297" s="0" t="s">
        <v>1912</v>
      </c>
      <c r="D1297" s="0" t="s">
        <v>1912</v>
      </c>
      <c r="E1297" s="0" t="s">
        <v>13</v>
      </c>
      <c r="F1297" s="0" t="s">
        <v>128</v>
      </c>
      <c r="G1297" s="0" t="s">
        <v>456</v>
      </c>
      <c r="H1297" s="5">
        <v>68.535900</v>
      </c>
    </row>
    <row r="1298" spans="1:9">
      <c r="A1298" s="22" t="str">
        <f>HYPERLINK("https://app.vivvix.com/360/KMI/IntelliDrive/ApplUI/Pages/CreativePages/CustomReportCreativeDetail.aspx?App=23&amp;ReportView=4&amp;Qid=1711245&amp;Row=1290&amp;Col=1","No Title Assigned - #15273880498")</f>
        <v/>
      </c>
      <c r="B1298" s="0" t="s">
        <v>1913</v>
      </c>
      <c r="C1298" s="0" t="s">
        <v>1914</v>
      </c>
      <c r="D1298" s="0" t="s">
        <v>1835</v>
      </c>
      <c r="E1298" s="0" t="s">
        <v>13</v>
      </c>
      <c r="F1298" s="0" t="s">
        <v>28</v>
      </c>
      <c r="G1298" s="0" t="s">
        <v>453</v>
      </c>
      <c r="H1298" s="5">
        <v>624.491200</v>
      </c>
    </row>
    <row r="1299" spans="1:9">
      <c r="A1299" s="22" t="str">
        <f>HYPERLINK("https://app.vivvix.com/360/KMI/IntelliDrive/ApplUI/Pages/CreativePages/CustomReportCreativeDetail.aspx?App=23&amp;ReportView=4&amp;Qid=1711245&amp;Row=1291&amp;Col=1","No Title Assigned - #15273881104")</f>
        <v/>
      </c>
      <c r="B1299" s="0" t="s">
        <v>1915</v>
      </c>
      <c r="C1299" s="0" t="s">
        <v>1916</v>
      </c>
      <c r="D1299" s="0" t="s">
        <v>1812</v>
      </c>
      <c r="E1299" s="0" t="s">
        <v>13</v>
      </c>
      <c r="F1299" s="0" t="s">
        <v>530</v>
      </c>
      <c r="G1299" s="0" t="s">
        <v>531</v>
      </c>
      <c r="H1299" s="5">
        <v>27484.038900</v>
      </c>
    </row>
    <row r="1300" spans="1:9">
      <c r="A1300" s="22" t="str">
        <f>HYPERLINK("https://app.vivvix.com/360/KMI/IntelliDrive/ApplUI/Pages/CreativePages/CustomReportCreativeDetail.aspx?App=23&amp;ReportView=4&amp;Qid=1711245&amp;Row=1292&amp;Col=1","No Title Assigned - #15273904926")</f>
        <v/>
      </c>
      <c r="B1300" s="0" t="s">
        <v>1917</v>
      </c>
      <c r="E1300" s="0" t="s">
        <v>13</v>
      </c>
      <c r="F1300" s="0" t="s">
        <v>13</v>
      </c>
      <c r="G1300" s="0" t="s">
        <v>54</v>
      </c>
      <c r="H1300" s="5">
        <v>1028.684100</v>
      </c>
    </row>
    <row r="1301" spans="1:9">
      <c r="A1301" s="22" t="str">
        <f>HYPERLINK("https://app.vivvix.com/360/KMI/IntelliDrive/ApplUI/Pages/CreativePages/CustomReportCreativeDetail.aspx?App=23&amp;ReportView=4&amp;Qid=1711245&amp;Row=1293&amp;Col=1","No Title Assigned - #15273907372")</f>
        <v/>
      </c>
      <c r="B1301" s="0" t="s">
        <v>1918</v>
      </c>
      <c r="E1301" s="0" t="s">
        <v>13</v>
      </c>
      <c r="F1301" s="0" t="s">
        <v>13</v>
      </c>
      <c r="G1301" s="0" t="s">
        <v>54</v>
      </c>
      <c r="H1301" s="5">
        <v>26990.361500</v>
      </c>
    </row>
    <row r="1302" spans="1:9">
      <c r="A1302" s="22" t="str">
        <f>HYPERLINK("https://app.vivvix.com/360/KMI/IntelliDrive/ApplUI/Pages/CreativePages/CustomReportCreativeDetail.aspx?App=23&amp;ReportView=4&amp;Qid=1711245&amp;Row=1294&amp;Col=1","No Title Assigned - #15273941089")</f>
        <v/>
      </c>
      <c r="B1302" s="0" t="s">
        <v>1919</v>
      </c>
      <c r="C1302" s="0" t="s">
        <v>1920</v>
      </c>
      <c r="D1302" s="0" t="s">
        <v>1920</v>
      </c>
      <c r="E1302" s="0" t="s">
        <v>13</v>
      </c>
      <c r="F1302" s="0" t="s">
        <v>530</v>
      </c>
      <c r="G1302" s="0" t="s">
        <v>531</v>
      </c>
      <c r="H1302" s="5">
        <v>217.865200</v>
      </c>
    </row>
    <row r="1303" spans="1:9">
      <c r="A1303" s="22" t="str">
        <f>HYPERLINK("https://app.vivvix.com/360/KMI/IntelliDrive/ApplUI/Pages/CreativePages/CustomReportCreativeDetail.aspx?App=23&amp;ReportView=4&amp;Qid=1711245&amp;Row=1295&amp;Col=1","No Title Assigned - #15273943499")</f>
        <v/>
      </c>
      <c r="B1303" s="0" t="s">
        <v>1921</v>
      </c>
      <c r="C1303" s="0" t="s">
        <v>1922</v>
      </c>
      <c r="D1303" s="0" t="s">
        <v>1814</v>
      </c>
      <c r="E1303" s="0" t="s">
        <v>13</v>
      </c>
      <c r="F1303" s="0" t="s">
        <v>530</v>
      </c>
      <c r="G1303" s="0" t="s">
        <v>531</v>
      </c>
      <c r="H1303" s="5">
        <v>67208.751800</v>
      </c>
    </row>
    <row r="1304" spans="1:9">
      <c r="A1304" s="22" t="str">
        <f>HYPERLINK("https://app.vivvix.com/360/KMI/IntelliDrive/ApplUI/Pages/CreativePages/CustomReportCreativeDetail.aspx?App=23&amp;ReportView=4&amp;Qid=1711245&amp;Row=1296&amp;Col=1","No Title Assigned - #15273944378")</f>
        <v/>
      </c>
      <c r="B1304" s="0" t="s">
        <v>1923</v>
      </c>
      <c r="E1304" s="0" t="s">
        <v>13</v>
      </c>
      <c r="F1304" s="0" t="s">
        <v>530</v>
      </c>
      <c r="G1304" s="0" t="s">
        <v>531</v>
      </c>
      <c r="H1304" s="5">
        <v>1048.197000</v>
      </c>
    </row>
    <row r="1305" spans="1:9">
      <c r="A1305" s="22" t="str">
        <f>HYPERLINK("https://app.vivvix.com/360/KMI/IntelliDrive/ApplUI/Pages/CreativePages/CustomReportCreativeDetail.aspx?App=23&amp;ReportView=4&amp;Qid=1711245&amp;Row=1297&amp;Col=1","No Title Assigned - #15273944385")</f>
        <v/>
      </c>
      <c r="B1305" s="0" t="s">
        <v>1924</v>
      </c>
      <c r="E1305" s="0" t="s">
        <v>13</v>
      </c>
      <c r="F1305" s="0" t="s">
        <v>530</v>
      </c>
      <c r="G1305" s="0" t="s">
        <v>531</v>
      </c>
      <c r="H1305" s="5">
        <v>7764.919800</v>
      </c>
    </row>
    <row r="1306" spans="1:9">
      <c r="A1306" s="22" t="str">
        <f>HYPERLINK("https://app.vivvix.com/360/KMI/IntelliDrive/ApplUI/Pages/CreativePages/CustomReportCreativeDetail.aspx?App=23&amp;ReportView=4&amp;Qid=1711245&amp;Row=1298&amp;Col=1","No Title Assigned - #15273952254")</f>
        <v/>
      </c>
      <c r="B1306" s="0" t="s">
        <v>1925</v>
      </c>
      <c r="E1306" s="0" t="s">
        <v>13</v>
      </c>
      <c r="F1306" s="0" t="s">
        <v>13</v>
      </c>
      <c r="G1306" s="0" t="s">
        <v>54</v>
      </c>
      <c r="H1306" s="5">
        <v>536.198400</v>
      </c>
    </row>
    <row r="1307" spans="1:9">
      <c r="A1307" s="22" t="str">
        <f>HYPERLINK("https://app.vivvix.com/360/KMI/IntelliDrive/ApplUI/Pages/CreativePages/CustomReportCreativeDetail.aspx?App=23&amp;ReportView=4&amp;Qid=1711245&amp;Row=1299&amp;Col=1","No Title Assigned - #15273965827")</f>
        <v/>
      </c>
      <c r="B1307" s="0" t="s">
        <v>1926</v>
      </c>
      <c r="E1307" s="0" t="s">
        <v>13</v>
      </c>
      <c r="F1307" s="0" t="s">
        <v>13</v>
      </c>
      <c r="G1307" s="0" t="s">
        <v>54</v>
      </c>
      <c r="H1307" s="5">
        <v>2494.149800</v>
      </c>
    </row>
    <row r="1308" spans="1:9">
      <c r="A1308" s="22" t="str">
        <f>HYPERLINK("https://app.vivvix.com/360/KMI/IntelliDrive/ApplUI/Pages/CreativePages/CustomReportCreativeDetail.aspx?App=23&amp;ReportView=4&amp;Qid=1711245&amp;Row=1300&amp;Col=1","No Title Assigned - #15273985602")</f>
        <v/>
      </c>
      <c r="B1308" s="0" t="s">
        <v>1927</v>
      </c>
      <c r="E1308" s="0" t="s">
        <v>13</v>
      </c>
      <c r="F1308" s="0" t="s">
        <v>13</v>
      </c>
      <c r="G1308" s="0" t="s">
        <v>54</v>
      </c>
      <c r="H1308" s="5">
        <v>938.097200</v>
      </c>
    </row>
    <row r="1309" spans="1:9">
      <c r="A1309" s="22" t="str">
        <f>HYPERLINK("https://app.vivvix.com/360/KMI/IntelliDrive/ApplUI/Pages/CreativePages/CustomReportCreativeDetail.aspx?App=23&amp;ReportView=4&amp;Qid=1711245&amp;Row=1301&amp;Col=1","No Title Assigned - #15273985613")</f>
        <v/>
      </c>
      <c r="B1309" s="0" t="s">
        <v>1928</v>
      </c>
      <c r="E1309" s="0" t="s">
        <v>13</v>
      </c>
      <c r="F1309" s="0" t="s">
        <v>530</v>
      </c>
      <c r="G1309" s="0" t="s">
        <v>531</v>
      </c>
      <c r="H1309" s="5">
        <v>4316.599200</v>
      </c>
    </row>
    <row r="1310" spans="1:9">
      <c r="A1310" s="22" t="str">
        <f>HYPERLINK("https://app.vivvix.com/360/KMI/IntelliDrive/ApplUI/Pages/CreativePages/CustomReportCreativeDetail.aspx?App=23&amp;ReportView=4&amp;Qid=1711245&amp;Row=1302&amp;Col=1","No Title Assigned - #15273985665")</f>
        <v/>
      </c>
      <c r="B1310" s="0" t="s">
        <v>1929</v>
      </c>
      <c r="E1310" s="0" t="s">
        <v>13</v>
      </c>
      <c r="F1310" s="0" t="s">
        <v>13</v>
      </c>
      <c r="G1310" s="0" t="s">
        <v>54</v>
      </c>
      <c r="H1310" s="5">
        <v>20.853200</v>
      </c>
    </row>
    <row r="1311" spans="1:9">
      <c r="A1311" s="22" t="str">
        <f>HYPERLINK("https://app.vivvix.com/360/KMI/IntelliDrive/ApplUI/Pages/CreativePages/CustomReportCreativeDetail.aspx?App=23&amp;ReportView=4&amp;Qid=1711245&amp;Row=1303&amp;Col=1","No Title Assigned - #15273986245")</f>
        <v/>
      </c>
      <c r="B1311" s="0" t="s">
        <v>1930</v>
      </c>
      <c r="E1311" s="0" t="s">
        <v>13</v>
      </c>
      <c r="F1311" s="0" t="s">
        <v>13</v>
      </c>
      <c r="G1311" s="0" t="s">
        <v>54</v>
      </c>
      <c r="H1311" s="5">
        <v>372.325500</v>
      </c>
    </row>
    <row r="1312" spans="1:9">
      <c r="A1312" s="22" t="str">
        <f>HYPERLINK("https://app.vivvix.com/360/KMI/IntelliDrive/ApplUI/Pages/CreativePages/CustomReportCreativeDetail.aspx?App=23&amp;ReportView=4&amp;Qid=1711245&amp;Row=1304&amp;Col=1","No Title Assigned - #15273994993")</f>
        <v/>
      </c>
      <c r="B1312" s="0" t="s">
        <v>1931</v>
      </c>
      <c r="E1312" s="0" t="s">
        <v>13</v>
      </c>
      <c r="F1312" s="0" t="s">
        <v>13</v>
      </c>
      <c r="G1312" s="0" t="s">
        <v>54</v>
      </c>
      <c r="H1312" s="5">
        <v>1002.451800</v>
      </c>
    </row>
    <row r="1313" spans="1:9">
      <c r="A1313" s="22" t="str">
        <f>HYPERLINK("https://app.vivvix.com/360/KMI/IntelliDrive/ApplUI/Pages/CreativePages/CustomReportCreativeDetail.aspx?App=23&amp;ReportView=4&amp;Qid=1711245&amp;Row=1305&amp;Col=1","No Title Assigned - #15274046614")</f>
        <v/>
      </c>
      <c r="B1313" s="0" t="s">
        <v>1932</v>
      </c>
      <c r="C1313" s="0" t="s">
        <v>1933</v>
      </c>
      <c r="D1313" s="0" t="s">
        <v>1933</v>
      </c>
      <c r="E1313" s="0" t="s">
        <v>13</v>
      </c>
      <c r="F1313" s="0" t="s">
        <v>14</v>
      </c>
      <c r="G1313" s="0" t="s">
        <v>15</v>
      </c>
      <c r="H1313" s="5">
        <v>36.722800</v>
      </c>
    </row>
    <row r="1314" spans="1:9">
      <c r="A1314" s="22" t="str">
        <f>HYPERLINK("https://app.vivvix.com/360/KMI/IntelliDrive/ApplUI/Pages/CreativePages/CustomReportCreativeDetail.aspx?App=23&amp;ReportView=4&amp;Qid=1711245&amp;Row=1306&amp;Col=1","No Title Assigned - #15274074636")</f>
        <v/>
      </c>
      <c r="B1314" s="0" t="s">
        <v>1934</v>
      </c>
      <c r="E1314" s="0" t="s">
        <v>13</v>
      </c>
      <c r="F1314" s="0" t="s">
        <v>13</v>
      </c>
      <c r="G1314" s="0" t="s">
        <v>54</v>
      </c>
      <c r="H1314" s="5">
        <v>4553.874400</v>
      </c>
    </row>
    <row r="1315" spans="1:9">
      <c r="A1315" s="22" t="str">
        <f>HYPERLINK("https://app.vivvix.com/360/KMI/IntelliDrive/ApplUI/Pages/CreativePages/CustomReportCreativeDetail.aspx?App=23&amp;ReportView=4&amp;Qid=1711245&amp;Row=1307&amp;Col=1","No Title Assigned - #15274120458")</f>
        <v/>
      </c>
      <c r="B1315" s="0" t="s">
        <v>1935</v>
      </c>
      <c r="E1315" s="0" t="s">
        <v>13</v>
      </c>
      <c r="F1315" s="0" t="s">
        <v>13</v>
      </c>
      <c r="G1315" s="0" t="s">
        <v>54</v>
      </c>
      <c r="H1315" s="5">
        <v>67.166000</v>
      </c>
    </row>
    <row r="1316" spans="1:9">
      <c r="A1316" s="22" t="str">
        <f>HYPERLINK("https://app.vivvix.com/360/KMI/IntelliDrive/ApplUI/Pages/CreativePages/CustomReportCreativeDetail.aspx?App=23&amp;ReportView=4&amp;Qid=1711245&amp;Row=1308&amp;Col=1","No Title Assigned - #15274152384")</f>
        <v/>
      </c>
      <c r="B1316" s="0" t="s">
        <v>1936</v>
      </c>
      <c r="C1316" s="0" t="s">
        <v>1937</v>
      </c>
      <c r="D1316" s="0" t="s">
        <v>1779</v>
      </c>
      <c r="E1316" s="0" t="s">
        <v>13</v>
      </c>
      <c r="F1316" s="0" t="s">
        <v>14</v>
      </c>
      <c r="G1316" s="0" t="s">
        <v>15</v>
      </c>
      <c r="H1316" s="5">
        <v>876.364600</v>
      </c>
    </row>
    <row r="1317" spans="1:9">
      <c r="A1317" s="22" t="str">
        <f>HYPERLINK("https://app.vivvix.com/360/KMI/IntelliDrive/ApplUI/Pages/CreativePages/CustomReportCreativeDetail.aspx?App=23&amp;ReportView=4&amp;Qid=1711245&amp;Row=1309&amp;Col=1","No Title Assigned - #15274152407")</f>
        <v/>
      </c>
      <c r="B1317" s="0" t="s">
        <v>1938</v>
      </c>
      <c r="C1317" s="0" t="s">
        <v>1939</v>
      </c>
      <c r="D1317" s="0" t="s">
        <v>1939</v>
      </c>
      <c r="E1317" s="0" t="s">
        <v>13</v>
      </c>
      <c r="F1317" s="0" t="s">
        <v>14</v>
      </c>
      <c r="G1317" s="0" t="s">
        <v>15</v>
      </c>
      <c r="H1317" s="5">
        <v>210.952200</v>
      </c>
    </row>
    <row r="1318" spans="1:9">
      <c r="A1318" s="22" t="str">
        <f>HYPERLINK("https://app.vivvix.com/360/KMI/IntelliDrive/ApplUI/Pages/CreativePages/CustomReportCreativeDetail.aspx?App=23&amp;ReportView=4&amp;Qid=1711245&amp;Row=1310&amp;Col=1","No Title Assigned - #15274152426")</f>
        <v/>
      </c>
      <c r="B1318" s="0" t="s">
        <v>1940</v>
      </c>
      <c r="C1318" s="0" t="s">
        <v>1941</v>
      </c>
      <c r="D1318" s="0" t="s">
        <v>1941</v>
      </c>
      <c r="E1318" s="0" t="s">
        <v>13</v>
      </c>
      <c r="F1318" s="0" t="s">
        <v>14</v>
      </c>
      <c r="G1318" s="0" t="s">
        <v>15</v>
      </c>
      <c r="H1318" s="5">
        <v>409.710000</v>
      </c>
    </row>
    <row r="1319" spans="1:9">
      <c r="A1319" s="22" t="str">
        <f>HYPERLINK("https://app.vivvix.com/360/KMI/IntelliDrive/ApplUI/Pages/CreativePages/CustomReportCreativeDetail.aspx?App=23&amp;ReportView=4&amp;Qid=1711245&amp;Row=1311&amp;Col=1","No Title Assigned - #15274161007")</f>
        <v/>
      </c>
      <c r="B1319" s="0" t="s">
        <v>1942</v>
      </c>
      <c r="E1319" s="0" t="s">
        <v>13</v>
      </c>
      <c r="F1319" s="0" t="s">
        <v>13</v>
      </c>
      <c r="G1319" s="0" t="s">
        <v>54</v>
      </c>
      <c r="H1319" s="5">
        <v>420.218400</v>
      </c>
    </row>
    <row r="1320" spans="1:9">
      <c r="A1320" s="22" t="str">
        <f>HYPERLINK("https://app.vivvix.com/360/KMI/IntelliDrive/ApplUI/Pages/CreativePages/CustomReportCreativeDetail.aspx?App=23&amp;ReportView=4&amp;Qid=1711245&amp;Row=1312&amp;Col=1","No Title Assigned - #15274174712")</f>
        <v/>
      </c>
      <c r="B1320" s="0" t="s">
        <v>1943</v>
      </c>
      <c r="E1320" s="0" t="s">
        <v>13</v>
      </c>
      <c r="F1320" s="0" t="s">
        <v>13</v>
      </c>
      <c r="G1320" s="0" t="s">
        <v>54</v>
      </c>
      <c r="H1320" s="5">
        <v>169.385000</v>
      </c>
    </row>
    <row r="1321" spans="1:9">
      <c r="A1321" s="22" t="str">
        <f>HYPERLINK("https://app.vivvix.com/360/KMI/IntelliDrive/ApplUI/Pages/CreativePages/CustomReportCreativeDetail.aspx?App=23&amp;ReportView=4&amp;Qid=1711245&amp;Row=1313&amp;Col=1","No Title Assigned - #15274174800")</f>
        <v/>
      </c>
      <c r="B1321" s="0" t="s">
        <v>1944</v>
      </c>
      <c r="E1321" s="0" t="s">
        <v>13</v>
      </c>
      <c r="F1321" s="0" t="s">
        <v>13</v>
      </c>
      <c r="G1321" s="0" t="s">
        <v>54</v>
      </c>
      <c r="H1321" s="5">
        <v>169.385000</v>
      </c>
    </row>
    <row r="1322" spans="1:9">
      <c r="A1322" s="22" t="str">
        <f>HYPERLINK("https://app.vivvix.com/360/KMI/IntelliDrive/ApplUI/Pages/CreativePages/CustomReportCreativeDetail.aspx?App=23&amp;ReportView=4&amp;Qid=1711245&amp;Row=1314&amp;Col=1","No Title Assigned - #15274206210")</f>
        <v/>
      </c>
      <c r="B1322" s="0" t="s">
        <v>1945</v>
      </c>
      <c r="E1322" s="0" t="s">
        <v>13</v>
      </c>
      <c r="F1322" s="0" t="s">
        <v>13</v>
      </c>
      <c r="G1322" s="0" t="s">
        <v>54</v>
      </c>
      <c r="H1322" s="5">
        <v>31.685200</v>
      </c>
    </row>
    <row r="1323" spans="1:9">
      <c r="A1323" s="22" t="str">
        <f>HYPERLINK("https://app.vivvix.com/360/KMI/IntelliDrive/ApplUI/Pages/CreativePages/CustomReportCreativeDetail.aspx?App=23&amp;ReportView=4&amp;Qid=1711245&amp;Row=1315&amp;Col=1","No Title Assigned - #15274223538")</f>
        <v/>
      </c>
      <c r="B1323" s="0" t="s">
        <v>1946</v>
      </c>
      <c r="C1323" s="0" t="s">
        <v>1947</v>
      </c>
      <c r="D1323" s="0" t="s">
        <v>1947</v>
      </c>
      <c r="E1323" s="0" t="s">
        <v>13</v>
      </c>
      <c r="F1323" s="0" t="s">
        <v>17</v>
      </c>
      <c r="G1323" s="0" t="s">
        <v>446</v>
      </c>
      <c r="H1323" s="5">
        <v>817.689300</v>
      </c>
    </row>
    <row r="1324" spans="1:9">
      <c r="A1324" s="22" t="str">
        <f>HYPERLINK("https://app.vivvix.com/360/KMI/IntelliDrive/ApplUI/Pages/CreativePages/CustomReportCreativeDetail.aspx?App=23&amp;ReportView=4&amp;Qid=1711245&amp;Row=1316&amp;Col=1","No Title Assigned - #15274228768")</f>
        <v/>
      </c>
      <c r="B1324" s="0" t="s">
        <v>1948</v>
      </c>
      <c r="E1324" s="0" t="s">
        <v>13</v>
      </c>
      <c r="F1324" s="0" t="s">
        <v>13</v>
      </c>
      <c r="G1324" s="0" t="s">
        <v>54</v>
      </c>
      <c r="H1324" s="5">
        <v>845.940500</v>
      </c>
    </row>
    <row r="1325" spans="1:9">
      <c r="A1325" s="22" t="str">
        <f>HYPERLINK("https://app.vivvix.com/360/KMI/IntelliDrive/ApplUI/Pages/CreativePages/CustomReportCreativeDetail.aspx?App=23&amp;ReportView=4&amp;Qid=1711245&amp;Row=1317&amp;Col=1","No Title Assigned - #15274236671")</f>
        <v/>
      </c>
      <c r="B1325" s="0" t="s">
        <v>1949</v>
      </c>
      <c r="C1325" s="0" t="s">
        <v>1950</v>
      </c>
      <c r="D1325" s="0" t="s">
        <v>1771</v>
      </c>
      <c r="E1325" s="0" t="s">
        <v>13</v>
      </c>
      <c r="F1325" s="0" t="s">
        <v>14</v>
      </c>
      <c r="G1325" s="0" t="s">
        <v>15</v>
      </c>
      <c r="H1325" s="5">
        <v>1302.418500</v>
      </c>
    </row>
    <row r="1326" spans="1:9">
      <c r="A1326" s="22" t="str">
        <f>HYPERLINK("https://app.vivvix.com/360/KMI/IntelliDrive/ApplUI/Pages/CreativePages/CustomReportCreativeDetail.aspx?App=23&amp;ReportView=4&amp;Qid=1711245&amp;Row=1318&amp;Col=1","No Title Assigned - #15274243571")</f>
        <v/>
      </c>
      <c r="B1326" s="0" t="s">
        <v>1951</v>
      </c>
      <c r="E1326" s="0" t="s">
        <v>13</v>
      </c>
      <c r="F1326" s="0" t="s">
        <v>13</v>
      </c>
      <c r="G1326" s="0" t="s">
        <v>54</v>
      </c>
      <c r="H1326" s="5">
        <v>2634.690900</v>
      </c>
    </row>
    <row r="1327" spans="1:9">
      <c r="A1327" s="22" t="str">
        <f>HYPERLINK("https://app.vivvix.com/360/KMI/IntelliDrive/ApplUI/Pages/CreativePages/CustomReportCreativeDetail.aspx?App=23&amp;ReportView=4&amp;Qid=1711245&amp;Row=1319&amp;Col=1","No Title Assigned - #15274243608")</f>
        <v/>
      </c>
      <c r="B1327" s="0" t="s">
        <v>1952</v>
      </c>
      <c r="E1327" s="0" t="s">
        <v>13</v>
      </c>
      <c r="F1327" s="0" t="s">
        <v>13</v>
      </c>
      <c r="G1327" s="0" t="s">
        <v>54</v>
      </c>
      <c r="H1327" s="5">
        <v>5729.470800</v>
      </c>
    </row>
    <row r="1328" spans="1:9">
      <c r="A1328" s="22" t="str">
        <f>HYPERLINK("https://app.vivvix.com/360/KMI/IntelliDrive/ApplUI/Pages/CreativePages/CustomReportCreativeDetail.aspx?App=23&amp;ReportView=4&amp;Qid=1711245&amp;Row=1320&amp;Col=1","No Title Assigned - #15274244129")</f>
        <v/>
      </c>
      <c r="B1328" s="0" t="s">
        <v>1953</v>
      </c>
      <c r="E1328" s="0" t="s">
        <v>13</v>
      </c>
      <c r="F1328" s="0" t="s">
        <v>13</v>
      </c>
      <c r="G1328" s="0" t="s">
        <v>54</v>
      </c>
      <c r="H1328" s="5">
        <v>11457.669600</v>
      </c>
    </row>
    <row r="1329" spans="1:9">
      <c r="A1329" s="22" t="str">
        <f>HYPERLINK("https://app.vivvix.com/360/KMI/IntelliDrive/ApplUI/Pages/CreativePages/CustomReportCreativeDetail.aspx?App=23&amp;ReportView=4&amp;Qid=1711245&amp;Row=1321&amp;Col=1","No Title Assigned - #15274249521")</f>
        <v/>
      </c>
      <c r="B1329" s="0" t="s">
        <v>1954</v>
      </c>
      <c r="E1329" s="0" t="s">
        <v>13</v>
      </c>
      <c r="F1329" s="0" t="s">
        <v>13</v>
      </c>
      <c r="G1329" s="0" t="s">
        <v>54</v>
      </c>
      <c r="H1329" s="5">
        <v>140.380600</v>
      </c>
    </row>
    <row r="1330" spans="1:9">
      <c r="A1330" s="22" t="str">
        <f>HYPERLINK("https://app.vivvix.com/360/KMI/IntelliDrive/ApplUI/Pages/CreativePages/CustomReportCreativeDetail.aspx?App=23&amp;ReportView=4&amp;Qid=1711245&amp;Row=1322&amp;Col=1","No Title Assigned - #15274249566")</f>
        <v/>
      </c>
      <c r="B1330" s="0" t="s">
        <v>1955</v>
      </c>
      <c r="E1330" s="0" t="s">
        <v>13</v>
      </c>
      <c r="F1330" s="0" t="s">
        <v>13</v>
      </c>
      <c r="G1330" s="0" t="s">
        <v>54</v>
      </c>
      <c r="H1330" s="5">
        <v>70.190300</v>
      </c>
    </row>
    <row r="1331" spans="1:9">
      <c r="A1331" s="22" t="str">
        <f>HYPERLINK("https://app.vivvix.com/360/KMI/IntelliDrive/ApplUI/Pages/CreativePages/CustomReportCreativeDetail.aspx?App=23&amp;ReportView=4&amp;Qid=1711245&amp;Row=1323&amp;Col=1","No Title Assigned - #15274249592")</f>
        <v/>
      </c>
      <c r="B1331" s="0" t="s">
        <v>1956</v>
      </c>
      <c r="E1331" s="0" t="s">
        <v>13</v>
      </c>
      <c r="F1331" s="0" t="s">
        <v>13</v>
      </c>
      <c r="G1331" s="0" t="s">
        <v>54</v>
      </c>
      <c r="H1331" s="5">
        <v>70.190300</v>
      </c>
    </row>
    <row r="1332" spans="1:9">
      <c r="A1332" s="22" t="str">
        <f>HYPERLINK("https://app.vivvix.com/360/KMI/IntelliDrive/ApplUI/Pages/CreativePages/CustomReportCreativeDetail.aspx?App=23&amp;ReportView=4&amp;Qid=1711245&amp;Row=1324&amp;Col=1","No Title Assigned - #15274277588")</f>
        <v/>
      </c>
      <c r="B1332" s="0" t="s">
        <v>1957</v>
      </c>
      <c r="E1332" s="0" t="s">
        <v>13</v>
      </c>
      <c r="F1332" s="0" t="s">
        <v>13</v>
      </c>
      <c r="G1332" s="0" t="s">
        <v>54</v>
      </c>
      <c r="H1332" s="5">
        <v>63.370400</v>
      </c>
    </row>
    <row r="1333" spans="1:9">
      <c r="A1333" s="22" t="str">
        <f>HYPERLINK("https://app.vivvix.com/360/KMI/IntelliDrive/ApplUI/Pages/CreativePages/CustomReportCreativeDetail.aspx?App=23&amp;ReportView=4&amp;Qid=1711245&amp;Row=1325&amp;Col=1","No Title Assigned - #15274277593")</f>
        <v/>
      </c>
      <c r="B1333" s="0" t="s">
        <v>1958</v>
      </c>
      <c r="E1333" s="0" t="s">
        <v>13</v>
      </c>
      <c r="F1333" s="0" t="s">
        <v>13</v>
      </c>
      <c r="G1333" s="0" t="s">
        <v>54</v>
      </c>
      <c r="H1333" s="5">
        <v>3898.471200</v>
      </c>
    </row>
    <row r="1334" spans="1:9">
      <c r="A1334" s="22" t="str">
        <f>HYPERLINK("https://app.vivvix.com/360/KMI/IntelliDrive/ApplUI/Pages/CreativePages/CustomReportCreativeDetail.aspx?App=23&amp;ReportView=4&amp;Qid=1711245&amp;Row=1326&amp;Col=1","No Title Assigned - #15274317033")</f>
        <v/>
      </c>
      <c r="B1334" s="0" t="s">
        <v>1959</v>
      </c>
      <c r="C1334" s="0" t="s">
        <v>1960</v>
      </c>
      <c r="D1334" s="0" t="s">
        <v>1814</v>
      </c>
      <c r="E1334" s="0" t="s">
        <v>13</v>
      </c>
      <c r="F1334" s="0" t="s">
        <v>530</v>
      </c>
      <c r="G1334" s="0" t="s">
        <v>531</v>
      </c>
      <c r="H1334" s="5">
        <v>39514.960400</v>
      </c>
    </row>
    <row r="1335" spans="1:9">
      <c r="A1335" s="22" t="str">
        <f>HYPERLINK("https://app.vivvix.com/360/KMI/IntelliDrive/ApplUI/Pages/CreativePages/CustomReportCreativeDetail.aspx?App=23&amp;ReportView=4&amp;Qid=1711245&amp;Row=1327&amp;Col=1","No Title Assigned - #15274385568")</f>
        <v/>
      </c>
      <c r="B1335" s="0" t="s">
        <v>1961</v>
      </c>
      <c r="E1335" s="0" t="s">
        <v>13</v>
      </c>
      <c r="F1335" s="0" t="s">
        <v>13</v>
      </c>
      <c r="G1335" s="0" t="s">
        <v>54</v>
      </c>
      <c r="H1335" s="5">
        <v>192.672100</v>
      </c>
    </row>
    <row r="1336" spans="1:9">
      <c r="A1336" s="22" t="str">
        <f>HYPERLINK("https://app.vivvix.com/360/KMI/IntelliDrive/ApplUI/Pages/CreativePages/CustomReportCreativeDetail.aspx?App=23&amp;ReportView=4&amp;Qid=1711245&amp;Row=1328&amp;Col=1","No Title Assigned - #15274469567")</f>
        <v/>
      </c>
      <c r="B1336" s="0" t="s">
        <v>1962</v>
      </c>
      <c r="C1336" s="0" t="s">
        <v>1963</v>
      </c>
      <c r="D1336" s="0" t="s">
        <v>1963</v>
      </c>
      <c r="E1336" s="0" t="s">
        <v>13</v>
      </c>
      <c r="F1336" s="0" t="s">
        <v>530</v>
      </c>
      <c r="G1336" s="0" t="s">
        <v>531</v>
      </c>
      <c r="H1336" s="5">
        <v>60063.942500</v>
      </c>
    </row>
    <row r="1337" spans="1:9">
      <c r="A1337" s="22" t="str">
        <f>HYPERLINK("https://app.vivvix.com/360/KMI/IntelliDrive/ApplUI/Pages/CreativePages/CustomReportCreativeDetail.aspx?App=23&amp;ReportView=4&amp;Qid=1711245&amp;Row=1329&amp;Col=1","No Title Assigned - #15274474115")</f>
        <v/>
      </c>
      <c r="B1337" s="0" t="s">
        <v>1964</v>
      </c>
      <c r="E1337" s="0" t="s">
        <v>13</v>
      </c>
      <c r="F1337" s="0" t="s">
        <v>13</v>
      </c>
      <c r="G1337" s="0" t="s">
        <v>54</v>
      </c>
      <c r="H1337" s="5">
        <v>2013.531600</v>
      </c>
    </row>
    <row r="1338" spans="1:9">
      <c r="A1338" s="22" t="str">
        <f>HYPERLINK("https://app.vivvix.com/360/KMI/IntelliDrive/ApplUI/Pages/CreativePages/CustomReportCreativeDetail.aspx?App=23&amp;ReportView=4&amp;Qid=1711245&amp;Row=1330&amp;Col=1","No Title Assigned - #15274485322")</f>
        <v/>
      </c>
      <c r="B1338" s="0" t="s">
        <v>1965</v>
      </c>
      <c r="E1338" s="0" t="s">
        <v>13</v>
      </c>
      <c r="F1338" s="0" t="s">
        <v>13</v>
      </c>
      <c r="G1338" s="0" t="s">
        <v>54</v>
      </c>
      <c r="H1338" s="5">
        <v>486.116200</v>
      </c>
    </row>
    <row r="1339" spans="1:9">
      <c r="A1339" s="22" t="str">
        <f>HYPERLINK("https://app.vivvix.com/360/KMI/IntelliDrive/ApplUI/Pages/CreativePages/CustomReportCreativeDetail.aspx?App=23&amp;ReportView=4&amp;Qid=1711245&amp;Row=1331&amp;Col=1","No Title Assigned - #15274493920")</f>
        <v/>
      </c>
      <c r="B1339" s="0" t="s">
        <v>1966</v>
      </c>
      <c r="E1339" s="0" t="s">
        <v>13</v>
      </c>
      <c r="F1339" s="0" t="s">
        <v>13</v>
      </c>
      <c r="G1339" s="0" t="s">
        <v>54</v>
      </c>
      <c r="H1339" s="5">
        <v>230.546100</v>
      </c>
    </row>
    <row r="1340" spans="1:9">
      <c r="A1340" s="22" t="str">
        <f>HYPERLINK("https://app.vivvix.com/360/KMI/IntelliDrive/ApplUI/Pages/CreativePages/CustomReportCreativeDetail.aspx?App=23&amp;ReportView=4&amp;Qid=1711245&amp;Row=1332&amp;Col=1","No Title Assigned - #15274563564")</f>
        <v/>
      </c>
      <c r="B1340" s="0" t="s">
        <v>1967</v>
      </c>
      <c r="E1340" s="0" t="s">
        <v>13</v>
      </c>
      <c r="F1340" s="0" t="s">
        <v>13</v>
      </c>
      <c r="G1340" s="0" t="s">
        <v>54</v>
      </c>
      <c r="H1340" s="5">
        <v>3.343500</v>
      </c>
    </row>
    <row r="1341" spans="1:9">
      <c r="A1341" s="22" t="str">
        <f>HYPERLINK("https://app.vivvix.com/360/KMI/IntelliDrive/ApplUI/Pages/CreativePages/CustomReportCreativeDetail.aspx?App=23&amp;ReportView=4&amp;Qid=1711245&amp;Row=1333&amp;Col=1","No Title Assigned - #15274594645")</f>
        <v/>
      </c>
      <c r="B1341" s="0" t="s">
        <v>1968</v>
      </c>
      <c r="E1341" s="0" t="s">
        <v>13</v>
      </c>
      <c r="F1341" s="0" t="s">
        <v>13</v>
      </c>
      <c r="G1341" s="0" t="s">
        <v>54</v>
      </c>
      <c r="H1341" s="5">
        <v>8873.039800</v>
      </c>
    </row>
    <row r="1342" spans="1:9">
      <c r="A1342" s="22" t="str">
        <f>HYPERLINK("https://app.vivvix.com/360/KMI/IntelliDrive/ApplUI/Pages/CreativePages/CustomReportCreativeDetail.aspx?App=23&amp;ReportView=4&amp;Qid=1711245&amp;Row=1334&amp;Col=1","No Title Assigned - #15274636093")</f>
        <v/>
      </c>
      <c r="B1342" s="0" t="s">
        <v>1969</v>
      </c>
      <c r="E1342" s="0" t="s">
        <v>13</v>
      </c>
      <c r="F1342" s="0" t="s">
        <v>13</v>
      </c>
      <c r="G1342" s="0" t="s">
        <v>54</v>
      </c>
      <c r="H1342" s="5">
        <v>6981.310700</v>
      </c>
    </row>
    <row r="1343" spans="1:9">
      <c r="A1343" s="22" t="str">
        <f>HYPERLINK("https://app.vivvix.com/360/KMI/IntelliDrive/ApplUI/Pages/CreativePages/CustomReportCreativeDetail.aspx?App=23&amp;ReportView=4&amp;Qid=1711245&amp;Row=1335&amp;Col=1","No Title Assigned - #15274640679")</f>
        <v/>
      </c>
      <c r="B1343" s="0" t="s">
        <v>1970</v>
      </c>
      <c r="E1343" s="0" t="s">
        <v>13</v>
      </c>
      <c r="F1343" s="0" t="s">
        <v>13</v>
      </c>
      <c r="G1343" s="0" t="s">
        <v>54</v>
      </c>
      <c r="H1343" s="5">
        <v>621.101800</v>
      </c>
    </row>
    <row r="1344" spans="1:9">
      <c r="A1344" s="22" t="str">
        <f>HYPERLINK("https://app.vivvix.com/360/KMI/IntelliDrive/ApplUI/Pages/CreativePages/CustomReportCreativeDetail.aspx?App=23&amp;ReportView=4&amp;Qid=1711245&amp;Row=1336&amp;Col=1","No Title Assigned - #15274646636")</f>
        <v/>
      </c>
      <c r="B1344" s="0" t="s">
        <v>1971</v>
      </c>
      <c r="C1344" s="0" t="s">
        <v>1972</v>
      </c>
      <c r="D1344" s="0" t="s">
        <v>1972</v>
      </c>
      <c r="E1344" s="0" t="s">
        <v>13</v>
      </c>
      <c r="F1344" s="0" t="s">
        <v>14</v>
      </c>
      <c r="G1344" s="0" t="s">
        <v>15</v>
      </c>
      <c r="H1344" s="5">
        <v>584.102800</v>
      </c>
    </row>
    <row r="1345" spans="1:9">
      <c r="A1345" s="22" t="str">
        <f>HYPERLINK("https://app.vivvix.com/360/KMI/IntelliDrive/ApplUI/Pages/CreativePages/CustomReportCreativeDetail.aspx?App=23&amp;ReportView=4&amp;Qid=1711245&amp;Row=1337&amp;Col=1","No Title Assigned - #15274660797")</f>
        <v/>
      </c>
      <c r="B1345" s="0" t="s">
        <v>1973</v>
      </c>
      <c r="C1345" s="0" t="s">
        <v>1974</v>
      </c>
      <c r="D1345" s="0" t="s">
        <v>1974</v>
      </c>
      <c r="E1345" s="0" t="s">
        <v>13</v>
      </c>
      <c r="F1345" s="0" t="s">
        <v>14</v>
      </c>
      <c r="G1345" s="0" t="s">
        <v>15</v>
      </c>
      <c r="H1345" s="5">
        <v>649.491900</v>
      </c>
    </row>
    <row r="1346" spans="1:9">
      <c r="A1346" s="22" t="str">
        <f>HYPERLINK("https://app.vivvix.com/360/KMI/IntelliDrive/ApplUI/Pages/CreativePages/CustomReportCreativeDetail.aspx?App=23&amp;ReportView=4&amp;Qid=1711245&amp;Row=1338&amp;Col=1","No Title Assigned - #15274661905")</f>
        <v/>
      </c>
      <c r="B1346" s="0" t="s">
        <v>1975</v>
      </c>
      <c r="E1346" s="0" t="s">
        <v>13</v>
      </c>
      <c r="F1346" s="0" t="s">
        <v>13</v>
      </c>
      <c r="G1346" s="0" t="s">
        <v>54</v>
      </c>
      <c r="H1346" s="5">
        <v>878.230300</v>
      </c>
    </row>
    <row r="1347" spans="1:9">
      <c r="A1347" s="22" t="str">
        <f>HYPERLINK("https://app.vivvix.com/360/KMI/IntelliDrive/ApplUI/Pages/CreativePages/CustomReportCreativeDetail.aspx?App=23&amp;ReportView=4&amp;Qid=1711245&amp;Row=1339&amp;Col=1","No Title Assigned - #15274671714")</f>
        <v/>
      </c>
      <c r="B1347" s="0" t="s">
        <v>1976</v>
      </c>
      <c r="E1347" s="0" t="s">
        <v>13</v>
      </c>
      <c r="F1347" s="0" t="s">
        <v>13</v>
      </c>
      <c r="G1347" s="0" t="s">
        <v>54</v>
      </c>
      <c r="H1347" s="5">
        <v>878.230300</v>
      </c>
    </row>
    <row r="1348" spans="1:9">
      <c r="A1348" s="22" t="str">
        <f>HYPERLINK("https://app.vivvix.com/360/KMI/IntelliDrive/ApplUI/Pages/CreativePages/CustomReportCreativeDetail.aspx?App=23&amp;ReportView=4&amp;Qid=1711245&amp;Row=1340&amp;Col=1","No Title Assigned - #15274721358")</f>
        <v/>
      </c>
      <c r="B1348" s="0" t="s">
        <v>1977</v>
      </c>
      <c r="C1348" s="0" t="s">
        <v>1978</v>
      </c>
      <c r="D1348" s="0" t="s">
        <v>1978</v>
      </c>
      <c r="E1348" s="0" t="s">
        <v>13</v>
      </c>
      <c r="F1348" s="0" t="s">
        <v>14</v>
      </c>
      <c r="G1348" s="0" t="s">
        <v>15</v>
      </c>
      <c r="H1348" s="5">
        <v>1104.798600</v>
      </c>
    </row>
    <row r="1349" spans="1:9">
      <c r="A1349" s="22" t="str">
        <f>HYPERLINK("https://app.vivvix.com/360/KMI/IntelliDrive/ApplUI/Pages/CreativePages/CustomReportCreativeDetail.aspx?App=23&amp;ReportView=4&amp;Qid=1711245&amp;Row=1341&amp;Col=1","No Title Assigned - #15274721367")</f>
        <v/>
      </c>
      <c r="B1349" s="0" t="s">
        <v>1979</v>
      </c>
      <c r="E1349" s="0" t="s">
        <v>13</v>
      </c>
      <c r="F1349" s="0" t="s">
        <v>13</v>
      </c>
      <c r="G1349" s="0" t="s">
        <v>54</v>
      </c>
      <c r="H1349" s="5">
        <v>878.230300</v>
      </c>
    </row>
    <row r="1350" spans="1:9">
      <c r="A1350" s="22" t="str">
        <f>HYPERLINK("https://app.vivvix.com/360/KMI/IntelliDrive/ApplUI/Pages/CreativePages/CustomReportCreativeDetail.aspx?App=23&amp;ReportView=4&amp;Qid=1711245&amp;Row=1342&amp;Col=1","No Title Assigned - #15274728015")</f>
        <v/>
      </c>
      <c r="B1350" s="0" t="s">
        <v>1980</v>
      </c>
      <c r="E1350" s="0" t="s">
        <v>13</v>
      </c>
      <c r="F1350" s="0" t="s">
        <v>13</v>
      </c>
      <c r="G1350" s="0" t="s">
        <v>54</v>
      </c>
      <c r="H1350" s="5">
        <v>12.112400</v>
      </c>
    </row>
    <row r="1351" spans="1:9">
      <c r="A1351" s="22" t="str">
        <f>HYPERLINK("https://app.vivvix.com/360/KMI/IntelliDrive/ApplUI/Pages/CreativePages/CustomReportCreativeDetail.aspx?App=23&amp;ReportView=4&amp;Qid=1711245&amp;Row=1343&amp;Col=1","No Title Assigned - #15274757249")</f>
        <v/>
      </c>
      <c r="B1351" s="0" t="s">
        <v>1981</v>
      </c>
      <c r="E1351" s="0" t="s">
        <v>13</v>
      </c>
      <c r="F1351" s="0" t="s">
        <v>13</v>
      </c>
      <c r="G1351" s="0" t="s">
        <v>54</v>
      </c>
      <c r="H1351" s="5">
        <v>582.247200</v>
      </c>
    </row>
    <row r="1352" spans="1:9">
      <c r="A1352" s="22" t="str">
        <f>HYPERLINK("https://app.vivvix.com/360/KMI/IntelliDrive/ApplUI/Pages/CreativePages/CustomReportCreativeDetail.aspx?App=23&amp;ReportView=4&amp;Qid=1711245&amp;Row=1344&amp;Col=1","No Title Assigned - #15274758689")</f>
        <v/>
      </c>
      <c r="B1352" s="0" t="s">
        <v>1982</v>
      </c>
      <c r="E1352" s="0" t="s">
        <v>13</v>
      </c>
      <c r="F1352" s="0" t="s">
        <v>13</v>
      </c>
      <c r="G1352" s="0" t="s">
        <v>54</v>
      </c>
      <c r="H1352" s="5">
        <v>5817.498800</v>
      </c>
    </row>
    <row r="1353" spans="1:9">
      <c r="A1353" s="22" t="str">
        <f>HYPERLINK("https://app.vivvix.com/360/KMI/IntelliDrive/ApplUI/Pages/CreativePages/CustomReportCreativeDetail.aspx?App=23&amp;ReportView=4&amp;Qid=1711245&amp;Row=1345&amp;Col=1","No Title Assigned - #15274793815")</f>
        <v/>
      </c>
      <c r="B1353" s="0" t="s">
        <v>1983</v>
      </c>
      <c r="C1353" s="0" t="s">
        <v>1984</v>
      </c>
      <c r="D1353" s="0" t="s">
        <v>1984</v>
      </c>
      <c r="E1353" s="0" t="s">
        <v>13</v>
      </c>
      <c r="F1353" s="0" t="s">
        <v>17</v>
      </c>
      <c r="G1353" s="0" t="s">
        <v>446</v>
      </c>
      <c r="H1353" s="5">
        <v>2095.266800</v>
      </c>
    </row>
    <row r="1354" spans="1:9">
      <c r="A1354" s="22" t="str">
        <f>HYPERLINK("https://app.vivvix.com/360/KMI/IntelliDrive/ApplUI/Pages/CreativePages/CustomReportCreativeDetail.aspx?App=23&amp;ReportView=4&amp;Qid=1711245&amp;Row=1346&amp;Col=1","No Title Assigned - #15274822060")</f>
        <v/>
      </c>
      <c r="B1354" s="0" t="s">
        <v>1985</v>
      </c>
      <c r="E1354" s="0" t="s">
        <v>13</v>
      </c>
      <c r="F1354" s="0" t="s">
        <v>13</v>
      </c>
      <c r="G1354" s="0" t="s">
        <v>54</v>
      </c>
      <c r="H1354" s="5">
        <v>50444.387800</v>
      </c>
    </row>
    <row r="1355" spans="1:9">
      <c r="A1355" s="22" t="str">
        <f>HYPERLINK("https://app.vivvix.com/360/KMI/IntelliDrive/ApplUI/Pages/CreativePages/CustomReportCreativeDetail.aspx?App=23&amp;ReportView=4&amp;Qid=1711245&amp;Row=1347&amp;Col=1","No Title Assigned - #15274878884")</f>
        <v/>
      </c>
      <c r="B1355" s="0" t="s">
        <v>1986</v>
      </c>
      <c r="E1355" s="0" t="s">
        <v>13</v>
      </c>
      <c r="F1355" s="0" t="s">
        <v>13</v>
      </c>
      <c r="G1355" s="0" t="s">
        <v>54</v>
      </c>
      <c r="H1355" s="5">
        <v>1513.250900</v>
      </c>
    </row>
    <row r="1356" spans="1:9">
      <c r="A1356" s="22" t="str">
        <f>HYPERLINK("https://app.vivvix.com/360/KMI/IntelliDrive/ApplUI/Pages/CreativePages/CustomReportCreativeDetail.aspx?App=23&amp;ReportView=4&amp;Qid=1711245&amp;Row=1348&amp;Col=1","No Title Assigned - #15274915459")</f>
        <v/>
      </c>
      <c r="B1356" s="0" t="s">
        <v>1987</v>
      </c>
      <c r="E1356" s="0" t="s">
        <v>13</v>
      </c>
      <c r="F1356" s="0" t="s">
        <v>13</v>
      </c>
      <c r="G1356" s="0" t="s">
        <v>54</v>
      </c>
      <c r="H1356" s="5">
        <v>230.546100</v>
      </c>
    </row>
    <row r="1357" spans="1:9">
      <c r="A1357" s="22" t="str">
        <f>HYPERLINK("https://app.vivvix.com/360/KMI/IntelliDrive/ApplUI/Pages/CreativePages/CustomReportCreativeDetail.aspx?App=23&amp;ReportView=4&amp;Qid=1711245&amp;Row=1349&amp;Col=1","No Title Assigned - #15274955563")</f>
        <v/>
      </c>
      <c r="B1357" s="0" t="s">
        <v>1988</v>
      </c>
      <c r="E1357" s="0" t="s">
        <v>13</v>
      </c>
      <c r="F1357" s="0" t="s">
        <v>13</v>
      </c>
      <c r="G1357" s="0" t="s">
        <v>54</v>
      </c>
      <c r="H1357" s="5">
        <v>28366.111300</v>
      </c>
    </row>
    <row r="1358" spans="1:9">
      <c r="A1358" s="22" t="str">
        <f>HYPERLINK("https://app.vivvix.com/360/KMI/IntelliDrive/ApplUI/Pages/CreativePages/CustomReportCreativeDetail.aspx?App=23&amp;ReportView=4&amp;Qid=1711245&amp;Row=1350&amp;Col=1","No Title Assigned - #15274955631")</f>
        <v/>
      </c>
      <c r="B1358" s="0" t="s">
        <v>1989</v>
      </c>
      <c r="E1358" s="0" t="s">
        <v>13</v>
      </c>
      <c r="F1358" s="0" t="s">
        <v>13</v>
      </c>
      <c r="G1358" s="0" t="s">
        <v>54</v>
      </c>
      <c r="H1358" s="5">
        <v>48082.676000</v>
      </c>
    </row>
    <row r="1359" spans="1:9">
      <c r="A1359" s="22" t="str">
        <f>HYPERLINK("https://app.vivvix.com/360/KMI/IntelliDrive/ApplUI/Pages/CreativePages/CustomReportCreativeDetail.aspx?App=23&amp;ReportView=4&amp;Qid=1711245&amp;Row=1351&amp;Col=1","No Title Assigned - #15274969621")</f>
        <v/>
      </c>
      <c r="B1359" s="0" t="s">
        <v>1990</v>
      </c>
      <c r="E1359" s="0" t="s">
        <v>13</v>
      </c>
      <c r="F1359" s="0" t="s">
        <v>13</v>
      </c>
      <c r="G1359" s="0" t="s">
        <v>54</v>
      </c>
      <c r="H1359" s="5">
        <v>37169.550900</v>
      </c>
    </row>
    <row r="1360" spans="1:9">
      <c r="A1360" s="22" t="str">
        <f>HYPERLINK("https://app.vivvix.com/360/KMI/IntelliDrive/ApplUI/Pages/CreativePages/CustomReportCreativeDetail.aspx?App=23&amp;ReportView=4&amp;Qid=1711245&amp;Row=1352&amp;Col=1","No Title Assigned - #15275001870")</f>
        <v/>
      </c>
      <c r="B1360" s="0" t="s">
        <v>1991</v>
      </c>
      <c r="E1360" s="0" t="s">
        <v>13</v>
      </c>
      <c r="F1360" s="0" t="s">
        <v>13</v>
      </c>
      <c r="G1360" s="0" t="s">
        <v>54</v>
      </c>
      <c r="H1360" s="5">
        <v>22104.117000</v>
      </c>
    </row>
    <row r="1361" spans="1:9">
      <c r="A1361" s="22" t="str">
        <f>HYPERLINK("https://app.vivvix.com/360/KMI/IntelliDrive/ApplUI/Pages/CreativePages/CustomReportCreativeDetail.aspx?App=23&amp;ReportView=4&amp;Qid=1711245&amp;Row=1353&amp;Col=1","No Title Assigned - #15275049165")</f>
        <v/>
      </c>
      <c r="B1361" s="0" t="s">
        <v>1992</v>
      </c>
      <c r="C1361" s="0" t="s">
        <v>1993</v>
      </c>
      <c r="D1361" s="0" t="s">
        <v>1993</v>
      </c>
      <c r="E1361" s="0" t="s">
        <v>13</v>
      </c>
      <c r="F1361" s="0" t="s">
        <v>540</v>
      </c>
      <c r="G1361" s="0" t="s">
        <v>541</v>
      </c>
      <c r="H1361" s="5">
        <v>3257.567300</v>
      </c>
    </row>
    <row r="1362" spans="1:9">
      <c r="A1362" s="22" t="str">
        <f>HYPERLINK("https://app.vivvix.com/360/KMI/IntelliDrive/ApplUI/Pages/CreativePages/CustomReportCreativeDetail.aspx?App=23&amp;ReportView=4&amp;Qid=1711245&amp;Row=1354&amp;Col=1","No Title Assigned - #15275049229")</f>
        <v/>
      </c>
      <c r="B1362" s="0" t="s">
        <v>1994</v>
      </c>
      <c r="C1362" s="0" t="s">
        <v>1995</v>
      </c>
      <c r="D1362" s="0" t="s">
        <v>1995</v>
      </c>
      <c r="E1362" s="0" t="s">
        <v>13</v>
      </c>
      <c r="F1362" s="0" t="s">
        <v>14</v>
      </c>
      <c r="G1362" s="0" t="s">
        <v>15</v>
      </c>
      <c r="H1362" s="5">
        <v>6039.488600</v>
      </c>
    </row>
    <row r="1363" spans="1:9">
      <c r="A1363" s="22" t="str">
        <f>HYPERLINK("https://app.vivvix.com/360/KMI/IntelliDrive/ApplUI/Pages/CreativePages/CustomReportCreativeDetail.aspx?App=23&amp;ReportView=4&amp;Qid=1711245&amp;Row=1355&amp;Col=1","No Title Assigned - #15275057132")</f>
        <v/>
      </c>
      <c r="B1363" s="0" t="s">
        <v>1996</v>
      </c>
      <c r="E1363" s="0" t="s">
        <v>13</v>
      </c>
      <c r="F1363" s="0" t="s">
        <v>13</v>
      </c>
      <c r="G1363" s="0" t="s">
        <v>54</v>
      </c>
      <c r="H1363" s="5">
        <v>8715.890600</v>
      </c>
    </row>
    <row r="1364" spans="1:9">
      <c r="A1364" s="22" t="str">
        <f>HYPERLINK("https://app.vivvix.com/360/KMI/IntelliDrive/ApplUI/Pages/CreativePages/CustomReportCreativeDetail.aspx?App=23&amp;ReportView=4&amp;Qid=1711245&amp;Row=1356&amp;Col=1","No Title Assigned - #15275057300")</f>
        <v/>
      </c>
      <c r="B1364" s="0" t="s">
        <v>1997</v>
      </c>
      <c r="E1364" s="0" t="s">
        <v>13</v>
      </c>
      <c r="F1364" s="0" t="s">
        <v>13</v>
      </c>
      <c r="G1364" s="0" t="s">
        <v>54</v>
      </c>
      <c r="H1364" s="5">
        <v>148059.517600</v>
      </c>
    </row>
    <row r="1365" spans="1:9">
      <c r="A1365" s="22" t="str">
        <f>HYPERLINK("https://app.vivvix.com/360/KMI/IntelliDrive/ApplUI/Pages/CreativePages/CustomReportCreativeDetail.aspx?App=23&amp;ReportView=4&amp;Qid=1711245&amp;Row=1357&amp;Col=1","No Title Assigned - #15275057675")</f>
        <v/>
      </c>
      <c r="B1365" s="0" t="s">
        <v>1998</v>
      </c>
      <c r="E1365" s="0" t="s">
        <v>13</v>
      </c>
      <c r="F1365" s="0" t="s">
        <v>13</v>
      </c>
      <c r="G1365" s="0" t="s">
        <v>54</v>
      </c>
      <c r="H1365" s="5">
        <v>2618.662800</v>
      </c>
    </row>
    <row r="1366" spans="1:9">
      <c r="A1366" s="22" t="str">
        <f>HYPERLINK("https://app.vivvix.com/360/KMI/IntelliDrive/ApplUI/Pages/CreativePages/CustomReportCreativeDetail.aspx?App=23&amp;ReportView=4&amp;Qid=1711245&amp;Row=1358&amp;Col=1","No Title Assigned - #15275057717")</f>
        <v/>
      </c>
      <c r="B1366" s="0" t="s">
        <v>1999</v>
      </c>
      <c r="E1366" s="0" t="s">
        <v>13</v>
      </c>
      <c r="F1366" s="0" t="s">
        <v>13</v>
      </c>
      <c r="G1366" s="0" t="s">
        <v>54</v>
      </c>
      <c r="H1366" s="5">
        <v>8582.493300</v>
      </c>
    </row>
    <row r="1367" spans="1:9">
      <c r="A1367" s="22" t="str">
        <f>HYPERLINK("https://app.vivvix.com/360/KMI/IntelliDrive/ApplUI/Pages/CreativePages/CustomReportCreativeDetail.aspx?App=23&amp;ReportView=4&amp;Qid=1711245&amp;Row=1359&amp;Col=1","No Title Assigned - #15275061409")</f>
        <v/>
      </c>
      <c r="B1367" s="0" t="s">
        <v>2000</v>
      </c>
      <c r="E1367" s="0" t="s">
        <v>13</v>
      </c>
      <c r="F1367" s="0" t="s">
        <v>13</v>
      </c>
      <c r="G1367" s="0" t="s">
        <v>54</v>
      </c>
      <c r="H1367" s="5">
        <v>64915.686200</v>
      </c>
    </row>
    <row r="1368" spans="1:9">
      <c r="A1368" s="22" t="str">
        <f>HYPERLINK("https://app.vivvix.com/360/KMI/IntelliDrive/ApplUI/Pages/CreativePages/CustomReportCreativeDetail.aspx?App=23&amp;ReportView=4&amp;Qid=1711245&amp;Row=1360&amp;Col=1","No Title Assigned - #15275064024")</f>
        <v/>
      </c>
      <c r="B1368" s="0" t="s">
        <v>2001</v>
      </c>
      <c r="E1368" s="0" t="s">
        <v>13</v>
      </c>
      <c r="F1368" s="0" t="s">
        <v>13</v>
      </c>
      <c r="G1368" s="0" t="s">
        <v>54</v>
      </c>
      <c r="H1368" s="5">
        <v>72388.768900</v>
      </c>
    </row>
    <row r="1369" spans="1:9">
      <c r="A1369" s="22" t="str">
        <f>HYPERLINK("https://app.vivvix.com/360/KMI/IntelliDrive/ApplUI/Pages/CreativePages/CustomReportCreativeDetail.aspx?App=23&amp;ReportView=4&amp;Qid=1711245&amp;Row=1361&amp;Col=1","No Title Assigned - #15275065291")</f>
        <v/>
      </c>
      <c r="B1369" s="0" t="s">
        <v>2002</v>
      </c>
      <c r="E1369" s="0" t="s">
        <v>13</v>
      </c>
      <c r="F1369" s="0" t="s">
        <v>13</v>
      </c>
      <c r="G1369" s="0" t="s">
        <v>54</v>
      </c>
      <c r="H1369" s="5">
        <v>778.602000</v>
      </c>
    </row>
    <row r="1370" spans="1:9">
      <c r="A1370" s="22" t="str">
        <f>HYPERLINK("https://app.vivvix.com/360/KMI/IntelliDrive/ApplUI/Pages/CreativePages/CustomReportCreativeDetail.aspx?App=23&amp;ReportView=4&amp;Qid=1711245&amp;Row=1362&amp;Col=1","No Title Assigned - #15275129088")</f>
        <v/>
      </c>
      <c r="B1370" s="0" t="s">
        <v>2003</v>
      </c>
      <c r="E1370" s="0" t="s">
        <v>13</v>
      </c>
      <c r="F1370" s="0" t="s">
        <v>13</v>
      </c>
      <c r="G1370" s="0" t="s">
        <v>54</v>
      </c>
      <c r="H1370" s="5">
        <v>2787.304500</v>
      </c>
    </row>
    <row r="1371" spans="1:9">
      <c r="A1371" s="22" t="str">
        <f>HYPERLINK("https://app.vivvix.com/360/KMI/IntelliDrive/ApplUI/Pages/CreativePages/CustomReportCreativeDetail.aspx?App=23&amp;ReportView=4&amp;Qid=1711245&amp;Row=1363&amp;Col=1","No Title Assigned - #15275180962")</f>
        <v/>
      </c>
      <c r="B1371" s="0" t="s">
        <v>2004</v>
      </c>
      <c r="E1371" s="0" t="s">
        <v>13</v>
      </c>
      <c r="F1371" s="0" t="s">
        <v>13</v>
      </c>
      <c r="G1371" s="0" t="s">
        <v>54</v>
      </c>
      <c r="H1371" s="5">
        <v>230.546100</v>
      </c>
    </row>
    <row r="1372" spans="1:9">
      <c r="A1372" s="22" t="str">
        <f>HYPERLINK("https://app.vivvix.com/360/KMI/IntelliDrive/ApplUI/Pages/CreativePages/CustomReportCreativeDetail.aspx?App=23&amp;ReportView=4&amp;Qid=1711245&amp;Row=1364&amp;Col=1","No Title Assigned - #15275193664")</f>
        <v/>
      </c>
      <c r="B1372" s="0" t="s">
        <v>2005</v>
      </c>
      <c r="E1372" s="0" t="s">
        <v>13</v>
      </c>
      <c r="F1372" s="0" t="s">
        <v>13</v>
      </c>
      <c r="G1372" s="0" t="s">
        <v>54</v>
      </c>
      <c r="H1372" s="5">
        <v>1957.790700</v>
      </c>
    </row>
    <row r="1373" spans="1:9">
      <c r="A1373" s="22" t="str">
        <f>HYPERLINK("https://app.vivvix.com/360/KMI/IntelliDrive/ApplUI/Pages/CreativePages/CustomReportCreativeDetail.aspx?App=23&amp;ReportView=4&amp;Qid=1711245&amp;Row=1365&amp;Col=1","No Title Assigned - #15275193720")</f>
        <v/>
      </c>
      <c r="B1373" s="0" t="s">
        <v>2006</v>
      </c>
      <c r="E1373" s="0" t="s">
        <v>13</v>
      </c>
      <c r="F1373" s="0" t="s">
        <v>13</v>
      </c>
      <c r="G1373" s="0" t="s">
        <v>54</v>
      </c>
      <c r="H1373" s="5">
        <v>1034.874800</v>
      </c>
    </row>
    <row r="1374" spans="1:9">
      <c r="A1374" s="22" t="str">
        <f>HYPERLINK("https://app.vivvix.com/360/KMI/IntelliDrive/ApplUI/Pages/CreativePages/CustomReportCreativeDetail.aspx?App=23&amp;ReportView=4&amp;Qid=1711245&amp;Row=1366&amp;Col=1","No Title Assigned - #15275203128")</f>
        <v/>
      </c>
      <c r="B1374" s="0" t="s">
        <v>2007</v>
      </c>
      <c r="E1374" s="0" t="s">
        <v>13</v>
      </c>
      <c r="F1374" s="0" t="s">
        <v>13</v>
      </c>
      <c r="G1374" s="0" t="s">
        <v>54</v>
      </c>
      <c r="H1374" s="5">
        <v>865.635900</v>
      </c>
    </row>
    <row r="1375" spans="1:9">
      <c r="A1375" s="22" t="str">
        <f>HYPERLINK("https://app.vivvix.com/360/KMI/IntelliDrive/ApplUI/Pages/CreativePages/CustomReportCreativeDetail.aspx?App=23&amp;ReportView=4&amp;Qid=1711245&amp;Row=1367&amp;Col=1","No Title Assigned - #15275206895")</f>
        <v/>
      </c>
      <c r="B1375" s="0" t="s">
        <v>2008</v>
      </c>
      <c r="E1375" s="0" t="s">
        <v>13</v>
      </c>
      <c r="F1375" s="0" t="s">
        <v>13</v>
      </c>
      <c r="G1375" s="0" t="s">
        <v>54</v>
      </c>
      <c r="H1375" s="5">
        <v>748.671600</v>
      </c>
    </row>
    <row r="1376" spans="1:9">
      <c r="A1376" s="22" t="str">
        <f>HYPERLINK("https://app.vivvix.com/360/KMI/IntelliDrive/ApplUI/Pages/CreativePages/CustomReportCreativeDetail.aspx?App=23&amp;ReportView=4&amp;Qid=1711245&amp;Row=1368&amp;Col=1","No Title Assigned - #15275270975")</f>
        <v/>
      </c>
      <c r="B1376" s="0" t="s">
        <v>2009</v>
      </c>
      <c r="E1376" s="0" t="s">
        <v>13</v>
      </c>
      <c r="F1376" s="0" t="s">
        <v>14</v>
      </c>
      <c r="G1376" s="0" t="s">
        <v>15</v>
      </c>
      <c r="H1376" s="5">
        <v>38048.258300</v>
      </c>
    </row>
    <row r="1377" spans="1:9">
      <c r="A1377" s="22" t="str">
        <f>HYPERLINK("https://app.vivvix.com/360/KMI/IntelliDrive/ApplUI/Pages/CreativePages/CustomReportCreativeDetail.aspx?App=23&amp;ReportView=4&amp;Qid=1711245&amp;Row=1369&amp;Col=1","No Title Assigned - #15275273304")</f>
        <v/>
      </c>
      <c r="B1377" s="0" t="s">
        <v>2010</v>
      </c>
      <c r="C1377" s="0" t="s">
        <v>2011</v>
      </c>
      <c r="D1377" s="0" t="s">
        <v>2011</v>
      </c>
      <c r="E1377" s="0" t="s">
        <v>13</v>
      </c>
      <c r="F1377" s="0" t="s">
        <v>13</v>
      </c>
      <c r="G1377" s="0" t="s">
        <v>54</v>
      </c>
      <c r="H1377" s="5">
        <v>405.478500</v>
      </c>
    </row>
    <row r="1378" spans="1:9">
      <c r="A1378" s="22" t="str">
        <f>HYPERLINK("https://app.vivvix.com/360/KMI/IntelliDrive/ApplUI/Pages/CreativePages/CustomReportCreativeDetail.aspx?App=23&amp;ReportView=4&amp;Qid=1711245&amp;Row=1370&amp;Col=1","No Title Assigned - #15275279385")</f>
        <v/>
      </c>
      <c r="B1378" s="0" t="s">
        <v>2012</v>
      </c>
      <c r="E1378" s="0" t="s">
        <v>13</v>
      </c>
      <c r="F1378" s="0" t="s">
        <v>13</v>
      </c>
      <c r="G1378" s="0" t="s">
        <v>54</v>
      </c>
      <c r="H1378" s="5">
        <v>464.421900</v>
      </c>
    </row>
    <row r="1379" spans="1:9">
      <c r="A1379" s="22" t="str">
        <f>HYPERLINK("https://app.vivvix.com/360/KMI/IntelliDrive/ApplUI/Pages/CreativePages/CustomReportCreativeDetail.aspx?App=23&amp;ReportView=4&amp;Qid=1711245&amp;Row=1371&amp;Col=1","No Title Assigned - #15275313700")</f>
        <v/>
      </c>
      <c r="B1379" s="0" t="s">
        <v>2013</v>
      </c>
      <c r="C1379" s="0" t="s">
        <v>2014</v>
      </c>
      <c r="D1379" s="0" t="s">
        <v>2014</v>
      </c>
      <c r="E1379" s="0" t="s">
        <v>13</v>
      </c>
      <c r="F1379" s="0" t="s">
        <v>14</v>
      </c>
      <c r="G1379" s="0" t="s">
        <v>15</v>
      </c>
      <c r="H1379" s="5">
        <v>2147.695300</v>
      </c>
    </row>
    <row r="1380" spans="1:9">
      <c r="A1380" s="22" t="str">
        <f>HYPERLINK("https://app.vivvix.com/360/KMI/IntelliDrive/ApplUI/Pages/CreativePages/CustomReportCreativeDetail.aspx?App=23&amp;ReportView=4&amp;Qid=1711245&amp;Row=1372&amp;Col=1","No Title Assigned - #15275314349")</f>
        <v/>
      </c>
      <c r="B1380" s="0" t="s">
        <v>2015</v>
      </c>
      <c r="C1380" s="0" t="s">
        <v>2016</v>
      </c>
      <c r="D1380" s="0" t="s">
        <v>1835</v>
      </c>
      <c r="E1380" s="0" t="s">
        <v>13</v>
      </c>
      <c r="F1380" s="0" t="s">
        <v>28</v>
      </c>
      <c r="G1380" s="0" t="s">
        <v>453</v>
      </c>
      <c r="H1380" s="5">
        <v>1626.215900</v>
      </c>
    </row>
    <row r="1381" spans="1:9">
      <c r="A1381" s="22" t="str">
        <f>HYPERLINK("https://app.vivvix.com/360/KMI/IntelliDrive/ApplUI/Pages/CreativePages/CustomReportCreativeDetail.aspx?App=23&amp;ReportView=4&amp;Qid=1711245&amp;Row=1373&amp;Col=1","No Title Assigned - #15275318982")</f>
        <v/>
      </c>
      <c r="B1381" s="0" t="s">
        <v>2017</v>
      </c>
      <c r="C1381" s="0" t="s">
        <v>2018</v>
      </c>
      <c r="D1381" s="0" t="s">
        <v>2018</v>
      </c>
      <c r="E1381" s="0" t="s">
        <v>13</v>
      </c>
      <c r="F1381" s="0" t="s">
        <v>540</v>
      </c>
      <c r="G1381" s="0" t="s">
        <v>541</v>
      </c>
      <c r="H1381" s="5">
        <v>247.046100</v>
      </c>
    </row>
    <row r="1382" spans="1:9">
      <c r="A1382" s="22" t="str">
        <f>HYPERLINK("https://app.vivvix.com/360/KMI/IntelliDrive/ApplUI/Pages/CreativePages/CustomReportCreativeDetail.aspx?App=23&amp;ReportView=4&amp;Qid=1711245&amp;Row=1374&amp;Col=1","No Title Assigned - #15275318997")</f>
        <v/>
      </c>
      <c r="B1382" s="0" t="s">
        <v>2019</v>
      </c>
      <c r="C1382" s="0" t="s">
        <v>2020</v>
      </c>
      <c r="D1382" s="0" t="s">
        <v>1818</v>
      </c>
      <c r="E1382" s="0" t="s">
        <v>13</v>
      </c>
      <c r="F1382" s="0" t="s">
        <v>540</v>
      </c>
      <c r="G1382" s="0" t="s">
        <v>541</v>
      </c>
      <c r="H1382" s="5">
        <v>1065.952400</v>
      </c>
    </row>
    <row r="1383" spans="1:9">
      <c r="A1383" s="22" t="str">
        <f>HYPERLINK("https://app.vivvix.com/360/KMI/IntelliDrive/ApplUI/Pages/CreativePages/CustomReportCreativeDetail.aspx?App=23&amp;ReportView=4&amp;Qid=1711245&amp;Row=1375&amp;Col=1","No Title Assigned - #15275320041")</f>
        <v/>
      </c>
      <c r="B1383" s="0" t="s">
        <v>2021</v>
      </c>
      <c r="C1383" s="0" t="s">
        <v>2022</v>
      </c>
      <c r="D1383" s="0" t="s">
        <v>2022</v>
      </c>
      <c r="E1383" s="0" t="s">
        <v>13</v>
      </c>
      <c r="F1383" s="0" t="s">
        <v>17</v>
      </c>
      <c r="G1383" s="0" t="s">
        <v>446</v>
      </c>
      <c r="H1383" s="5">
        <v>397.111200</v>
      </c>
    </row>
    <row r="1384" spans="1:9">
      <c r="A1384" s="22" t="str">
        <f>HYPERLINK("https://app.vivvix.com/360/KMI/IntelliDrive/ApplUI/Pages/CreativePages/CustomReportCreativeDetail.aspx?App=23&amp;ReportView=4&amp;Qid=1711245&amp;Row=1376&amp;Col=1","No Title Assigned - #15275320262")</f>
        <v/>
      </c>
      <c r="B1384" s="0" t="s">
        <v>2023</v>
      </c>
      <c r="E1384" s="0" t="s">
        <v>13</v>
      </c>
      <c r="F1384" s="0" t="s">
        <v>13</v>
      </c>
      <c r="G1384" s="0" t="s">
        <v>54</v>
      </c>
      <c r="H1384" s="5">
        <v>523.477700</v>
      </c>
    </row>
    <row r="1385" spans="1:9">
      <c r="A1385" s="22" t="str">
        <f>HYPERLINK("https://app.vivvix.com/360/KMI/IntelliDrive/ApplUI/Pages/CreativePages/CustomReportCreativeDetail.aspx?App=23&amp;ReportView=4&amp;Qid=1711245&amp;Row=1377&amp;Col=1","No Title Assigned - #15275335178")</f>
        <v/>
      </c>
      <c r="B1385" s="0" t="s">
        <v>2024</v>
      </c>
      <c r="E1385" s="0" t="s">
        <v>13</v>
      </c>
      <c r="F1385" s="0" t="s">
        <v>13</v>
      </c>
      <c r="G1385" s="0" t="s">
        <v>35</v>
      </c>
      <c r="H1385" s="5">
        <v>2010.236300</v>
      </c>
    </row>
    <row r="1386" spans="1:9">
      <c r="A1386" s="22" t="str">
        <f>HYPERLINK("https://app.vivvix.com/360/KMI/IntelliDrive/ApplUI/Pages/CreativePages/CustomReportCreativeDetail.aspx?App=23&amp;ReportView=4&amp;Qid=1711245&amp;Row=1378&amp;Col=1","No Title Assigned - #15275336864")</f>
        <v/>
      </c>
      <c r="B1386" s="0" t="s">
        <v>2025</v>
      </c>
      <c r="E1386" s="0" t="s">
        <v>13</v>
      </c>
      <c r="F1386" s="0" t="s">
        <v>13</v>
      </c>
      <c r="G1386" s="0" t="s">
        <v>54</v>
      </c>
      <c r="H1386" s="5">
        <v>200.437300</v>
      </c>
    </row>
    <row r="1387" spans="1:9">
      <c r="A1387" s="22" t="str">
        <f>HYPERLINK("https://app.vivvix.com/360/KMI/IntelliDrive/ApplUI/Pages/CreativePages/CustomReportCreativeDetail.aspx?App=23&amp;ReportView=4&amp;Qid=1711245&amp;Row=1379&amp;Col=1","No Title Assigned - #15275340682")</f>
        <v/>
      </c>
      <c r="B1387" s="0" t="s">
        <v>2026</v>
      </c>
      <c r="E1387" s="0" t="s">
        <v>13</v>
      </c>
      <c r="F1387" s="0" t="s">
        <v>13</v>
      </c>
      <c r="G1387" s="0" t="s">
        <v>54</v>
      </c>
      <c r="H1387" s="5">
        <v>869.706000</v>
      </c>
    </row>
    <row r="1388" spans="1:9">
      <c r="A1388" s="22" t="str">
        <f>HYPERLINK("https://app.vivvix.com/360/KMI/IntelliDrive/ApplUI/Pages/CreativePages/CustomReportCreativeDetail.aspx?App=23&amp;ReportView=4&amp;Qid=1711245&amp;Row=1380&amp;Col=1","No Title Assigned - #15275342007")</f>
        <v/>
      </c>
      <c r="B1388" s="0" t="s">
        <v>2027</v>
      </c>
      <c r="E1388" s="0" t="s">
        <v>13</v>
      </c>
      <c r="F1388" s="0" t="s">
        <v>13</v>
      </c>
      <c r="G1388" s="0" t="s">
        <v>54</v>
      </c>
      <c r="H1388" s="5">
        <v>927.589200</v>
      </c>
    </row>
    <row r="1389" spans="1:9">
      <c r="A1389" s="22" t="str">
        <f>HYPERLINK("https://app.vivvix.com/360/KMI/IntelliDrive/ApplUI/Pages/CreativePages/CustomReportCreativeDetail.aspx?App=23&amp;ReportView=4&amp;Qid=1711245&amp;Row=1381&amp;Col=1","No Title Assigned - #15275346411")</f>
        <v/>
      </c>
      <c r="B1389" s="0" t="s">
        <v>2028</v>
      </c>
      <c r="E1389" s="0" t="s">
        <v>13</v>
      </c>
      <c r="F1389" s="0" t="s">
        <v>13</v>
      </c>
      <c r="G1389" s="0" t="s">
        <v>54</v>
      </c>
      <c r="H1389" s="5">
        <v>510.719800</v>
      </c>
    </row>
    <row r="1390" spans="1:9">
      <c r="A1390" s="22" t="str">
        <f>HYPERLINK("https://app.vivvix.com/360/KMI/IntelliDrive/ApplUI/Pages/CreativePages/CustomReportCreativeDetail.aspx?App=23&amp;ReportView=4&amp;Qid=1711245&amp;Row=1382&amp;Col=1","No Title Assigned - #15275349358")</f>
        <v/>
      </c>
      <c r="B1390" s="0" t="s">
        <v>2029</v>
      </c>
      <c r="E1390" s="0" t="s">
        <v>13</v>
      </c>
      <c r="F1390" s="0" t="s">
        <v>13</v>
      </c>
      <c r="G1390" s="0" t="s">
        <v>54</v>
      </c>
      <c r="H1390" s="5">
        <v>470.301300</v>
      </c>
    </row>
    <row r="1391" spans="1:9">
      <c r="A1391" s="22" t="str">
        <f>HYPERLINK("https://app.vivvix.com/360/KMI/IntelliDrive/ApplUI/Pages/CreativePages/CustomReportCreativeDetail.aspx?App=23&amp;ReportView=4&amp;Qid=1711245&amp;Row=1383&amp;Col=1","No Title Assigned - #15275415842")</f>
        <v/>
      </c>
      <c r="B1391" s="0" t="s">
        <v>2030</v>
      </c>
      <c r="E1391" s="0" t="s">
        <v>13</v>
      </c>
      <c r="F1391" s="0" t="s">
        <v>13</v>
      </c>
      <c r="G1391" s="0" t="s">
        <v>54</v>
      </c>
      <c r="H1391" s="5">
        <v>176.890000</v>
      </c>
    </row>
    <row r="1392" spans="1:9">
      <c r="A1392" s="22" t="str">
        <f>HYPERLINK("https://app.vivvix.com/360/KMI/IntelliDrive/ApplUI/Pages/CreativePages/CustomReportCreativeDetail.aspx?App=23&amp;ReportView=4&amp;Qid=1711245&amp;Row=1384&amp;Col=1","No Title Assigned - #15275415844")</f>
        <v/>
      </c>
      <c r="B1392" s="0" t="s">
        <v>2031</v>
      </c>
      <c r="E1392" s="0" t="s">
        <v>13</v>
      </c>
      <c r="F1392" s="0" t="s">
        <v>13</v>
      </c>
      <c r="G1392" s="0" t="s">
        <v>54</v>
      </c>
      <c r="H1392" s="5">
        <v>176.890000</v>
      </c>
    </row>
    <row r="1393" spans="1:9">
      <c r="A1393" s="22" t="str">
        <f>HYPERLINK("https://app.vivvix.com/360/KMI/IntelliDrive/ApplUI/Pages/CreativePages/CustomReportCreativeDetail.aspx?App=23&amp;ReportView=4&amp;Qid=1711245&amp;Row=1385&amp;Col=1","No Title Assigned - #15275441976")</f>
        <v/>
      </c>
      <c r="B1393" s="0" t="s">
        <v>2032</v>
      </c>
      <c r="E1393" s="0" t="s">
        <v>13</v>
      </c>
      <c r="F1393" s="0" t="s">
        <v>13</v>
      </c>
      <c r="G1393" s="0" t="s">
        <v>35</v>
      </c>
    </row>
    <row r="1394" spans="1:9">
      <c r="A1394" s="22" t="str">
        <f>HYPERLINK("https://app.vivvix.com/360/KMI/IntelliDrive/ApplUI/Pages/CreativePages/CustomReportCreativeDetail.aspx?App=23&amp;ReportView=4&amp;Qid=1711245&amp;Row=1386&amp;Col=1","No Title Assigned - #15275460581")</f>
        <v/>
      </c>
      <c r="B1394" s="0" t="s">
        <v>2033</v>
      </c>
      <c r="E1394" s="0" t="s">
        <v>13</v>
      </c>
      <c r="F1394" s="0" t="s">
        <v>13</v>
      </c>
      <c r="G1394" s="0" t="s">
        <v>54</v>
      </c>
      <c r="H1394" s="5">
        <v>21423.562900</v>
      </c>
    </row>
    <row r="1395" spans="1:9">
      <c r="A1395" s="22" t="str">
        <f>HYPERLINK("https://app.vivvix.com/360/KMI/IntelliDrive/ApplUI/Pages/CreativePages/CustomReportCreativeDetail.aspx?App=23&amp;ReportView=4&amp;Qid=1711245&amp;Row=1387&amp;Col=1","No Title Assigned - #15275461525")</f>
        <v/>
      </c>
      <c r="B1395" s="0" t="s">
        <v>2034</v>
      </c>
      <c r="E1395" s="0" t="s">
        <v>13</v>
      </c>
      <c r="F1395" s="0" t="s">
        <v>13</v>
      </c>
      <c r="G1395" s="0" t="s">
        <v>54</v>
      </c>
      <c r="H1395" s="5">
        <v>878.230300</v>
      </c>
    </row>
    <row r="1396" spans="1:9">
      <c r="A1396" s="22" t="str">
        <f>HYPERLINK("https://app.vivvix.com/360/KMI/IntelliDrive/ApplUI/Pages/CreativePages/CustomReportCreativeDetail.aspx?App=23&amp;ReportView=4&amp;Qid=1711245&amp;Row=1388&amp;Col=1","No Title Assigned - #15275461808")</f>
        <v/>
      </c>
      <c r="B1396" s="0" t="s">
        <v>2035</v>
      </c>
      <c r="E1396" s="0" t="s">
        <v>13</v>
      </c>
      <c r="F1396" s="0" t="s">
        <v>13</v>
      </c>
      <c r="G1396" s="0" t="s">
        <v>54</v>
      </c>
      <c r="H1396" s="5">
        <v>2634.690900</v>
      </c>
    </row>
    <row r="1397" spans="1:9">
      <c r="A1397" s="22" t="str">
        <f>HYPERLINK("https://app.vivvix.com/360/KMI/IntelliDrive/ApplUI/Pages/CreativePages/CustomReportCreativeDetail.aspx?App=23&amp;ReportView=4&amp;Qid=1711245&amp;Row=1389&amp;Col=1","No Title Assigned - #15275461823")</f>
        <v/>
      </c>
      <c r="B1397" s="0" t="s">
        <v>2036</v>
      </c>
      <c r="E1397" s="0" t="s">
        <v>13</v>
      </c>
      <c r="F1397" s="0" t="s">
        <v>13</v>
      </c>
      <c r="G1397" s="0" t="s">
        <v>54</v>
      </c>
      <c r="H1397" s="5">
        <v>878.230300</v>
      </c>
    </row>
    <row r="1398" spans="1:9">
      <c r="A1398" s="22" t="str">
        <f>HYPERLINK("https://app.vivvix.com/360/KMI/IntelliDrive/ApplUI/Pages/CreativePages/CustomReportCreativeDetail.aspx?App=23&amp;ReportView=4&amp;Qid=1711245&amp;Row=1390&amp;Col=1","No Title Assigned - #15275466143")</f>
        <v/>
      </c>
      <c r="B1398" s="0" t="s">
        <v>2037</v>
      </c>
      <c r="E1398" s="0" t="s">
        <v>13</v>
      </c>
      <c r="F1398" s="0" t="s">
        <v>13</v>
      </c>
      <c r="G1398" s="0" t="s">
        <v>54</v>
      </c>
      <c r="H1398" s="5">
        <v>5440.659400</v>
      </c>
    </row>
    <row r="1399" spans="1:9">
      <c r="A1399" s="22" t="str">
        <f>HYPERLINK("https://app.vivvix.com/360/KMI/IntelliDrive/ApplUI/Pages/CreativePages/CustomReportCreativeDetail.aspx?App=23&amp;ReportView=4&amp;Qid=1711245&amp;Row=1391&amp;Col=1","No Title Assigned - #15275472204")</f>
        <v/>
      </c>
      <c r="B1399" s="0" t="s">
        <v>2038</v>
      </c>
      <c r="E1399" s="0" t="s">
        <v>13</v>
      </c>
      <c r="F1399" s="0" t="s">
        <v>13</v>
      </c>
      <c r="G1399" s="0" t="s">
        <v>54</v>
      </c>
      <c r="H1399" s="5">
        <v>230.546100</v>
      </c>
    </row>
    <row r="1400" spans="1:9">
      <c r="A1400" s="22" t="str">
        <f>HYPERLINK("https://app.vivvix.com/360/KMI/IntelliDrive/ApplUI/Pages/CreativePages/CustomReportCreativeDetail.aspx?App=23&amp;ReportView=4&amp;Qid=1711245&amp;Row=1392&amp;Col=1","No Title Assigned - #15275475207")</f>
        <v/>
      </c>
      <c r="B1400" s="0" t="s">
        <v>2039</v>
      </c>
      <c r="E1400" s="0" t="s">
        <v>13</v>
      </c>
      <c r="F1400" s="0" t="s">
        <v>13</v>
      </c>
      <c r="G1400" s="0" t="s">
        <v>54</v>
      </c>
      <c r="H1400" s="5">
        <v>886.065400</v>
      </c>
    </row>
    <row r="1401" spans="1:9">
      <c r="A1401" s="22" t="str">
        <f>HYPERLINK("https://app.vivvix.com/360/KMI/IntelliDrive/ApplUI/Pages/CreativePages/CustomReportCreativeDetail.aspx?App=23&amp;ReportView=4&amp;Qid=1711245&amp;Row=1393&amp;Col=1","No Title Assigned - #15275475208")</f>
        <v/>
      </c>
      <c r="B1401" s="0" t="s">
        <v>2040</v>
      </c>
      <c r="E1401" s="0" t="s">
        <v>13</v>
      </c>
      <c r="F1401" s="0" t="s">
        <v>13</v>
      </c>
      <c r="G1401" s="0" t="s">
        <v>54</v>
      </c>
      <c r="H1401" s="5">
        <v>936.990900</v>
      </c>
    </row>
    <row r="1402" spans="1:9">
      <c r="A1402" s="22" t="str">
        <f>HYPERLINK("https://app.vivvix.com/360/KMI/IntelliDrive/ApplUI/Pages/CreativePages/CustomReportCreativeDetail.aspx?App=23&amp;ReportView=4&amp;Qid=1711245&amp;Row=1394&amp;Col=1","No Title Assigned - #15275475271")</f>
        <v/>
      </c>
      <c r="B1402" s="0" t="s">
        <v>2041</v>
      </c>
      <c r="E1402" s="0" t="s">
        <v>13</v>
      </c>
      <c r="F1402" s="0" t="s">
        <v>13</v>
      </c>
      <c r="G1402" s="0" t="s">
        <v>54</v>
      </c>
      <c r="H1402" s="5">
        <v>6997.422700</v>
      </c>
    </row>
    <row r="1403" spans="1:9">
      <c r="A1403" s="22" t="str">
        <f>HYPERLINK("https://app.vivvix.com/360/KMI/IntelliDrive/ApplUI/Pages/CreativePages/CustomReportCreativeDetail.aspx?App=23&amp;ReportView=4&amp;Qid=1711245&amp;Row=1395&amp;Col=1","No Title Assigned - #15275488014")</f>
        <v/>
      </c>
      <c r="B1403" s="0" t="s">
        <v>2042</v>
      </c>
      <c r="E1403" s="0" t="s">
        <v>13</v>
      </c>
      <c r="F1403" s="0" t="s">
        <v>13</v>
      </c>
      <c r="G1403" s="0" t="s">
        <v>54</v>
      </c>
      <c r="H1403" s="5">
        <v>620.663800</v>
      </c>
    </row>
    <row r="1404" spans="1:9">
      <c r="A1404" s="22" t="str">
        <f>HYPERLINK("https://app.vivvix.com/360/KMI/IntelliDrive/ApplUI/Pages/CreativePages/CustomReportCreativeDetail.aspx?App=23&amp;ReportView=4&amp;Qid=1711245&amp;Row=1396&amp;Col=1","No Title Assigned - #15275491198")</f>
        <v/>
      </c>
      <c r="B1404" s="0" t="s">
        <v>2043</v>
      </c>
      <c r="C1404" s="0" t="s">
        <v>2044</v>
      </c>
      <c r="D1404" s="0" t="s">
        <v>2044</v>
      </c>
      <c r="E1404" s="0" t="s">
        <v>13</v>
      </c>
      <c r="F1404" s="0" t="s">
        <v>14</v>
      </c>
      <c r="G1404" s="0" t="s">
        <v>15</v>
      </c>
      <c r="H1404" s="5">
        <v>869.706000</v>
      </c>
    </row>
    <row r="1405" spans="1:9">
      <c r="A1405" s="22" t="str">
        <f>HYPERLINK("https://app.vivvix.com/360/KMI/IntelliDrive/ApplUI/Pages/CreativePages/CustomReportCreativeDetail.aspx?App=23&amp;ReportView=4&amp;Qid=1711245&amp;Row=1397&amp;Col=1","No Title Assigned - #15275500187")</f>
        <v/>
      </c>
      <c r="B1405" s="0" t="s">
        <v>2045</v>
      </c>
      <c r="C1405" s="0" t="s">
        <v>2046</v>
      </c>
      <c r="D1405" s="0" t="s">
        <v>2046</v>
      </c>
      <c r="E1405" s="0" t="s">
        <v>13</v>
      </c>
      <c r="F1405" s="0" t="s">
        <v>14</v>
      </c>
      <c r="G1405" s="0" t="s">
        <v>15</v>
      </c>
      <c r="H1405" s="5">
        <v>68580.242300</v>
      </c>
    </row>
    <row r="1406" spans="1:9">
      <c r="A1406" s="22" t="str">
        <f>HYPERLINK("https://app.vivvix.com/360/KMI/IntelliDrive/ApplUI/Pages/CreativePages/CustomReportCreativeDetail.aspx?App=23&amp;ReportView=4&amp;Qid=1711245&amp;Row=1398&amp;Col=1","No Title Assigned - #15275500867")</f>
        <v/>
      </c>
      <c r="B1406" s="0" t="s">
        <v>2047</v>
      </c>
      <c r="C1406" s="0" t="s">
        <v>2048</v>
      </c>
      <c r="D1406" s="0" t="s">
        <v>2048</v>
      </c>
      <c r="E1406" s="0" t="s">
        <v>13</v>
      </c>
      <c r="F1406" s="0" t="s">
        <v>14</v>
      </c>
      <c r="G1406" s="0" t="s">
        <v>15</v>
      </c>
      <c r="H1406" s="5">
        <v>472.998500</v>
      </c>
    </row>
    <row r="1407" spans="1:9">
      <c r="A1407" s="22" t="str">
        <f>HYPERLINK("https://app.vivvix.com/360/KMI/IntelliDrive/ApplUI/Pages/CreativePages/CustomReportCreativeDetail.aspx?App=23&amp;ReportView=4&amp;Qid=1711245&amp;Row=1399&amp;Col=1","No Title Assigned - #15275514961")</f>
        <v/>
      </c>
      <c r="B1407" s="0" t="s">
        <v>2049</v>
      </c>
      <c r="E1407" s="0" t="s">
        <v>13</v>
      </c>
      <c r="F1407" s="0" t="s">
        <v>13</v>
      </c>
      <c r="G1407" s="0" t="s">
        <v>35</v>
      </c>
      <c r="H1407" s="5">
        <v>132.165500</v>
      </c>
    </row>
    <row r="1408" spans="1:9">
      <c r="A1408" s="22" t="str">
        <f>HYPERLINK("https://app.vivvix.com/360/KMI/IntelliDrive/ApplUI/Pages/CreativePages/CustomReportCreativeDetail.aspx?App=23&amp;ReportView=4&amp;Qid=1711245&amp;Row=1400&amp;Col=1","No Title Assigned - #15275520302")</f>
        <v/>
      </c>
      <c r="B1408" s="0" t="s">
        <v>2050</v>
      </c>
      <c r="E1408" s="0" t="s">
        <v>13</v>
      </c>
      <c r="F1408" s="0" t="s">
        <v>13</v>
      </c>
      <c r="G1408" s="0" t="s">
        <v>35</v>
      </c>
    </row>
    <row r="1409" spans="1:9">
      <c r="A1409" s="22" t="str">
        <f>HYPERLINK("https://app.vivvix.com/360/KMI/IntelliDrive/ApplUI/Pages/CreativePages/CustomReportCreativeDetail.aspx?App=23&amp;ReportView=4&amp;Qid=1711245&amp;Row=1401&amp;Col=1","No Title Assigned - #15275527849")</f>
        <v/>
      </c>
      <c r="B1409" s="0" t="s">
        <v>2051</v>
      </c>
      <c r="C1409" s="0" t="s">
        <v>2052</v>
      </c>
      <c r="D1409" s="0" t="s">
        <v>2052</v>
      </c>
      <c r="E1409" s="0" t="s">
        <v>13</v>
      </c>
      <c r="F1409" s="0" t="s">
        <v>540</v>
      </c>
      <c r="G1409" s="0" t="s">
        <v>541</v>
      </c>
      <c r="H1409" s="5">
        <v>56.244500</v>
      </c>
    </row>
    <row r="1410" spans="1:9">
      <c r="A1410" s="22" t="str">
        <f>HYPERLINK("https://app.vivvix.com/360/KMI/IntelliDrive/ApplUI/Pages/CreativePages/CustomReportCreativeDetail.aspx?App=23&amp;ReportView=4&amp;Qid=1711245&amp;Row=1402&amp;Col=1","No Title Assigned - #15275537210")</f>
        <v/>
      </c>
      <c r="B1410" s="0" t="s">
        <v>2053</v>
      </c>
      <c r="E1410" s="0" t="s">
        <v>13</v>
      </c>
      <c r="F1410" s="0" t="s">
        <v>13</v>
      </c>
      <c r="G1410" s="0" t="s">
        <v>54</v>
      </c>
      <c r="H1410" s="5">
        <v>39441.180300</v>
      </c>
    </row>
    <row r="1411" spans="1:9">
      <c r="A1411" s="22" t="str">
        <f>HYPERLINK("https://app.vivvix.com/360/KMI/IntelliDrive/ApplUI/Pages/CreativePages/CustomReportCreativeDetail.aspx?App=23&amp;ReportView=4&amp;Qid=1711245&amp;Row=1403&amp;Col=1","No Title Assigned - #15275604662")</f>
        <v/>
      </c>
      <c r="B1411" s="0" t="s">
        <v>2054</v>
      </c>
      <c r="C1411" s="0" t="s">
        <v>2055</v>
      </c>
      <c r="D1411" s="0" t="s">
        <v>2055</v>
      </c>
      <c r="E1411" s="0" t="s">
        <v>13</v>
      </c>
      <c r="F1411" s="0" t="s">
        <v>14</v>
      </c>
      <c r="G1411" s="0" t="s">
        <v>15</v>
      </c>
      <c r="H1411" s="5">
        <v>965.207700</v>
      </c>
    </row>
    <row r="1412" spans="1:9">
      <c r="A1412" s="22" t="str">
        <f>HYPERLINK("https://app.vivvix.com/360/KMI/IntelliDrive/ApplUI/Pages/CreativePages/CustomReportCreativeDetail.aspx?App=23&amp;ReportView=4&amp;Qid=1711245&amp;Row=1404&amp;Col=1","No Title Assigned - #15275606998")</f>
        <v/>
      </c>
      <c r="B1412" s="0" t="s">
        <v>2056</v>
      </c>
      <c r="C1412" s="0" t="s">
        <v>2057</v>
      </c>
      <c r="D1412" s="0" t="s">
        <v>2057</v>
      </c>
      <c r="E1412" s="0" t="s">
        <v>13</v>
      </c>
      <c r="F1412" s="0" t="s">
        <v>14</v>
      </c>
      <c r="G1412" s="0" t="s">
        <v>15</v>
      </c>
      <c r="H1412" s="5">
        <v>2803.641200</v>
      </c>
    </row>
    <row r="1413" spans="1:9">
      <c r="A1413" s="22" t="str">
        <f>HYPERLINK("https://app.vivvix.com/360/KMI/IntelliDrive/ApplUI/Pages/CreativePages/CustomReportCreativeDetail.aspx?App=23&amp;ReportView=4&amp;Qid=1711245&amp;Row=1405&amp;Col=1","No Title Assigned - #15275607019")</f>
        <v/>
      </c>
      <c r="B1413" s="0" t="s">
        <v>2058</v>
      </c>
      <c r="E1413" s="0" t="s">
        <v>13</v>
      </c>
      <c r="F1413" s="0" t="s">
        <v>13</v>
      </c>
      <c r="G1413" s="0" t="s">
        <v>35</v>
      </c>
      <c r="H1413" s="5">
        <v>217.341300</v>
      </c>
    </row>
    <row r="1414" spans="1:9">
      <c r="A1414" s="22" t="str">
        <f>HYPERLINK("https://app.vivvix.com/360/KMI/IntelliDrive/ApplUI/Pages/CreativePages/CustomReportCreativeDetail.aspx?App=23&amp;ReportView=4&amp;Qid=1711245&amp;Row=1406&amp;Col=1","No Title Assigned - #15275649162")</f>
        <v/>
      </c>
      <c r="B1414" s="0" t="s">
        <v>2059</v>
      </c>
      <c r="E1414" s="0" t="s">
        <v>13</v>
      </c>
      <c r="F1414" s="0" t="s">
        <v>13</v>
      </c>
      <c r="G1414" s="0" t="s">
        <v>54</v>
      </c>
      <c r="H1414" s="5">
        <v>12.112400</v>
      </c>
    </row>
    <row r="1415" spans="1:9">
      <c r="A1415" s="22" t="str">
        <f>HYPERLINK("https://app.vivvix.com/360/KMI/IntelliDrive/ApplUI/Pages/CreativePages/CustomReportCreativeDetail.aspx?App=23&amp;ReportView=4&amp;Qid=1711245&amp;Row=1407&amp;Col=1","No Title Assigned - #15275658438")</f>
        <v/>
      </c>
      <c r="B1415" s="0" t="s">
        <v>2060</v>
      </c>
      <c r="E1415" s="0" t="s">
        <v>13</v>
      </c>
      <c r="F1415" s="0" t="s">
        <v>28</v>
      </c>
      <c r="G1415" s="0" t="s">
        <v>453</v>
      </c>
      <c r="H1415" s="5">
        <v>73.252800</v>
      </c>
    </row>
    <row r="1416" spans="1:9">
      <c r="A1416" s="22" t="str">
        <f>HYPERLINK("https://app.vivvix.com/360/KMI/IntelliDrive/ApplUI/Pages/CreativePages/CustomReportCreativeDetail.aspx?App=23&amp;ReportView=4&amp;Qid=1711245&amp;Row=1408&amp;Col=1","No Title Assigned - #15275658450")</f>
        <v/>
      </c>
      <c r="B1416" s="0" t="s">
        <v>2061</v>
      </c>
      <c r="E1416" s="0" t="s">
        <v>13</v>
      </c>
      <c r="F1416" s="0" t="s">
        <v>13</v>
      </c>
      <c r="G1416" s="0" t="s">
        <v>54</v>
      </c>
      <c r="H1416" s="5">
        <v>54.275300</v>
      </c>
    </row>
    <row r="1417" spans="1:9">
      <c r="A1417" s="22" t="str">
        <f>HYPERLINK("https://app.vivvix.com/360/KMI/IntelliDrive/ApplUI/Pages/CreativePages/CustomReportCreativeDetail.aspx?App=23&amp;ReportView=4&amp;Qid=1711245&amp;Row=1409&amp;Col=1","No Title Assigned - #15275707478")</f>
        <v/>
      </c>
      <c r="B1417" s="0" t="s">
        <v>2062</v>
      </c>
      <c r="E1417" s="0" t="s">
        <v>13</v>
      </c>
      <c r="F1417" s="0" t="s">
        <v>13</v>
      </c>
      <c r="G1417" s="0" t="s">
        <v>54</v>
      </c>
      <c r="H1417" s="5">
        <v>4457.749900</v>
      </c>
    </row>
    <row r="1418" spans="1:9">
      <c r="A1418" s="22" t="str">
        <f>HYPERLINK("https://app.vivvix.com/360/KMI/IntelliDrive/ApplUI/Pages/CreativePages/CustomReportCreativeDetail.aspx?App=23&amp;ReportView=4&amp;Qid=1711245&amp;Row=1410&amp;Col=1","No Title Assigned - #15275717140")</f>
        <v/>
      </c>
      <c r="B1418" s="0" t="s">
        <v>2063</v>
      </c>
      <c r="E1418" s="0" t="s">
        <v>13</v>
      </c>
      <c r="F1418" s="0" t="s">
        <v>13</v>
      </c>
      <c r="G1418" s="0" t="s">
        <v>54</v>
      </c>
      <c r="H1418" s="5">
        <v>4623.616600</v>
      </c>
    </row>
    <row r="1419" spans="1:9">
      <c r="A1419" s="22" t="str">
        <f>HYPERLINK("https://app.vivvix.com/360/KMI/IntelliDrive/ApplUI/Pages/CreativePages/CustomReportCreativeDetail.aspx?App=23&amp;ReportView=4&amp;Qid=1711245&amp;Row=1411&amp;Col=1","No Title Assigned - #15275718225")</f>
        <v/>
      </c>
      <c r="B1419" s="0" t="s">
        <v>2064</v>
      </c>
      <c r="E1419" s="0" t="s">
        <v>13</v>
      </c>
      <c r="F1419" s="0" t="s">
        <v>530</v>
      </c>
      <c r="G1419" s="0" t="s">
        <v>531</v>
      </c>
      <c r="H1419" s="5">
        <v>1026.742100</v>
      </c>
    </row>
    <row r="1420" spans="1:9">
      <c r="A1420" s="22" t="str">
        <f>HYPERLINK("https://app.vivvix.com/360/KMI/IntelliDrive/ApplUI/Pages/CreativePages/CustomReportCreativeDetail.aspx?App=23&amp;ReportView=4&amp;Qid=1711245&amp;Row=1412&amp;Col=1","No Title Assigned - #15275724971")</f>
        <v/>
      </c>
      <c r="B1420" s="0" t="s">
        <v>2065</v>
      </c>
      <c r="E1420" s="0" t="s">
        <v>13</v>
      </c>
      <c r="F1420" s="0" t="s">
        <v>13</v>
      </c>
      <c r="G1420" s="0" t="s">
        <v>54</v>
      </c>
      <c r="H1420" s="5">
        <v>59.866900</v>
      </c>
    </row>
    <row r="1421" spans="1:9">
      <c r="A1421" s="22" t="str">
        <f>HYPERLINK("https://app.vivvix.com/360/KMI/IntelliDrive/ApplUI/Pages/CreativePages/CustomReportCreativeDetail.aspx?App=23&amp;ReportView=4&amp;Qid=1711245&amp;Row=1413&amp;Col=1","No Title Assigned - #15275725260")</f>
        <v/>
      </c>
      <c r="B1421" s="0" t="s">
        <v>2066</v>
      </c>
      <c r="E1421" s="0" t="s">
        <v>13</v>
      </c>
      <c r="F1421" s="0" t="s">
        <v>13</v>
      </c>
      <c r="G1421" s="0" t="s">
        <v>54</v>
      </c>
      <c r="H1421" s="5">
        <v>1021.051500</v>
      </c>
    </row>
    <row r="1422" spans="1:9">
      <c r="A1422" s="22" t="str">
        <f>HYPERLINK("https://app.vivvix.com/360/KMI/IntelliDrive/ApplUI/Pages/CreativePages/CustomReportCreativeDetail.aspx?App=23&amp;ReportView=4&amp;Qid=1711245&amp;Row=1414&amp;Col=1","No Title Assigned - #15275812742")</f>
        <v/>
      </c>
      <c r="B1422" s="0" t="s">
        <v>2067</v>
      </c>
      <c r="E1422" s="0" t="s">
        <v>13</v>
      </c>
      <c r="F1422" s="0" t="s">
        <v>13</v>
      </c>
      <c r="G1422" s="0" t="s">
        <v>54</v>
      </c>
      <c r="H1422" s="5">
        <v>5719.887800</v>
      </c>
    </row>
    <row r="1423" spans="1:9">
      <c r="A1423" s="22" t="str">
        <f>HYPERLINK("https://app.vivvix.com/360/KMI/IntelliDrive/ApplUI/Pages/CreativePages/CustomReportCreativeDetail.aspx?App=23&amp;ReportView=4&amp;Qid=1711245&amp;Row=1415&amp;Col=1","No Title Assigned - #15275818377")</f>
        <v/>
      </c>
      <c r="B1423" s="0" t="s">
        <v>2068</v>
      </c>
      <c r="E1423" s="0" t="s">
        <v>13</v>
      </c>
      <c r="F1423" s="0" t="s">
        <v>13</v>
      </c>
      <c r="G1423" s="0" t="s">
        <v>54</v>
      </c>
      <c r="H1423" s="5">
        <v>598.870900</v>
      </c>
    </row>
    <row r="1424" spans="1:9">
      <c r="A1424" s="22" t="str">
        <f>HYPERLINK("https://app.vivvix.com/360/KMI/IntelliDrive/ApplUI/Pages/CreativePages/CustomReportCreativeDetail.aspx?App=23&amp;ReportView=4&amp;Qid=1711245&amp;Row=1416&amp;Col=1","No Title Assigned - #15275856668")</f>
        <v/>
      </c>
      <c r="B1424" s="0" t="s">
        <v>2069</v>
      </c>
      <c r="E1424" s="0" t="s">
        <v>13</v>
      </c>
      <c r="F1424" s="0" t="s">
        <v>17</v>
      </c>
      <c r="G1424" s="0" t="s">
        <v>446</v>
      </c>
      <c r="H1424" s="5">
        <v>5599.116300</v>
      </c>
    </row>
    <row r="1425" spans="1:9">
      <c r="A1425" s="22" t="str">
        <f>HYPERLINK("https://app.vivvix.com/360/KMI/IntelliDrive/ApplUI/Pages/CreativePages/CustomReportCreativeDetail.aspx?App=23&amp;ReportView=4&amp;Qid=1711245&amp;Row=1417&amp;Col=1","No Title Assigned - #15275867635")</f>
        <v/>
      </c>
      <c r="B1425" s="0" t="s">
        <v>2070</v>
      </c>
      <c r="E1425" s="0" t="s">
        <v>13</v>
      </c>
      <c r="F1425" s="0" t="s">
        <v>13</v>
      </c>
      <c r="G1425" s="0" t="s">
        <v>35</v>
      </c>
    </row>
    <row r="1426" spans="1:9">
      <c r="A1426" s="22" t="str">
        <f>HYPERLINK("https://app.vivvix.com/360/KMI/IntelliDrive/ApplUI/Pages/CreativePages/CustomReportCreativeDetail.aspx?App=23&amp;ReportView=4&amp;Qid=1711245&amp;Row=1418&amp;Col=1","No Title Assigned - #15275867881")</f>
        <v/>
      </c>
      <c r="B1426" s="0" t="s">
        <v>2071</v>
      </c>
      <c r="E1426" s="0" t="s">
        <v>13</v>
      </c>
      <c r="F1426" s="0" t="s">
        <v>540</v>
      </c>
      <c r="G1426" s="0" t="s">
        <v>541</v>
      </c>
      <c r="H1426" s="5">
        <v>516.563000</v>
      </c>
    </row>
    <row r="1427" spans="1:9">
      <c r="A1427" s="22" t="str">
        <f>HYPERLINK("https://app.vivvix.com/360/KMI/IntelliDrive/ApplUI/Pages/CreativePages/CustomReportCreativeDetail.aspx?App=23&amp;ReportView=4&amp;Qid=1711245&amp;Row=1419&amp;Col=1","No Title Assigned - #15275867905")</f>
        <v/>
      </c>
      <c r="B1427" s="0" t="s">
        <v>2072</v>
      </c>
      <c r="E1427" s="0" t="s">
        <v>13</v>
      </c>
      <c r="F1427" s="0" t="s">
        <v>13</v>
      </c>
      <c r="G1427" s="0" t="s">
        <v>35</v>
      </c>
      <c r="H1427" s="5">
        <v>34.136100</v>
      </c>
    </row>
    <row r="1428" spans="1:9">
      <c r="A1428" s="22" t="str">
        <f>HYPERLINK("https://app.vivvix.com/360/KMI/IntelliDrive/ApplUI/Pages/CreativePages/CustomReportCreativeDetail.aspx?App=23&amp;ReportView=4&amp;Qid=1711245&amp;Row=1420&amp;Col=1","No Title Assigned - #15275897554")</f>
        <v/>
      </c>
      <c r="B1428" s="0" t="s">
        <v>2073</v>
      </c>
      <c r="E1428" s="0" t="s">
        <v>13</v>
      </c>
      <c r="F1428" s="0" t="s">
        <v>13</v>
      </c>
      <c r="G1428" s="0" t="s">
        <v>54</v>
      </c>
      <c r="H1428" s="5">
        <v>792.949300</v>
      </c>
    </row>
    <row r="1429" spans="1:9">
      <c r="A1429" s="22" t="str">
        <f>HYPERLINK("https://app.vivvix.com/360/KMI/IntelliDrive/ApplUI/Pages/CreativePages/CustomReportCreativeDetail.aspx?App=23&amp;ReportView=4&amp;Qid=1711245&amp;Row=1421&amp;Col=1","No Title Assigned - #15276017691")</f>
        <v/>
      </c>
      <c r="B1429" s="0" t="s">
        <v>2074</v>
      </c>
      <c r="E1429" s="0" t="s">
        <v>13</v>
      </c>
      <c r="F1429" s="0" t="s">
        <v>13</v>
      </c>
      <c r="G1429" s="0" t="s">
        <v>54</v>
      </c>
      <c r="H1429" s="5">
        <v>33.422100</v>
      </c>
    </row>
    <row r="1430" spans="1:9">
      <c r="A1430" s="22" t="str">
        <f>HYPERLINK("https://app.vivvix.com/360/KMI/IntelliDrive/ApplUI/Pages/CreativePages/CustomReportCreativeDetail.aspx?App=23&amp;ReportView=4&amp;Qid=1711245&amp;Row=1422&amp;Col=1","No Title Assigned - #15276021418")</f>
        <v/>
      </c>
      <c r="B1430" s="0" t="s">
        <v>2075</v>
      </c>
      <c r="E1430" s="0" t="s">
        <v>13</v>
      </c>
      <c r="F1430" s="0" t="s">
        <v>13</v>
      </c>
      <c r="G1430" s="0" t="s">
        <v>54</v>
      </c>
      <c r="H1430" s="5">
        <v>25115.186000</v>
      </c>
    </row>
    <row r="1431" spans="1:9">
      <c r="A1431" s="22" t="str">
        <f>HYPERLINK("https://app.vivvix.com/360/KMI/IntelliDrive/ApplUI/Pages/CreativePages/CustomReportCreativeDetail.aspx?App=23&amp;ReportView=4&amp;Qid=1711245&amp;Row=1423&amp;Col=1","No Title Assigned - #15276021422")</f>
        <v/>
      </c>
      <c r="B1431" s="0" t="s">
        <v>2076</v>
      </c>
      <c r="E1431" s="0" t="s">
        <v>13</v>
      </c>
      <c r="F1431" s="0" t="s">
        <v>13</v>
      </c>
      <c r="G1431" s="0" t="s">
        <v>54</v>
      </c>
      <c r="H1431" s="5">
        <v>17494.234100</v>
      </c>
    </row>
    <row r="1432" spans="1:9">
      <c r="A1432" s="22" t="str">
        <f>HYPERLINK("https://app.vivvix.com/360/KMI/IntelliDrive/ApplUI/Pages/CreativePages/CustomReportCreativeDetail.aspx?App=23&amp;ReportView=4&amp;Qid=1711245&amp;Row=1424&amp;Col=1","No Title Assigned - #15276022964")</f>
        <v/>
      </c>
      <c r="B1432" s="0" t="s">
        <v>2077</v>
      </c>
      <c r="E1432" s="0" t="s">
        <v>13</v>
      </c>
      <c r="F1432" s="0" t="s">
        <v>13</v>
      </c>
      <c r="G1432" s="0" t="s">
        <v>54</v>
      </c>
      <c r="H1432" s="5">
        <v>4094.782700</v>
      </c>
    </row>
    <row r="1433" spans="1:9">
      <c r="A1433" s="22" t="str">
        <f>HYPERLINK("https://app.vivvix.com/360/KMI/IntelliDrive/ApplUI/Pages/CreativePages/CustomReportCreativeDetail.aspx?App=23&amp;ReportView=4&amp;Qid=1711245&amp;Row=1425&amp;Col=1","No Title Assigned - #15276026431")</f>
        <v/>
      </c>
      <c r="B1433" s="0" t="s">
        <v>2078</v>
      </c>
      <c r="E1433" s="0" t="s">
        <v>13</v>
      </c>
      <c r="F1433" s="0" t="s">
        <v>13</v>
      </c>
      <c r="G1433" s="0" t="s">
        <v>54</v>
      </c>
      <c r="H1433" s="5">
        <v>14590.463000</v>
      </c>
    </row>
    <row r="1434" spans="1:9">
      <c r="A1434" s="22" t="str">
        <f>HYPERLINK("https://app.vivvix.com/360/KMI/IntelliDrive/ApplUI/Pages/CreativePages/CustomReportCreativeDetail.aspx?App=23&amp;ReportView=4&amp;Qid=1711245&amp;Row=1426&amp;Col=1","No Title Assigned - #15276026759")</f>
        <v/>
      </c>
      <c r="B1434" s="0" t="s">
        <v>2079</v>
      </c>
      <c r="E1434" s="0" t="s">
        <v>13</v>
      </c>
      <c r="F1434" s="0" t="s">
        <v>13</v>
      </c>
      <c r="G1434" s="0" t="s">
        <v>54</v>
      </c>
      <c r="H1434" s="5">
        <v>8767.212600</v>
      </c>
    </row>
    <row r="1435" spans="1:9">
      <c r="A1435" s="22" t="str">
        <f>HYPERLINK("https://app.vivvix.com/360/KMI/IntelliDrive/ApplUI/Pages/CreativePages/CustomReportCreativeDetail.aspx?App=23&amp;ReportView=4&amp;Qid=1711245&amp;Row=1427&amp;Col=1","No Title Assigned - #15276046168")</f>
        <v/>
      </c>
      <c r="B1435" s="0" t="s">
        <v>2080</v>
      </c>
      <c r="E1435" s="0" t="s">
        <v>13</v>
      </c>
      <c r="F1435" s="0" t="s">
        <v>13</v>
      </c>
      <c r="G1435" s="0" t="s">
        <v>54</v>
      </c>
      <c r="H1435" s="5">
        <v>1216.218800</v>
      </c>
    </row>
    <row r="1436" spans="1:9">
      <c r="A1436" s="22" t="str">
        <f>HYPERLINK("https://app.vivvix.com/360/KMI/IntelliDrive/ApplUI/Pages/CreativePages/CustomReportCreativeDetail.aspx?App=23&amp;ReportView=4&amp;Qid=1711245&amp;Row=1428&amp;Col=1","No Title Assigned - #15276049102")</f>
        <v/>
      </c>
      <c r="B1436" s="0" t="s">
        <v>2081</v>
      </c>
      <c r="E1436" s="0" t="s">
        <v>13</v>
      </c>
      <c r="F1436" s="0" t="s">
        <v>13</v>
      </c>
      <c r="G1436" s="0" t="s">
        <v>54</v>
      </c>
      <c r="H1436" s="5">
        <v>798.120200</v>
      </c>
    </row>
    <row r="1437" spans="1:9">
      <c r="A1437" s="22" t="str">
        <f>HYPERLINK("https://app.vivvix.com/360/KMI/IntelliDrive/ApplUI/Pages/CreativePages/CustomReportCreativeDetail.aspx?App=23&amp;ReportView=4&amp;Qid=1711245&amp;Row=1429&amp;Col=1","No Title Assigned - #15276059854")</f>
        <v/>
      </c>
      <c r="B1437" s="0" t="s">
        <v>2082</v>
      </c>
      <c r="E1437" s="0" t="s">
        <v>13</v>
      </c>
      <c r="F1437" s="0" t="s">
        <v>13</v>
      </c>
      <c r="G1437" s="0" t="s">
        <v>54</v>
      </c>
      <c r="H1437" s="5">
        <v>15349.065800</v>
      </c>
    </row>
    <row r="1438" spans="1:9">
      <c r="A1438" s="22" t="str">
        <f>HYPERLINK("https://app.vivvix.com/360/KMI/IntelliDrive/ApplUI/Pages/CreativePages/CustomReportCreativeDetail.aspx?App=23&amp;ReportView=4&amp;Qid=1711245&amp;Row=1430&amp;Col=1","No Title Assigned - #15276088822")</f>
        <v/>
      </c>
      <c r="B1438" s="0" t="s">
        <v>2083</v>
      </c>
      <c r="C1438" s="0" t="s">
        <v>2084</v>
      </c>
      <c r="D1438" s="0" t="s">
        <v>2084</v>
      </c>
      <c r="E1438" s="0" t="s">
        <v>13</v>
      </c>
      <c r="F1438" s="0" t="s">
        <v>540</v>
      </c>
      <c r="G1438" s="0" t="s">
        <v>541</v>
      </c>
      <c r="H1438" s="5">
        <v>334.842800</v>
      </c>
    </row>
    <row r="1439" spans="1:9">
      <c r="A1439" s="22" t="str">
        <f>HYPERLINK("https://app.vivvix.com/360/KMI/IntelliDrive/ApplUI/Pages/CreativePages/CustomReportCreativeDetail.aspx?App=23&amp;ReportView=4&amp;Qid=1711245&amp;Row=1431&amp;Col=1","No Title Assigned - #15276101465")</f>
        <v/>
      </c>
      <c r="B1439" s="0" t="s">
        <v>2085</v>
      </c>
      <c r="E1439" s="0" t="s">
        <v>13</v>
      </c>
      <c r="F1439" s="0" t="s">
        <v>13</v>
      </c>
      <c r="G1439" s="0" t="s">
        <v>54</v>
      </c>
      <c r="H1439" s="5">
        <v>1189.400800</v>
      </c>
    </row>
    <row r="1440" spans="1:9">
      <c r="A1440" s="22" t="str">
        <f>HYPERLINK("https://app.vivvix.com/360/KMI/IntelliDrive/ApplUI/Pages/CreativePages/CustomReportCreativeDetail.aspx?App=23&amp;ReportView=4&amp;Qid=1711245&amp;Row=1432&amp;Col=1","No Title Assigned - #15276157545")</f>
        <v/>
      </c>
      <c r="B1440" s="0" t="s">
        <v>2086</v>
      </c>
      <c r="C1440" s="0" t="s">
        <v>2087</v>
      </c>
      <c r="D1440" s="0" t="s">
        <v>2087</v>
      </c>
      <c r="E1440" s="0" t="s">
        <v>13</v>
      </c>
      <c r="F1440" s="0" t="s">
        <v>14</v>
      </c>
      <c r="G1440" s="0" t="s">
        <v>22</v>
      </c>
      <c r="H1440" s="5">
        <v>805.314800</v>
      </c>
    </row>
    <row r="1441" spans="1:9">
      <c r="A1441" s="22" t="str">
        <f>HYPERLINK("https://app.vivvix.com/360/KMI/IntelliDrive/ApplUI/Pages/CreativePages/CustomReportCreativeDetail.aspx?App=23&amp;ReportView=4&amp;Qid=1711245&amp;Row=1433&amp;Col=1","No Title Assigned - #15276157545")</f>
        <v/>
      </c>
      <c r="B1441" s="0" t="s">
        <v>2086</v>
      </c>
      <c r="E1441" s="0" t="s">
        <v>13</v>
      </c>
      <c r="F1441" s="0" t="s">
        <v>14</v>
      </c>
      <c r="G1441" s="0" t="s">
        <v>22</v>
      </c>
      <c r="H1441" s="5">
        <v>3363.489000</v>
      </c>
    </row>
    <row r="1442" spans="1:9">
      <c r="A1442" s="22" t="str">
        <f>HYPERLINK("https://app.vivvix.com/360/KMI/IntelliDrive/ApplUI/Pages/CreativePages/CustomReportCreativeDetail.aspx?App=23&amp;ReportView=4&amp;Qid=1711245&amp;Row=1434&amp;Col=1","No Title Assigned - #15276176915")</f>
        <v/>
      </c>
      <c r="B1442" s="0" t="s">
        <v>2088</v>
      </c>
      <c r="C1442" s="0" t="s">
        <v>2089</v>
      </c>
      <c r="D1442" s="0" t="s">
        <v>2089</v>
      </c>
      <c r="E1442" s="0" t="s">
        <v>13</v>
      </c>
      <c r="F1442" s="0" t="s">
        <v>13</v>
      </c>
      <c r="G1442" s="0" t="s">
        <v>54</v>
      </c>
      <c r="H1442" s="5">
        <v>633.147800</v>
      </c>
    </row>
    <row r="1443" spans="1:9">
      <c r="A1443" s="22" t="str">
        <f>HYPERLINK("https://app.vivvix.com/360/KMI/IntelliDrive/ApplUI/Pages/CreativePages/CustomReportCreativeDetail.aspx?App=23&amp;ReportView=4&amp;Qid=1711245&amp;Row=1435&amp;Col=1","No Title Assigned - #15276189630")</f>
        <v/>
      </c>
      <c r="B1443" s="0" t="s">
        <v>2090</v>
      </c>
      <c r="E1443" s="0" t="s">
        <v>13</v>
      </c>
      <c r="F1443" s="0" t="s">
        <v>13</v>
      </c>
      <c r="G1443" s="0" t="s">
        <v>54</v>
      </c>
      <c r="H1443" s="5">
        <v>33.422100</v>
      </c>
    </row>
    <row r="1444" spans="1:9">
      <c r="A1444" s="22" t="str">
        <f>HYPERLINK("https://app.vivvix.com/360/KMI/IntelliDrive/ApplUI/Pages/CreativePages/CustomReportCreativeDetail.aspx?App=23&amp;ReportView=4&amp;Qid=1711245&amp;Row=1436&amp;Col=1","No Title Assigned - #15276189702")</f>
        <v/>
      </c>
      <c r="B1444" s="0" t="s">
        <v>2091</v>
      </c>
      <c r="E1444" s="0" t="s">
        <v>13</v>
      </c>
      <c r="F1444" s="0" t="s">
        <v>13</v>
      </c>
      <c r="G1444" s="0" t="s">
        <v>54</v>
      </c>
      <c r="H1444" s="5">
        <v>33.422100</v>
      </c>
    </row>
    <row r="1445" spans="1:9">
      <c r="A1445" s="22" t="str">
        <f>HYPERLINK("https://app.vivvix.com/360/KMI/IntelliDrive/ApplUI/Pages/CreativePages/CustomReportCreativeDetail.aspx?App=23&amp;ReportView=4&amp;Qid=1711245&amp;Row=1437&amp;Col=1","No Title Assigned - #15276196103")</f>
        <v/>
      </c>
      <c r="B1445" s="0" t="s">
        <v>2092</v>
      </c>
      <c r="E1445" s="0" t="s">
        <v>13</v>
      </c>
      <c r="F1445" s="0" t="s">
        <v>13</v>
      </c>
      <c r="G1445" s="0" t="s">
        <v>54</v>
      </c>
      <c r="H1445" s="5">
        <v>3968.599900</v>
      </c>
    </row>
    <row r="1446" spans="1:9">
      <c r="A1446" s="22" t="str">
        <f>HYPERLINK("https://app.vivvix.com/360/KMI/IntelliDrive/ApplUI/Pages/CreativePages/CustomReportCreativeDetail.aspx?App=23&amp;ReportView=4&amp;Qid=1711245&amp;Row=1438&amp;Col=1","No Title Assigned - #15276220848")</f>
        <v/>
      </c>
      <c r="B1446" s="0" t="s">
        <v>2093</v>
      </c>
      <c r="C1446" s="0" t="s">
        <v>2094</v>
      </c>
      <c r="D1446" s="0" t="s">
        <v>2094</v>
      </c>
      <c r="E1446" s="0" t="s">
        <v>13</v>
      </c>
      <c r="F1446" s="0" t="s">
        <v>128</v>
      </c>
      <c r="G1446" s="0" t="s">
        <v>456</v>
      </c>
      <c r="H1446" s="5">
        <v>28297.718100</v>
      </c>
    </row>
    <row r="1447" spans="1:9">
      <c r="A1447" s="22" t="str">
        <f>HYPERLINK("https://app.vivvix.com/360/KMI/IntelliDrive/ApplUI/Pages/CreativePages/CustomReportCreativeDetail.aspx?App=23&amp;ReportView=4&amp;Qid=1711245&amp;Row=1439&amp;Col=1","No Title Assigned - #15276228852")</f>
        <v/>
      </c>
      <c r="B1447" s="0" t="s">
        <v>2095</v>
      </c>
      <c r="C1447" s="0" t="s">
        <v>2096</v>
      </c>
      <c r="D1447" s="0" t="s">
        <v>2096</v>
      </c>
      <c r="E1447" s="0" t="s">
        <v>13</v>
      </c>
      <c r="F1447" s="0" t="s">
        <v>14</v>
      </c>
      <c r="G1447" s="0" t="s">
        <v>22</v>
      </c>
      <c r="H1447" s="5">
        <v>635.076200</v>
      </c>
    </row>
    <row r="1448" spans="1:9">
      <c r="A1448" s="22" t="str">
        <f>HYPERLINK("https://app.vivvix.com/360/KMI/IntelliDrive/ApplUI/Pages/CreativePages/CustomReportCreativeDetail.aspx?App=23&amp;ReportView=4&amp;Qid=1711245&amp;Row=1440&amp;Col=1","No Title Assigned - #15276250477")</f>
        <v/>
      </c>
      <c r="B1448" s="0" t="s">
        <v>2097</v>
      </c>
      <c r="E1448" s="0" t="s">
        <v>13</v>
      </c>
      <c r="F1448" s="0" t="s">
        <v>13</v>
      </c>
      <c r="G1448" s="0" t="s">
        <v>54</v>
      </c>
      <c r="H1448" s="5">
        <v>44156.637500</v>
      </c>
    </row>
    <row r="1449" spans="1:9">
      <c r="A1449" s="22" t="str">
        <f>HYPERLINK("https://app.vivvix.com/360/KMI/IntelliDrive/ApplUI/Pages/CreativePages/CustomReportCreativeDetail.aspx?App=23&amp;ReportView=4&amp;Qid=1711245&amp;Row=1441&amp;Col=1","No Title Assigned - #15276255585")</f>
        <v/>
      </c>
      <c r="B1449" s="0" t="s">
        <v>2098</v>
      </c>
      <c r="E1449" s="0" t="s">
        <v>13</v>
      </c>
      <c r="F1449" s="0" t="s">
        <v>13</v>
      </c>
      <c r="G1449" s="0" t="s">
        <v>54</v>
      </c>
      <c r="H1449" s="5">
        <v>2071.382400</v>
      </c>
    </row>
    <row r="1450" spans="1:9">
      <c r="A1450" s="22" t="str">
        <f>HYPERLINK("https://app.vivvix.com/360/KMI/IntelliDrive/ApplUI/Pages/CreativePages/CustomReportCreativeDetail.aspx?App=23&amp;ReportView=4&amp;Qid=1711245&amp;Row=1442&amp;Col=1","No Title Assigned - #15276255874")</f>
        <v/>
      </c>
      <c r="B1450" s="0" t="s">
        <v>2099</v>
      </c>
      <c r="E1450" s="0" t="s">
        <v>13</v>
      </c>
      <c r="F1450" s="0" t="s">
        <v>13</v>
      </c>
      <c r="G1450" s="0" t="s">
        <v>54</v>
      </c>
      <c r="H1450" s="5">
        <v>1243.493400</v>
      </c>
    </row>
    <row r="1451" spans="1:9">
      <c r="A1451" s="22" t="str">
        <f>HYPERLINK("https://app.vivvix.com/360/KMI/IntelliDrive/ApplUI/Pages/CreativePages/CustomReportCreativeDetail.aspx?App=23&amp;ReportView=4&amp;Qid=1711245&amp;Row=1443&amp;Col=1","No Title Assigned - #15276266905")</f>
        <v/>
      </c>
      <c r="B1451" s="0" t="s">
        <v>2100</v>
      </c>
      <c r="E1451" s="0" t="s">
        <v>13</v>
      </c>
      <c r="F1451" s="0" t="s">
        <v>13</v>
      </c>
      <c r="G1451" s="0" t="s">
        <v>54</v>
      </c>
      <c r="H1451" s="5">
        <v>606.543800</v>
      </c>
    </row>
    <row r="1452" spans="1:9">
      <c r="A1452" s="22" t="str">
        <f>HYPERLINK("https://app.vivvix.com/360/KMI/IntelliDrive/ApplUI/Pages/CreativePages/CustomReportCreativeDetail.aspx?App=23&amp;ReportView=4&amp;Qid=1711245&amp;Row=1444&amp;Col=1","No Title Assigned - #15276318861")</f>
        <v/>
      </c>
      <c r="B1452" s="0" t="s">
        <v>2101</v>
      </c>
      <c r="C1452" s="0" t="s">
        <v>2102</v>
      </c>
      <c r="D1452" s="0" t="s">
        <v>2102</v>
      </c>
      <c r="E1452" s="0" t="s">
        <v>13</v>
      </c>
      <c r="F1452" s="0" t="s">
        <v>13</v>
      </c>
      <c r="G1452" s="0" t="s">
        <v>35</v>
      </c>
      <c r="H1452" s="5">
        <v>6287.275400</v>
      </c>
    </row>
    <row r="1453" spans="1:9">
      <c r="A1453" s="22" t="str">
        <f>HYPERLINK("https://app.vivvix.com/360/KMI/IntelliDrive/ApplUI/Pages/CreativePages/CustomReportCreativeDetail.aspx?App=23&amp;ReportView=4&amp;Qid=1711245&amp;Row=1445&amp;Col=1","No Title Assigned - #15276328294")</f>
        <v/>
      </c>
      <c r="B1453" s="0" t="s">
        <v>2103</v>
      </c>
      <c r="E1453" s="0" t="s">
        <v>13</v>
      </c>
      <c r="F1453" s="0" t="s">
        <v>13</v>
      </c>
      <c r="G1453" s="0" t="s">
        <v>54</v>
      </c>
      <c r="H1453" s="5">
        <v>42.132500</v>
      </c>
    </row>
    <row r="1454" spans="1:9">
      <c r="A1454" s="22" t="str">
        <f>HYPERLINK("https://app.vivvix.com/360/KMI/IntelliDrive/ApplUI/Pages/CreativePages/CustomReportCreativeDetail.aspx?App=23&amp;ReportView=4&amp;Qid=1711245&amp;Row=1446&amp;Col=1","No Title Assigned - #15276356464")</f>
        <v/>
      </c>
      <c r="B1454" s="0" t="s">
        <v>2104</v>
      </c>
      <c r="E1454" s="0" t="s">
        <v>13</v>
      </c>
      <c r="F1454" s="0" t="s">
        <v>13</v>
      </c>
      <c r="G1454" s="0" t="s">
        <v>54</v>
      </c>
      <c r="H1454" s="5">
        <v>186.236000</v>
      </c>
    </row>
    <row r="1455" spans="1:9">
      <c r="A1455" s="22" t="str">
        <f>HYPERLINK("https://app.vivvix.com/360/KMI/IntelliDrive/ApplUI/Pages/CreativePages/CustomReportCreativeDetail.aspx?App=23&amp;ReportView=4&amp;Qid=1711245&amp;Row=1447&amp;Col=1","No Title Assigned - #15276398952")</f>
        <v/>
      </c>
      <c r="B1455" s="0" t="s">
        <v>2105</v>
      </c>
      <c r="C1455" s="0" t="s">
        <v>2106</v>
      </c>
      <c r="D1455" s="0" t="s">
        <v>2106</v>
      </c>
      <c r="E1455" s="0" t="s">
        <v>13</v>
      </c>
      <c r="F1455" s="0" t="s">
        <v>13</v>
      </c>
      <c r="G1455" s="0" t="s">
        <v>35</v>
      </c>
      <c r="H1455" s="5">
        <v>699.675400</v>
      </c>
    </row>
    <row r="1456" spans="1:9">
      <c r="A1456" s="22" t="str">
        <f>HYPERLINK("https://app.vivvix.com/360/KMI/IntelliDrive/ApplUI/Pages/CreativePages/CustomReportCreativeDetail.aspx?App=23&amp;ReportView=4&amp;Qid=1711245&amp;Row=1448&amp;Col=1","No Title Assigned - #15276408342")</f>
        <v/>
      </c>
      <c r="B1456" s="0" t="s">
        <v>2107</v>
      </c>
      <c r="C1456" s="0" t="s">
        <v>2108</v>
      </c>
      <c r="D1456" s="0" t="s">
        <v>2108</v>
      </c>
      <c r="E1456" s="0" t="s">
        <v>13</v>
      </c>
      <c r="F1456" s="0" t="s">
        <v>13</v>
      </c>
      <c r="G1456" s="0" t="s">
        <v>35</v>
      </c>
      <c r="H1456" s="5">
        <v>3625.212600</v>
      </c>
    </row>
    <row r="1457" spans="1:9">
      <c r="A1457" s="22" t="str">
        <f>HYPERLINK("https://app.vivvix.com/360/KMI/IntelliDrive/ApplUI/Pages/CreativePages/CustomReportCreativeDetail.aspx?App=23&amp;ReportView=4&amp;Qid=1711245&amp;Row=1449&amp;Col=1","No Title Assigned - #15276483451")</f>
        <v/>
      </c>
      <c r="B1457" s="0" t="s">
        <v>2109</v>
      </c>
      <c r="E1457" s="0" t="s">
        <v>13</v>
      </c>
      <c r="F1457" s="0" t="s">
        <v>13</v>
      </c>
      <c r="G1457" s="0" t="s">
        <v>54</v>
      </c>
      <c r="H1457" s="5">
        <v>190.334200</v>
      </c>
    </row>
    <row r="1458" spans="1:9">
      <c r="A1458" s="22" t="str">
        <f>HYPERLINK("https://app.vivvix.com/360/KMI/IntelliDrive/ApplUI/Pages/CreativePages/CustomReportCreativeDetail.aspx?App=23&amp;ReportView=4&amp;Qid=1711245&amp;Row=1450&amp;Col=1","No Title Assigned - #15276497259")</f>
        <v/>
      </c>
      <c r="B1458" s="0" t="s">
        <v>2110</v>
      </c>
      <c r="E1458" s="0" t="s">
        <v>13</v>
      </c>
      <c r="F1458" s="0" t="s">
        <v>13</v>
      </c>
      <c r="G1458" s="0" t="s">
        <v>54</v>
      </c>
      <c r="H1458" s="5">
        <v>7674.924700</v>
      </c>
    </row>
    <row r="1459" spans="1:9">
      <c r="A1459" s="22" t="str">
        <f>HYPERLINK("https://app.vivvix.com/360/KMI/IntelliDrive/ApplUI/Pages/CreativePages/CustomReportCreativeDetail.aspx?App=23&amp;ReportView=4&amp;Qid=1711245&amp;Row=1451&amp;Col=1","No Title Assigned - #15276554971")</f>
        <v/>
      </c>
      <c r="B1459" s="0" t="s">
        <v>2111</v>
      </c>
      <c r="E1459" s="0" t="s">
        <v>13</v>
      </c>
      <c r="F1459" s="0" t="s">
        <v>13</v>
      </c>
      <c r="G1459" s="0" t="s">
        <v>54</v>
      </c>
      <c r="H1459" s="5">
        <v>22350.775300</v>
      </c>
    </row>
    <row r="1460" spans="1:9">
      <c r="A1460" s="22" t="str">
        <f>HYPERLINK("https://app.vivvix.com/360/KMI/IntelliDrive/ApplUI/Pages/CreativePages/CustomReportCreativeDetail.aspx?App=23&amp;ReportView=4&amp;Qid=1711245&amp;Row=1452&amp;Col=1","No Title Assigned - #15276572933")</f>
        <v/>
      </c>
      <c r="B1460" s="0" t="s">
        <v>2112</v>
      </c>
      <c r="E1460" s="0" t="s">
        <v>13</v>
      </c>
      <c r="F1460" s="0" t="s">
        <v>13</v>
      </c>
      <c r="G1460" s="0" t="s">
        <v>54</v>
      </c>
      <c r="H1460" s="5">
        <v>5645.816100</v>
      </c>
    </row>
    <row r="1461" spans="1:9">
      <c r="A1461" s="22" t="str">
        <f>HYPERLINK("https://app.vivvix.com/360/KMI/IntelliDrive/ApplUI/Pages/CreativePages/CustomReportCreativeDetail.aspx?App=23&amp;ReportView=4&amp;Qid=1711245&amp;Row=1453&amp;Col=1","No Title Assigned - #15276645096")</f>
        <v/>
      </c>
      <c r="B1461" s="0" t="s">
        <v>2113</v>
      </c>
      <c r="E1461" s="0" t="s">
        <v>13</v>
      </c>
      <c r="F1461" s="0" t="s">
        <v>13</v>
      </c>
      <c r="G1461" s="0" t="s">
        <v>54</v>
      </c>
      <c r="H1461" s="5">
        <v>2498.984100</v>
      </c>
    </row>
    <row r="1462" spans="1:9">
      <c r="A1462" s="22" t="str">
        <f>HYPERLINK("https://app.vivvix.com/360/KMI/IntelliDrive/ApplUI/Pages/CreativePages/CustomReportCreativeDetail.aspx?App=23&amp;ReportView=4&amp;Qid=1711245&amp;Row=1454&amp;Col=1","No Title Assigned - #15276646698")</f>
        <v/>
      </c>
      <c r="B1462" s="0" t="s">
        <v>2114</v>
      </c>
      <c r="E1462" s="0" t="s">
        <v>13</v>
      </c>
      <c r="F1462" s="0" t="s">
        <v>13</v>
      </c>
      <c r="G1462" s="0" t="s">
        <v>54</v>
      </c>
      <c r="H1462" s="5">
        <v>30495.300600</v>
      </c>
    </row>
    <row r="1463" spans="1:9">
      <c r="A1463" s="22" t="str">
        <f>HYPERLINK("https://app.vivvix.com/360/KMI/IntelliDrive/ApplUI/Pages/CreativePages/CustomReportCreativeDetail.aspx?App=23&amp;ReportView=4&amp;Qid=1711245&amp;Row=1455&amp;Col=1","No Title Assigned - #15276662570")</f>
        <v/>
      </c>
      <c r="B1463" s="0" t="s">
        <v>2115</v>
      </c>
      <c r="E1463" s="0" t="s">
        <v>13</v>
      </c>
      <c r="F1463" s="0" t="s">
        <v>13</v>
      </c>
      <c r="G1463" s="0" t="s">
        <v>54</v>
      </c>
      <c r="H1463" s="5">
        <v>19623.481500</v>
      </c>
    </row>
    <row r="1464" spans="1:9">
      <c r="A1464" s="22" t="str">
        <f>HYPERLINK("https://app.vivvix.com/360/KMI/IntelliDrive/ApplUI/Pages/CreativePages/CustomReportCreativeDetail.aspx?App=23&amp;ReportView=4&amp;Qid=1711245&amp;Row=1456&amp;Col=1","No Title Assigned - #15276664011")</f>
        <v/>
      </c>
      <c r="B1464" s="0" t="s">
        <v>2116</v>
      </c>
      <c r="E1464" s="0" t="s">
        <v>13</v>
      </c>
      <c r="F1464" s="0" t="s">
        <v>13</v>
      </c>
      <c r="G1464" s="0" t="s">
        <v>54</v>
      </c>
      <c r="H1464" s="5">
        <v>525.462200</v>
      </c>
    </row>
    <row r="1465" spans="1:9">
      <c r="A1465" s="22" t="str">
        <f>HYPERLINK("https://app.vivvix.com/360/KMI/IntelliDrive/ApplUI/Pages/CreativePages/CustomReportCreativeDetail.aspx?App=23&amp;ReportView=4&amp;Qid=1711245&amp;Row=1457&amp;Col=1","No Title Assigned - #15276698260")</f>
        <v/>
      </c>
      <c r="B1465" s="0" t="s">
        <v>2117</v>
      </c>
      <c r="E1465" s="0" t="s">
        <v>13</v>
      </c>
      <c r="F1465" s="0" t="s">
        <v>13</v>
      </c>
      <c r="G1465" s="0" t="s">
        <v>54</v>
      </c>
      <c r="H1465" s="5">
        <v>3885.243500</v>
      </c>
    </row>
    <row r="1466" spans="1:9">
      <c r="A1466" s="22" t="str">
        <f>HYPERLINK("https://app.vivvix.com/360/KMI/IntelliDrive/ApplUI/Pages/CreativePages/CustomReportCreativeDetail.aspx?App=23&amp;ReportView=4&amp;Qid=1711245&amp;Row=1458&amp;Col=1","No Title Assigned - #15276706317")</f>
        <v/>
      </c>
      <c r="B1466" s="0" t="s">
        <v>2118</v>
      </c>
      <c r="E1466" s="0" t="s">
        <v>13</v>
      </c>
      <c r="F1466" s="0" t="s">
        <v>13</v>
      </c>
      <c r="G1466" s="0" t="s">
        <v>54</v>
      </c>
      <c r="H1466" s="5">
        <v>19910.986100</v>
      </c>
    </row>
    <row r="1467" spans="1:9">
      <c r="A1467" s="22" t="str">
        <f>HYPERLINK("https://app.vivvix.com/360/KMI/IntelliDrive/ApplUI/Pages/CreativePages/CustomReportCreativeDetail.aspx?App=23&amp;ReportView=4&amp;Qid=1711245&amp;Row=1459&amp;Col=1","No Title Assigned - #15276707535")</f>
        <v/>
      </c>
      <c r="B1467" s="0" t="s">
        <v>2119</v>
      </c>
      <c r="E1467" s="0" t="s">
        <v>13</v>
      </c>
      <c r="F1467" s="0" t="s">
        <v>13</v>
      </c>
      <c r="G1467" s="0" t="s">
        <v>54</v>
      </c>
      <c r="H1467" s="5">
        <v>431.280000</v>
      </c>
    </row>
    <row r="1468" spans="1:9">
      <c r="A1468" s="22" t="str">
        <f>HYPERLINK("https://app.vivvix.com/360/KMI/IntelliDrive/ApplUI/Pages/CreativePages/CustomReportCreativeDetail.aspx?App=23&amp;ReportView=4&amp;Qid=1711245&amp;Row=1460&amp;Col=1","No Title Assigned - #15276711500")</f>
        <v/>
      </c>
      <c r="B1468" s="0" t="s">
        <v>2120</v>
      </c>
      <c r="E1468" s="0" t="s">
        <v>13</v>
      </c>
      <c r="F1468" s="0" t="s">
        <v>13</v>
      </c>
      <c r="G1468" s="0" t="s">
        <v>54</v>
      </c>
      <c r="H1468" s="5">
        <v>230.500300</v>
      </c>
    </row>
    <row r="1469" spans="1:9">
      <c r="A1469" s="22" t="str">
        <f>HYPERLINK("https://app.vivvix.com/360/KMI/IntelliDrive/ApplUI/Pages/CreativePages/CustomReportCreativeDetail.aspx?App=23&amp;ReportView=4&amp;Qid=1711245&amp;Row=1461&amp;Col=1","No Title Assigned - #15276714642")</f>
        <v/>
      </c>
      <c r="B1469" s="0" t="s">
        <v>2121</v>
      </c>
      <c r="E1469" s="0" t="s">
        <v>13</v>
      </c>
      <c r="F1469" s="0" t="s">
        <v>13</v>
      </c>
      <c r="G1469" s="0" t="s">
        <v>54</v>
      </c>
      <c r="H1469" s="5">
        <v>8539.021700</v>
      </c>
    </row>
    <row r="1470" spans="1:9">
      <c r="A1470" s="22" t="str">
        <f>HYPERLINK("https://app.vivvix.com/360/KMI/IntelliDrive/ApplUI/Pages/CreativePages/CustomReportCreativeDetail.aspx?App=23&amp;ReportView=4&amp;Qid=1711245&amp;Row=1462&amp;Col=1","No Title Assigned - #15276740382")</f>
        <v/>
      </c>
      <c r="B1470" s="0" t="s">
        <v>2122</v>
      </c>
      <c r="E1470" s="0" t="s">
        <v>13</v>
      </c>
      <c r="F1470" s="0" t="s">
        <v>13</v>
      </c>
      <c r="G1470" s="0" t="s">
        <v>54</v>
      </c>
      <c r="H1470" s="5">
        <v>1576.369200</v>
      </c>
    </row>
    <row r="1471" spans="1:9">
      <c r="A1471" s="22" t="str">
        <f>HYPERLINK("https://app.vivvix.com/360/KMI/IntelliDrive/ApplUI/Pages/CreativePages/CustomReportCreativeDetail.aspx?App=23&amp;ReportView=4&amp;Qid=1711245&amp;Row=1463&amp;Col=1","No Title Assigned - #15276747329")</f>
        <v/>
      </c>
      <c r="B1471" s="0" t="s">
        <v>2123</v>
      </c>
      <c r="E1471" s="0" t="s">
        <v>13</v>
      </c>
      <c r="F1471" s="0" t="s">
        <v>14</v>
      </c>
      <c r="G1471" s="0" t="s">
        <v>22</v>
      </c>
      <c r="H1471" s="5">
        <v>6653.340900</v>
      </c>
    </row>
    <row r="1472" spans="1:9">
      <c r="A1472" s="22" t="str">
        <f>HYPERLINK("https://app.vivvix.com/360/KMI/IntelliDrive/ApplUI/Pages/CreativePages/CustomReportCreativeDetail.aspx?App=23&amp;ReportView=4&amp;Qid=1711245&amp;Row=1464&amp;Col=1","No Title Assigned - #15276776529")</f>
        <v/>
      </c>
      <c r="B1472" s="0" t="s">
        <v>2124</v>
      </c>
      <c r="E1472" s="0" t="s">
        <v>13</v>
      </c>
      <c r="F1472" s="0" t="s">
        <v>13</v>
      </c>
      <c r="G1472" s="0" t="s">
        <v>54</v>
      </c>
      <c r="H1472" s="5">
        <v>26160.678800</v>
      </c>
    </row>
    <row r="1473" spans="1:9">
      <c r="A1473" s="22" t="str">
        <f>HYPERLINK("https://app.vivvix.com/360/KMI/IntelliDrive/ApplUI/Pages/CreativePages/CustomReportCreativeDetail.aspx?App=23&amp;ReportView=4&amp;Qid=1711245&amp;Row=1465&amp;Col=1","No Title Assigned - #15276786341")</f>
        <v/>
      </c>
      <c r="B1473" s="0" t="s">
        <v>2125</v>
      </c>
      <c r="E1473" s="0" t="s">
        <v>13</v>
      </c>
      <c r="F1473" s="0" t="s">
        <v>13</v>
      </c>
      <c r="G1473" s="0" t="s">
        <v>54</v>
      </c>
      <c r="H1473" s="5">
        <v>33.422100</v>
      </c>
    </row>
    <row r="1474" spans="1:9">
      <c r="A1474" s="22" t="str">
        <f>HYPERLINK("https://app.vivvix.com/360/KMI/IntelliDrive/ApplUI/Pages/CreativePages/CustomReportCreativeDetail.aspx?App=23&amp;ReportView=4&amp;Qid=1711245&amp;Row=1466&amp;Col=1","No Title Assigned - #15276786342")</f>
        <v/>
      </c>
      <c r="B1474" s="0" t="s">
        <v>2126</v>
      </c>
      <c r="E1474" s="0" t="s">
        <v>13</v>
      </c>
      <c r="F1474" s="0" t="s">
        <v>13</v>
      </c>
      <c r="G1474" s="0" t="s">
        <v>54</v>
      </c>
      <c r="H1474" s="5">
        <v>33.422100</v>
      </c>
    </row>
    <row r="1475" spans="1:9">
      <c r="A1475" s="22" t="str">
        <f>HYPERLINK("https://app.vivvix.com/360/KMI/IntelliDrive/ApplUI/Pages/CreativePages/CustomReportCreativeDetail.aspx?App=23&amp;ReportView=4&amp;Qid=1711245&amp;Row=1467&amp;Col=1","No Title Assigned - #15276829774")</f>
        <v/>
      </c>
      <c r="B1475" s="0" t="s">
        <v>2127</v>
      </c>
      <c r="C1475" s="0" t="s">
        <v>2128</v>
      </c>
      <c r="D1475" s="0" t="s">
        <v>2128</v>
      </c>
      <c r="E1475" s="0" t="s">
        <v>13</v>
      </c>
      <c r="F1475" s="0" t="s">
        <v>13</v>
      </c>
      <c r="G1475" s="0" t="s">
        <v>35</v>
      </c>
      <c r="H1475" s="5">
        <v>263.008100</v>
      </c>
    </row>
    <row r="1476" spans="1:9">
      <c r="A1476" s="22" t="str">
        <f>HYPERLINK("https://app.vivvix.com/360/KMI/IntelliDrive/ApplUI/Pages/CreativePages/CustomReportCreativeDetail.aspx?App=23&amp;ReportView=4&amp;Qid=1711245&amp;Row=1468&amp;Col=1","No Title Assigned - #15276848582")</f>
        <v/>
      </c>
      <c r="B1476" s="0" t="s">
        <v>2129</v>
      </c>
      <c r="C1476" s="0" t="s">
        <v>2130</v>
      </c>
      <c r="D1476" s="0" t="s">
        <v>2130</v>
      </c>
      <c r="E1476" s="0" t="s">
        <v>13</v>
      </c>
      <c r="F1476" s="0" t="s">
        <v>28</v>
      </c>
      <c r="G1476" s="0" t="s">
        <v>453</v>
      </c>
      <c r="H1476" s="5">
        <v>3766.251700</v>
      </c>
    </row>
    <row r="1477" spans="1:9">
      <c r="A1477" s="22" t="str">
        <f>HYPERLINK("https://app.vivvix.com/360/KMI/IntelliDrive/ApplUI/Pages/CreativePages/CustomReportCreativeDetail.aspx?App=23&amp;ReportView=4&amp;Qid=1711245&amp;Row=1469&amp;Col=1","No Title Assigned - #15276853469")</f>
        <v/>
      </c>
      <c r="B1477" s="0" t="s">
        <v>2131</v>
      </c>
      <c r="C1477" s="0" t="s">
        <v>2132</v>
      </c>
      <c r="D1477" s="0" t="s">
        <v>2132</v>
      </c>
      <c r="E1477" s="0" t="s">
        <v>13</v>
      </c>
      <c r="F1477" s="0" t="s">
        <v>128</v>
      </c>
      <c r="G1477" s="0" t="s">
        <v>456</v>
      </c>
      <c r="H1477" s="5">
        <v>1151.391800</v>
      </c>
    </row>
    <row r="1478" spans="1:9">
      <c r="A1478" s="22" t="str">
        <f>HYPERLINK("https://app.vivvix.com/360/KMI/IntelliDrive/ApplUI/Pages/CreativePages/CustomReportCreativeDetail.aspx?App=23&amp;ReportView=4&amp;Qid=1711245&amp;Row=1470&amp;Col=1","No Title Assigned - #15276853470")</f>
        <v/>
      </c>
      <c r="B1478" s="0" t="s">
        <v>2133</v>
      </c>
      <c r="C1478" s="0" t="s">
        <v>2134</v>
      </c>
      <c r="D1478" s="0" t="s">
        <v>2134</v>
      </c>
      <c r="E1478" s="0" t="s">
        <v>13</v>
      </c>
      <c r="F1478" s="0" t="s">
        <v>13</v>
      </c>
      <c r="G1478" s="0" t="s">
        <v>35</v>
      </c>
      <c r="H1478" s="5">
        <v>571.372800</v>
      </c>
    </row>
    <row r="1479" spans="1:9">
      <c r="A1479" s="22" t="str">
        <f>HYPERLINK("https://app.vivvix.com/360/KMI/IntelliDrive/ApplUI/Pages/CreativePages/CustomReportCreativeDetail.aspx?App=23&amp;ReportView=4&amp;Qid=1711245&amp;Row=1471&amp;Col=1","No Title Assigned - #15276881059")</f>
        <v/>
      </c>
      <c r="B1479" s="0" t="s">
        <v>2135</v>
      </c>
      <c r="C1479" s="0" t="s">
        <v>2136</v>
      </c>
      <c r="D1479" s="0" t="s">
        <v>2136</v>
      </c>
      <c r="E1479" s="0" t="s">
        <v>13</v>
      </c>
      <c r="F1479" s="0" t="s">
        <v>14</v>
      </c>
      <c r="G1479" s="0" t="s">
        <v>22</v>
      </c>
      <c r="H1479" s="5">
        <v>204568.358300</v>
      </c>
    </row>
    <row r="1480" spans="1:9">
      <c r="A1480" s="22" t="str">
        <f>HYPERLINK("https://app.vivvix.com/360/KMI/IntelliDrive/ApplUI/Pages/CreativePages/CustomReportCreativeDetail.aspx?App=23&amp;ReportView=4&amp;Qid=1711245&amp;Row=1472&amp;Col=1","No Title Assigned - #15276964335")</f>
        <v/>
      </c>
      <c r="B1480" s="0" t="s">
        <v>2137</v>
      </c>
      <c r="C1480" s="0" t="s">
        <v>2138</v>
      </c>
      <c r="D1480" s="0" t="s">
        <v>2138</v>
      </c>
      <c r="E1480" s="0" t="s">
        <v>13</v>
      </c>
      <c r="F1480" s="0" t="s">
        <v>14</v>
      </c>
      <c r="G1480" s="0" t="s">
        <v>15</v>
      </c>
      <c r="H1480" s="5">
        <v>812.009600</v>
      </c>
    </row>
    <row r="1481" spans="1:9">
      <c r="A1481" s="22" t="str">
        <f>HYPERLINK("https://app.vivvix.com/360/KMI/IntelliDrive/ApplUI/Pages/CreativePages/CustomReportCreativeDetail.aspx?App=23&amp;ReportView=4&amp;Qid=1711245&amp;Row=1473&amp;Col=1","No Title Assigned - #15276991113")</f>
        <v/>
      </c>
      <c r="B1481" s="0" t="s">
        <v>2139</v>
      </c>
      <c r="E1481" s="0" t="s">
        <v>13</v>
      </c>
      <c r="F1481" s="0" t="s">
        <v>13</v>
      </c>
      <c r="G1481" s="0" t="s">
        <v>54</v>
      </c>
      <c r="H1481" s="5">
        <v>16632.576400</v>
      </c>
    </row>
    <row r="1482" spans="1:9">
      <c r="A1482" s="22" t="str">
        <f>HYPERLINK("https://app.vivvix.com/360/KMI/IntelliDrive/ApplUI/Pages/CreativePages/CustomReportCreativeDetail.aspx?App=23&amp;ReportView=4&amp;Qid=1711245&amp;Row=1474&amp;Col=1","No Title Assigned - #15277044806")</f>
        <v/>
      </c>
      <c r="B1482" s="0" t="s">
        <v>2140</v>
      </c>
      <c r="E1482" s="0" t="s">
        <v>13</v>
      </c>
      <c r="F1482" s="0" t="s">
        <v>13</v>
      </c>
      <c r="G1482" s="0" t="s">
        <v>54</v>
      </c>
      <c r="H1482" s="5">
        <v>23922.087900</v>
      </c>
    </row>
    <row r="1483" spans="1:9">
      <c r="A1483" s="22" t="str">
        <f>HYPERLINK("https://app.vivvix.com/360/KMI/IntelliDrive/ApplUI/Pages/CreativePages/CustomReportCreativeDetail.aspx?App=23&amp;ReportView=4&amp;Qid=1711245&amp;Row=1475&amp;Col=1","No Title Assigned - #15277063593")</f>
        <v/>
      </c>
      <c r="B1483" s="0" t="s">
        <v>2141</v>
      </c>
      <c r="E1483" s="0" t="s">
        <v>13</v>
      </c>
      <c r="F1483" s="0" t="s">
        <v>13</v>
      </c>
      <c r="G1483" s="0" t="s">
        <v>54</v>
      </c>
      <c r="H1483" s="5">
        <v>461.000600</v>
      </c>
    </row>
    <row r="1484" spans="1:9">
      <c r="A1484" s="22" t="str">
        <f>HYPERLINK("https://app.vivvix.com/360/KMI/IntelliDrive/ApplUI/Pages/CreativePages/CustomReportCreativeDetail.aspx?App=23&amp;ReportView=4&amp;Qid=1711245&amp;Row=1476&amp;Col=1","No Title Assigned - #15277073861")</f>
        <v/>
      </c>
      <c r="B1484" s="0" t="s">
        <v>2142</v>
      </c>
      <c r="E1484" s="0" t="s">
        <v>13</v>
      </c>
      <c r="F1484" s="0" t="s">
        <v>13</v>
      </c>
      <c r="G1484" s="0" t="s">
        <v>54</v>
      </c>
      <c r="H1484" s="5">
        <v>230.500300</v>
      </c>
    </row>
    <row r="1485" spans="1:9">
      <c r="A1485" s="22" t="str">
        <f>HYPERLINK("https://app.vivvix.com/360/KMI/IntelliDrive/ApplUI/Pages/CreativePages/CustomReportCreativeDetail.aspx?App=23&amp;ReportView=4&amp;Qid=1711245&amp;Row=1477&amp;Col=1","No Title Assigned - #15277074208")</f>
        <v/>
      </c>
      <c r="B1485" s="0" t="s">
        <v>2143</v>
      </c>
      <c r="E1485" s="0" t="s">
        <v>13</v>
      </c>
      <c r="F1485" s="0" t="s">
        <v>13</v>
      </c>
      <c r="G1485" s="0" t="s">
        <v>54</v>
      </c>
      <c r="H1485" s="5">
        <v>6898.333800</v>
      </c>
    </row>
    <row r="1486" spans="1:9">
      <c r="A1486" s="22" t="str">
        <f>HYPERLINK("https://app.vivvix.com/360/KMI/IntelliDrive/ApplUI/Pages/CreativePages/CustomReportCreativeDetail.aspx?App=23&amp;ReportView=4&amp;Qid=1711245&amp;Row=1478&amp;Col=1","No Title Assigned - #15277075248")</f>
        <v/>
      </c>
      <c r="B1486" s="0" t="s">
        <v>2144</v>
      </c>
      <c r="E1486" s="0" t="s">
        <v>13</v>
      </c>
      <c r="F1486" s="0" t="s">
        <v>13</v>
      </c>
      <c r="G1486" s="0" t="s">
        <v>54</v>
      </c>
      <c r="H1486" s="5">
        <v>4680.395000</v>
      </c>
    </row>
    <row r="1487" spans="1:9">
      <c r="A1487" s="22" t="str">
        <f>HYPERLINK("https://app.vivvix.com/360/KMI/IntelliDrive/ApplUI/Pages/CreativePages/CustomReportCreativeDetail.aspx?App=23&amp;ReportView=4&amp;Qid=1711245&amp;Row=1479&amp;Col=1","No Title Assigned - #15277076409")</f>
        <v/>
      </c>
      <c r="B1487" s="0" t="s">
        <v>2145</v>
      </c>
      <c r="E1487" s="0" t="s">
        <v>13</v>
      </c>
      <c r="F1487" s="0" t="s">
        <v>13</v>
      </c>
      <c r="G1487" s="0" t="s">
        <v>54</v>
      </c>
      <c r="H1487" s="5">
        <v>643.410800</v>
      </c>
    </row>
    <row r="1488" spans="1:9">
      <c r="A1488" s="22" t="str">
        <f>HYPERLINK("https://app.vivvix.com/360/KMI/IntelliDrive/ApplUI/Pages/CreativePages/CustomReportCreativeDetail.aspx?App=23&amp;ReportView=4&amp;Qid=1711245&amp;Row=1480&amp;Col=1","No Title Assigned - #15277113200")</f>
        <v/>
      </c>
      <c r="B1488" s="0" t="s">
        <v>2146</v>
      </c>
      <c r="C1488" s="0" t="s">
        <v>2147</v>
      </c>
      <c r="D1488" s="0" t="s">
        <v>2147</v>
      </c>
      <c r="E1488" s="0" t="s">
        <v>13</v>
      </c>
      <c r="F1488" s="0" t="s">
        <v>14</v>
      </c>
      <c r="G1488" s="0" t="s">
        <v>15</v>
      </c>
      <c r="H1488" s="5">
        <v>189404.337000</v>
      </c>
    </row>
    <row r="1489" spans="1:9">
      <c r="A1489" s="22" t="str">
        <f>HYPERLINK("https://app.vivvix.com/360/KMI/IntelliDrive/ApplUI/Pages/CreativePages/CustomReportCreativeDetail.aspx?App=23&amp;ReportView=4&amp;Qid=1711245&amp;Row=1481&amp;Col=1","No Title Assigned - #15277145552")</f>
        <v/>
      </c>
      <c r="B1489" s="0" t="s">
        <v>2148</v>
      </c>
      <c r="E1489" s="0" t="s">
        <v>13</v>
      </c>
      <c r="F1489" s="0" t="s">
        <v>13</v>
      </c>
      <c r="G1489" s="0" t="s">
        <v>54</v>
      </c>
      <c r="H1489" s="5">
        <v>1129.860000</v>
      </c>
    </row>
    <row r="1490" spans="1:9">
      <c r="A1490" s="22" t="str">
        <f>HYPERLINK("https://app.vivvix.com/360/KMI/IntelliDrive/ApplUI/Pages/CreativePages/CustomReportCreativeDetail.aspx?App=23&amp;ReportView=4&amp;Qid=1711245&amp;Row=1482&amp;Col=1","No Title Assigned - #15277145997")</f>
        <v/>
      </c>
      <c r="B1490" s="0" t="s">
        <v>2149</v>
      </c>
      <c r="E1490" s="0" t="s">
        <v>13</v>
      </c>
      <c r="F1490" s="0" t="s">
        <v>13</v>
      </c>
      <c r="G1490" s="0" t="s">
        <v>54</v>
      </c>
      <c r="H1490" s="5">
        <v>33.422100</v>
      </c>
    </row>
    <row r="1491" spans="1:9">
      <c r="A1491" s="22" t="str">
        <f>HYPERLINK("https://app.vivvix.com/360/KMI/IntelliDrive/ApplUI/Pages/CreativePages/CustomReportCreativeDetail.aspx?App=23&amp;ReportView=4&amp;Qid=1711245&amp;Row=1483&amp;Col=1","No Title Assigned - #15277146133")</f>
        <v/>
      </c>
      <c r="B1491" s="0" t="s">
        <v>2150</v>
      </c>
      <c r="E1491" s="0" t="s">
        <v>13</v>
      </c>
      <c r="F1491" s="0" t="s">
        <v>13</v>
      </c>
      <c r="G1491" s="0" t="s">
        <v>54</v>
      </c>
      <c r="H1491" s="5">
        <v>558.305500</v>
      </c>
    </row>
    <row r="1492" spans="1:9">
      <c r="A1492" s="22" t="str">
        <f>HYPERLINK("https://app.vivvix.com/360/KMI/IntelliDrive/ApplUI/Pages/CreativePages/CustomReportCreativeDetail.aspx?App=23&amp;ReportView=4&amp;Qid=1711245&amp;Row=1484&amp;Col=1","No Title Assigned - #15277158088")</f>
        <v/>
      </c>
      <c r="B1492" s="0" t="s">
        <v>2151</v>
      </c>
      <c r="E1492" s="0" t="s">
        <v>13</v>
      </c>
      <c r="F1492" s="0" t="s">
        <v>13</v>
      </c>
      <c r="G1492" s="0" t="s">
        <v>54</v>
      </c>
      <c r="H1492" s="5">
        <v>431.780500</v>
      </c>
    </row>
    <row r="1493" spans="1:9">
      <c r="A1493" s="22" t="str">
        <f>HYPERLINK("https://app.vivvix.com/360/KMI/IntelliDrive/ApplUI/Pages/CreativePages/CustomReportCreativeDetail.aspx?App=23&amp;ReportView=4&amp;Qid=1711245&amp;Row=1485&amp;Col=1","No Title Assigned - #15277195886")</f>
        <v/>
      </c>
      <c r="B1493" s="0" t="s">
        <v>2152</v>
      </c>
      <c r="E1493" s="0" t="s">
        <v>13</v>
      </c>
      <c r="F1493" s="0" t="s">
        <v>13</v>
      </c>
      <c r="G1493" s="0" t="s">
        <v>54</v>
      </c>
      <c r="H1493" s="5">
        <v>321.705400</v>
      </c>
    </row>
    <row r="1494" spans="1:9">
      <c r="A1494" s="22" t="str">
        <f>HYPERLINK("https://app.vivvix.com/360/KMI/IntelliDrive/ApplUI/Pages/CreativePages/CustomReportCreativeDetail.aspx?App=23&amp;ReportView=4&amp;Qid=1711245&amp;Row=1486&amp;Col=1","No Title Assigned - #15277199315")</f>
        <v/>
      </c>
      <c r="B1494" s="0" t="s">
        <v>2153</v>
      </c>
      <c r="E1494" s="0" t="s">
        <v>13</v>
      </c>
      <c r="F1494" s="0" t="s">
        <v>13</v>
      </c>
      <c r="G1494" s="0" t="s">
        <v>54</v>
      </c>
      <c r="H1494" s="5">
        <v>360.931000</v>
      </c>
    </row>
    <row r="1495" spans="1:9">
      <c r="A1495" s="22" t="str">
        <f>HYPERLINK("https://app.vivvix.com/360/KMI/IntelliDrive/ApplUI/Pages/CreativePages/CustomReportCreativeDetail.aspx?App=23&amp;ReportView=4&amp;Qid=1711245&amp;Row=1487&amp;Col=1","No Title Assigned - #15277217952")</f>
        <v/>
      </c>
      <c r="B1495" s="0" t="s">
        <v>2154</v>
      </c>
      <c r="E1495" s="0" t="s">
        <v>13</v>
      </c>
      <c r="F1495" s="0" t="s">
        <v>13</v>
      </c>
      <c r="G1495" s="0" t="s">
        <v>54</v>
      </c>
      <c r="H1495" s="5">
        <v>922.001200</v>
      </c>
    </row>
    <row r="1496" spans="1:9">
      <c r="A1496" s="22" t="str">
        <f>HYPERLINK("https://app.vivvix.com/360/KMI/IntelliDrive/ApplUI/Pages/CreativePages/CustomReportCreativeDetail.aspx?App=23&amp;ReportView=4&amp;Qid=1711245&amp;Row=1488&amp;Col=1","No Title Assigned - #15277219328")</f>
        <v/>
      </c>
      <c r="B1496" s="0" t="s">
        <v>2155</v>
      </c>
      <c r="E1496" s="0" t="s">
        <v>13</v>
      </c>
      <c r="F1496" s="0" t="s">
        <v>13</v>
      </c>
      <c r="G1496" s="0" t="s">
        <v>54</v>
      </c>
      <c r="H1496" s="5">
        <v>2140.553200</v>
      </c>
    </row>
    <row r="1497" spans="1:9">
      <c r="A1497" s="22" t="str">
        <f>HYPERLINK("https://app.vivvix.com/360/KMI/IntelliDrive/ApplUI/Pages/CreativePages/CustomReportCreativeDetail.aspx?App=23&amp;ReportView=4&amp;Qid=1711245&amp;Row=1489&amp;Col=1","No Title Assigned - #15277237634")</f>
        <v/>
      </c>
      <c r="B1497" s="0" t="s">
        <v>2156</v>
      </c>
      <c r="E1497" s="0" t="s">
        <v>13</v>
      </c>
      <c r="F1497" s="0" t="s">
        <v>13</v>
      </c>
      <c r="G1497" s="0" t="s">
        <v>54</v>
      </c>
      <c r="H1497" s="5">
        <v>1480.705100</v>
      </c>
    </row>
    <row r="1498" spans="1:9">
      <c r="A1498" s="22" t="str">
        <f>HYPERLINK("https://app.vivvix.com/360/KMI/IntelliDrive/ApplUI/Pages/CreativePages/CustomReportCreativeDetail.aspx?App=23&amp;ReportView=4&amp;Qid=1711245&amp;Row=1490&amp;Col=1","No Title Assigned - #15277253617")</f>
        <v/>
      </c>
      <c r="B1498" s="0" t="s">
        <v>2157</v>
      </c>
      <c r="C1498" s="0" t="s">
        <v>2158</v>
      </c>
      <c r="D1498" s="0" t="s">
        <v>2158</v>
      </c>
      <c r="E1498" s="0" t="s">
        <v>13</v>
      </c>
      <c r="F1498" s="0" t="s">
        <v>17</v>
      </c>
      <c r="G1498" s="0" t="s">
        <v>446</v>
      </c>
      <c r="H1498" s="5">
        <v>33942.422100</v>
      </c>
    </row>
    <row r="1499" spans="1:9">
      <c r="A1499" s="22" t="str">
        <f>HYPERLINK("https://app.vivvix.com/360/KMI/IntelliDrive/ApplUI/Pages/CreativePages/CustomReportCreativeDetail.aspx?App=23&amp;ReportView=4&amp;Qid=1711245&amp;Row=1491&amp;Col=1","No Title Assigned - #15277269065")</f>
        <v/>
      </c>
      <c r="B1499" s="0" t="s">
        <v>2159</v>
      </c>
      <c r="E1499" s="0" t="s">
        <v>13</v>
      </c>
      <c r="F1499" s="0" t="s">
        <v>13</v>
      </c>
      <c r="G1499" s="0" t="s">
        <v>54</v>
      </c>
      <c r="H1499" s="5">
        <v>24347.998000</v>
      </c>
    </row>
    <row r="1500" spans="1:9">
      <c r="A1500" s="22" t="str">
        <f>HYPERLINK("https://app.vivvix.com/360/KMI/IntelliDrive/ApplUI/Pages/CreativePages/CustomReportCreativeDetail.aspx?App=23&amp;ReportView=4&amp;Qid=1711245&amp;Row=1492&amp;Col=1","No Title Assigned - #15277270087")</f>
        <v/>
      </c>
      <c r="B1500" s="0" t="s">
        <v>2160</v>
      </c>
      <c r="E1500" s="0" t="s">
        <v>13</v>
      </c>
      <c r="F1500" s="0" t="s">
        <v>13</v>
      </c>
      <c r="G1500" s="0" t="s">
        <v>54</v>
      </c>
      <c r="H1500" s="5">
        <v>452.913400</v>
      </c>
    </row>
    <row r="1501" spans="1:9">
      <c r="A1501" s="22" t="str">
        <f>HYPERLINK("https://app.vivvix.com/360/KMI/IntelliDrive/ApplUI/Pages/CreativePages/CustomReportCreativeDetail.aspx?App=23&amp;ReportView=4&amp;Qid=1711245&amp;Row=1493&amp;Col=1","No Title Assigned - #15277270914")</f>
        <v/>
      </c>
      <c r="B1501" s="0" t="s">
        <v>2161</v>
      </c>
      <c r="E1501" s="0" t="s">
        <v>13</v>
      </c>
      <c r="F1501" s="0" t="s">
        <v>13</v>
      </c>
      <c r="G1501" s="0" t="s">
        <v>54</v>
      </c>
      <c r="H1501" s="5">
        <v>321.705400</v>
      </c>
    </row>
    <row r="1502" spans="1:9">
      <c r="A1502" s="22" t="str">
        <f>HYPERLINK("https://app.vivvix.com/360/KMI/IntelliDrive/ApplUI/Pages/CreativePages/CustomReportCreativeDetail.aspx?App=23&amp;ReportView=4&amp;Qid=1711245&amp;Row=1494&amp;Col=1","No Title Assigned - #15277271853")</f>
        <v/>
      </c>
      <c r="B1502" s="0" t="s">
        <v>2162</v>
      </c>
      <c r="E1502" s="0" t="s">
        <v>13</v>
      </c>
      <c r="F1502" s="0" t="s">
        <v>13</v>
      </c>
      <c r="G1502" s="0" t="s">
        <v>54</v>
      </c>
      <c r="H1502" s="5">
        <v>1425.788500</v>
      </c>
    </row>
    <row r="1503" spans="1:9">
      <c r="A1503" s="22" t="str">
        <f>HYPERLINK("https://app.vivvix.com/360/KMI/IntelliDrive/ApplUI/Pages/CreativePages/CustomReportCreativeDetail.aspx?App=23&amp;ReportView=4&amp;Qid=1711245&amp;Row=1495&amp;Col=1","No Title Assigned - #15277274988")</f>
        <v/>
      </c>
      <c r="B1503" s="0" t="s">
        <v>2163</v>
      </c>
      <c r="E1503" s="0" t="s">
        <v>13</v>
      </c>
      <c r="F1503" s="0" t="s">
        <v>13</v>
      </c>
      <c r="G1503" s="0" t="s">
        <v>54</v>
      </c>
      <c r="H1503" s="5">
        <v>3279.723100</v>
      </c>
    </row>
    <row r="1504" spans="1:9">
      <c r="A1504" s="22" t="str">
        <f>HYPERLINK("https://app.vivvix.com/360/KMI/IntelliDrive/ApplUI/Pages/CreativePages/CustomReportCreativeDetail.aspx?App=23&amp;ReportView=4&amp;Qid=1711245&amp;Row=1496&amp;Col=1","No Title Assigned - #15277325730")</f>
        <v/>
      </c>
      <c r="B1504" s="0" t="s">
        <v>2164</v>
      </c>
      <c r="C1504" s="0" t="s">
        <v>2165</v>
      </c>
      <c r="D1504" s="0" t="s">
        <v>2165</v>
      </c>
      <c r="E1504" s="0" t="s">
        <v>13</v>
      </c>
      <c r="F1504" s="0" t="s">
        <v>13</v>
      </c>
      <c r="G1504" s="0" t="s">
        <v>35</v>
      </c>
      <c r="H1504" s="5">
        <v>8486.324000</v>
      </c>
    </row>
    <row r="1505" spans="1:9">
      <c r="A1505" s="22" t="str">
        <f>HYPERLINK("https://app.vivvix.com/360/KMI/IntelliDrive/ApplUI/Pages/CreativePages/CustomReportCreativeDetail.aspx?App=23&amp;ReportView=4&amp;Qid=1711245&amp;Row=1497&amp;Col=1","No Title Assigned - #15277347362")</f>
        <v/>
      </c>
      <c r="B1505" s="0" t="s">
        <v>2166</v>
      </c>
      <c r="C1505" s="0" t="s">
        <v>2167</v>
      </c>
      <c r="D1505" s="0" t="s">
        <v>2167</v>
      </c>
      <c r="E1505" s="0" t="s">
        <v>13</v>
      </c>
      <c r="F1505" s="0" t="s">
        <v>13</v>
      </c>
      <c r="G1505" s="0" t="s">
        <v>54</v>
      </c>
      <c r="H1505" s="5">
        <v>16530.778000</v>
      </c>
    </row>
    <row r="1506" spans="1:9">
      <c r="A1506" s="22" t="str">
        <f>HYPERLINK("https://app.vivvix.com/360/KMI/IntelliDrive/ApplUI/Pages/CreativePages/CustomReportCreativeDetail.aspx?App=23&amp;ReportView=4&amp;Qid=1711245&amp;Row=1498&amp;Col=1","No Title Assigned - #15277349912")</f>
        <v/>
      </c>
      <c r="B1506" s="0" t="s">
        <v>2168</v>
      </c>
      <c r="E1506" s="0" t="s">
        <v>13</v>
      </c>
      <c r="F1506" s="0" t="s">
        <v>13</v>
      </c>
      <c r="G1506" s="0" t="s">
        <v>54</v>
      </c>
      <c r="H1506" s="5">
        <v>8.710400</v>
      </c>
    </row>
    <row r="1507" spans="1:9">
      <c r="A1507" s="22" t="str">
        <f>HYPERLINK("https://app.vivvix.com/360/KMI/IntelliDrive/ApplUI/Pages/CreativePages/CustomReportCreativeDetail.aspx?App=23&amp;ReportView=4&amp;Qid=1711245&amp;Row=1499&amp;Col=1","No Title Assigned - #15277382158")</f>
        <v/>
      </c>
      <c r="B1507" s="0" t="s">
        <v>2169</v>
      </c>
      <c r="C1507" s="0" t="s">
        <v>2170</v>
      </c>
      <c r="D1507" s="0" t="s">
        <v>2170</v>
      </c>
      <c r="E1507" s="0" t="s">
        <v>13</v>
      </c>
      <c r="F1507" s="0" t="s">
        <v>14</v>
      </c>
      <c r="G1507" s="0" t="s">
        <v>15</v>
      </c>
      <c r="H1507" s="5">
        <v>14.925100</v>
      </c>
    </row>
    <row r="1508" spans="1:9">
      <c r="A1508" s="22" t="str">
        <f>HYPERLINK("https://app.vivvix.com/360/KMI/IntelliDrive/ApplUI/Pages/CreativePages/CustomReportCreativeDetail.aspx?App=23&amp;ReportView=4&amp;Qid=1711245&amp;Row=1500&amp;Col=1","No Title Assigned - #15277383378")</f>
        <v/>
      </c>
      <c r="B1508" s="0" t="s">
        <v>2171</v>
      </c>
      <c r="C1508" s="0" t="s">
        <v>2172</v>
      </c>
      <c r="D1508" s="0" t="s">
        <v>1835</v>
      </c>
      <c r="E1508" s="0" t="s">
        <v>13</v>
      </c>
      <c r="F1508" s="0" t="s">
        <v>28</v>
      </c>
      <c r="G1508" s="0" t="s">
        <v>453</v>
      </c>
      <c r="H1508" s="5">
        <v>14564.554800</v>
      </c>
    </row>
    <row r="1509" spans="1:9">
      <c r="A1509" s="22" t="str">
        <f>HYPERLINK("https://app.vivvix.com/360/KMI/IntelliDrive/ApplUI/Pages/CreativePages/CustomReportCreativeDetail.aspx?App=23&amp;ReportView=4&amp;Qid=1711245&amp;Row=1501&amp;Col=1","No Title Assigned - #15277416212")</f>
        <v/>
      </c>
      <c r="B1509" s="0" t="s">
        <v>2173</v>
      </c>
      <c r="E1509" s="0" t="s">
        <v>13</v>
      </c>
      <c r="F1509" s="0" t="s">
        <v>13</v>
      </c>
      <c r="G1509" s="0" t="s">
        <v>54</v>
      </c>
      <c r="H1509" s="5">
        <v>1242.204200</v>
      </c>
    </row>
    <row r="1510" spans="1:9">
      <c r="A1510" s="22" t="str">
        <f>HYPERLINK("https://app.vivvix.com/360/KMI/IntelliDrive/ApplUI/Pages/CreativePages/CustomReportCreativeDetail.aspx?App=23&amp;ReportView=4&amp;Qid=1711245&amp;Row=1502&amp;Col=1","No Title Assigned - #15277442557")</f>
        <v/>
      </c>
      <c r="B1510" s="0" t="s">
        <v>2174</v>
      </c>
      <c r="C1510" s="0" t="s">
        <v>2175</v>
      </c>
      <c r="D1510" s="0" t="s">
        <v>2175</v>
      </c>
      <c r="E1510" s="0" t="s">
        <v>13</v>
      </c>
      <c r="F1510" s="0" t="s">
        <v>13</v>
      </c>
      <c r="G1510" s="0" t="s">
        <v>35</v>
      </c>
      <c r="H1510" s="5">
        <v>12060.060300</v>
      </c>
    </row>
    <row r="1511" spans="1:9">
      <c r="A1511" s="22" t="str">
        <f>HYPERLINK("https://app.vivvix.com/360/KMI/IntelliDrive/ApplUI/Pages/CreativePages/CustomReportCreativeDetail.aspx?App=23&amp;ReportView=4&amp;Qid=1711245&amp;Row=1503&amp;Col=1","No Title Assigned - #15277471535")</f>
        <v/>
      </c>
      <c r="B1511" s="0" t="s">
        <v>2176</v>
      </c>
      <c r="E1511" s="0" t="s">
        <v>13</v>
      </c>
      <c r="F1511" s="0" t="s">
        <v>13</v>
      </c>
      <c r="G1511" s="0" t="s">
        <v>54</v>
      </c>
      <c r="H1511" s="5">
        <v>2278.738000</v>
      </c>
    </row>
    <row r="1512" spans="1:9">
      <c r="A1512" s="22" t="str">
        <f>HYPERLINK("https://app.vivvix.com/360/KMI/IntelliDrive/ApplUI/Pages/CreativePages/CustomReportCreativeDetail.aspx?App=23&amp;ReportView=4&amp;Qid=1711245&amp;Row=1504&amp;Col=1","No Title Assigned - #15277520881")</f>
        <v/>
      </c>
      <c r="B1512" s="0" t="s">
        <v>2177</v>
      </c>
      <c r="C1512" s="0" t="s">
        <v>2178</v>
      </c>
      <c r="D1512" s="0" t="s">
        <v>2178</v>
      </c>
      <c r="E1512" s="0" t="s">
        <v>13</v>
      </c>
      <c r="F1512" s="0" t="s">
        <v>128</v>
      </c>
      <c r="G1512" s="0" t="s">
        <v>456</v>
      </c>
      <c r="H1512" s="5">
        <v>14783.354100</v>
      </c>
    </row>
    <row r="1513" spans="1:9">
      <c r="A1513" s="22" t="str">
        <f>HYPERLINK("https://app.vivvix.com/360/KMI/IntelliDrive/ApplUI/Pages/CreativePages/CustomReportCreativeDetail.aspx?App=23&amp;ReportView=4&amp;Qid=1711245&amp;Row=1505&amp;Col=1","No Title Assigned - #15277524680")</f>
        <v/>
      </c>
      <c r="B1513" s="0" t="s">
        <v>2179</v>
      </c>
      <c r="E1513" s="0" t="s">
        <v>13</v>
      </c>
      <c r="F1513" s="0" t="s">
        <v>13</v>
      </c>
      <c r="G1513" s="0" t="s">
        <v>54</v>
      </c>
      <c r="H1513" s="5">
        <v>2278.738000</v>
      </c>
    </row>
    <row r="1514" spans="1:9">
      <c r="A1514" s="22" t="str">
        <f>HYPERLINK("https://app.vivvix.com/360/KMI/IntelliDrive/ApplUI/Pages/CreativePages/CustomReportCreativeDetail.aspx?App=23&amp;ReportView=4&amp;Qid=1711245&amp;Row=1506&amp;Col=1","No Title Assigned - #15277537628")</f>
        <v/>
      </c>
      <c r="B1514" s="0" t="s">
        <v>2180</v>
      </c>
      <c r="E1514" s="0" t="s">
        <v>13</v>
      </c>
      <c r="F1514" s="0" t="s">
        <v>13</v>
      </c>
      <c r="G1514" s="0" t="s">
        <v>54</v>
      </c>
      <c r="H1514" s="5">
        <v>58.881700</v>
      </c>
    </row>
    <row r="1515" spans="1:9">
      <c r="A1515" s="22" t="str">
        <f>HYPERLINK("https://app.vivvix.com/360/KMI/IntelliDrive/ApplUI/Pages/CreativePages/CustomReportCreativeDetail.aspx?App=23&amp;ReportView=4&amp;Qid=1711245&amp;Row=1507&amp;Col=1","No Title Assigned - #15277555307")</f>
        <v/>
      </c>
      <c r="B1515" s="0" t="s">
        <v>2181</v>
      </c>
      <c r="C1515" s="0" t="s">
        <v>2182</v>
      </c>
      <c r="D1515" s="0" t="s">
        <v>1972</v>
      </c>
      <c r="E1515" s="0" t="s">
        <v>13</v>
      </c>
      <c r="F1515" s="0" t="s">
        <v>14</v>
      </c>
      <c r="G1515" s="0" t="s">
        <v>15</v>
      </c>
      <c r="H1515" s="5">
        <v>542.554800</v>
      </c>
    </row>
    <row r="1516" spans="1:9">
      <c r="A1516" s="22" t="str">
        <f>HYPERLINK("https://app.vivvix.com/360/KMI/IntelliDrive/ApplUI/Pages/CreativePages/CustomReportCreativeDetail.aspx?App=23&amp;ReportView=4&amp;Qid=1711245&amp;Row=1508&amp;Col=1","No Title Assigned - #15277574792")</f>
        <v/>
      </c>
      <c r="B1516" s="0" t="s">
        <v>2183</v>
      </c>
      <c r="C1516" s="0" t="s">
        <v>2184</v>
      </c>
      <c r="D1516" s="0" t="s">
        <v>1888</v>
      </c>
      <c r="E1516" s="0" t="s">
        <v>13</v>
      </c>
      <c r="F1516" s="0" t="s">
        <v>28</v>
      </c>
      <c r="G1516" s="0" t="s">
        <v>453</v>
      </c>
      <c r="H1516" s="5">
        <v>429.662700</v>
      </c>
    </row>
    <row r="1517" spans="1:9">
      <c r="A1517" s="22" t="str">
        <f>HYPERLINK("https://app.vivvix.com/360/KMI/IntelliDrive/ApplUI/Pages/CreativePages/CustomReportCreativeDetail.aspx?App=23&amp;ReportView=4&amp;Qid=1711245&amp;Row=1509&amp;Col=1","No Title Assigned - #15277617663")</f>
        <v/>
      </c>
      <c r="B1517" s="0" t="s">
        <v>2185</v>
      </c>
      <c r="E1517" s="0" t="s">
        <v>13</v>
      </c>
      <c r="F1517" s="0" t="s">
        <v>13</v>
      </c>
      <c r="G1517" s="0" t="s">
        <v>54</v>
      </c>
      <c r="H1517" s="5">
        <v>202.378900</v>
      </c>
    </row>
    <row r="1518" spans="1:9">
      <c r="A1518" s="22" t="str">
        <f>HYPERLINK("https://app.vivvix.com/360/KMI/IntelliDrive/ApplUI/Pages/CreativePages/CustomReportCreativeDetail.aspx?App=23&amp;ReportView=4&amp;Qid=1711245&amp;Row=1510&amp;Col=1","No Title Assigned - #15277620187")</f>
        <v/>
      </c>
      <c r="B1518" s="0" t="s">
        <v>2186</v>
      </c>
      <c r="E1518" s="0" t="s">
        <v>13</v>
      </c>
      <c r="F1518" s="0" t="s">
        <v>13</v>
      </c>
      <c r="G1518" s="0" t="s">
        <v>54</v>
      </c>
      <c r="H1518" s="5">
        <v>86.173400</v>
      </c>
    </row>
    <row r="1519" spans="1:9">
      <c r="A1519" s="22" t="str">
        <f>HYPERLINK("https://app.vivvix.com/360/KMI/IntelliDrive/ApplUI/Pages/CreativePages/CustomReportCreativeDetail.aspx?App=23&amp;ReportView=4&amp;Qid=1711245&amp;Row=1511&amp;Col=1","No Title Assigned - #15277650699")</f>
        <v/>
      </c>
      <c r="B1519" s="0" t="s">
        <v>2187</v>
      </c>
      <c r="E1519" s="0" t="s">
        <v>13</v>
      </c>
      <c r="F1519" s="0" t="s">
        <v>13</v>
      </c>
      <c r="G1519" s="0" t="s">
        <v>54</v>
      </c>
      <c r="H1519" s="5">
        <v>404.757800</v>
      </c>
    </row>
    <row r="1520" spans="1:9">
      <c r="A1520" s="22" t="str">
        <f>HYPERLINK("https://app.vivvix.com/360/KMI/IntelliDrive/ApplUI/Pages/CreativePages/CustomReportCreativeDetail.aspx?App=23&amp;ReportView=4&amp;Qid=1711245&amp;Row=1512&amp;Col=1","No Title Assigned - #15277654499")</f>
        <v/>
      </c>
      <c r="B1520" s="0" t="s">
        <v>2188</v>
      </c>
      <c r="E1520" s="0" t="s">
        <v>13</v>
      </c>
      <c r="F1520" s="0" t="s">
        <v>13</v>
      </c>
      <c r="G1520" s="0" t="s">
        <v>54</v>
      </c>
      <c r="H1520" s="5">
        <v>166.143600</v>
      </c>
    </row>
    <row r="1521" spans="1:9">
      <c r="A1521" s="22" t="str">
        <f>HYPERLINK("https://app.vivvix.com/360/KMI/IntelliDrive/ApplUI/Pages/CreativePages/CustomReportCreativeDetail.aspx?App=23&amp;ReportView=4&amp;Qid=1711245&amp;Row=1513&amp;Col=1","No Title Assigned - #15277663935")</f>
        <v/>
      </c>
      <c r="B1521" s="0" t="s">
        <v>2189</v>
      </c>
      <c r="C1521" s="0" t="s">
        <v>2190</v>
      </c>
      <c r="D1521" s="0" t="s">
        <v>2190</v>
      </c>
      <c r="E1521" s="0" t="s">
        <v>13</v>
      </c>
      <c r="F1521" s="0" t="s">
        <v>14</v>
      </c>
      <c r="G1521" s="0" t="s">
        <v>15</v>
      </c>
      <c r="H1521" s="5">
        <v>14.925100</v>
      </c>
    </row>
    <row r="1522" spans="1:9">
      <c r="A1522" s="22" t="str">
        <f>HYPERLINK("https://app.vivvix.com/360/KMI/IntelliDrive/ApplUI/Pages/CreativePages/CustomReportCreativeDetail.aspx?App=23&amp;ReportView=4&amp;Qid=1711245&amp;Row=1514&amp;Col=1","No Title Assigned - #15277679717")</f>
        <v/>
      </c>
      <c r="B1522" s="0" t="s">
        <v>2191</v>
      </c>
      <c r="E1522" s="0" t="s">
        <v>13</v>
      </c>
      <c r="F1522" s="0" t="s">
        <v>13</v>
      </c>
      <c r="G1522" s="0" t="s">
        <v>54</v>
      </c>
      <c r="H1522" s="5">
        <v>217.851400</v>
      </c>
    </row>
    <row r="1523" spans="1:9">
      <c r="A1523" s="22" t="str">
        <f>HYPERLINK("https://app.vivvix.com/360/KMI/IntelliDrive/ApplUI/Pages/CreativePages/CustomReportCreativeDetail.aspx?App=23&amp;ReportView=4&amp;Qid=1711245&amp;Row=1515&amp;Col=1","No Title Assigned - #15277697072")</f>
        <v/>
      </c>
      <c r="B1523" s="0" t="s">
        <v>2192</v>
      </c>
      <c r="C1523" s="0" t="s">
        <v>2193</v>
      </c>
      <c r="D1523" s="0" t="s">
        <v>2193</v>
      </c>
      <c r="E1523" s="0" t="s">
        <v>13</v>
      </c>
      <c r="F1523" s="0" t="s">
        <v>14</v>
      </c>
      <c r="G1523" s="0" t="s">
        <v>15</v>
      </c>
      <c r="H1523" s="5">
        <v>2911.366500</v>
      </c>
    </row>
    <row r="1524" spans="1:9">
      <c r="A1524" s="22" t="str">
        <f>HYPERLINK("https://app.vivvix.com/360/KMI/IntelliDrive/ApplUI/Pages/CreativePages/CustomReportCreativeDetail.aspx?App=23&amp;ReportView=4&amp;Qid=1711245&amp;Row=1516&amp;Col=1","No Title Assigned - #15277709473")</f>
        <v/>
      </c>
      <c r="B1524" s="0" t="s">
        <v>2194</v>
      </c>
      <c r="C1524" s="0" t="s">
        <v>2195</v>
      </c>
      <c r="D1524" s="0" t="s">
        <v>2195</v>
      </c>
      <c r="E1524" s="0" t="s">
        <v>13</v>
      </c>
      <c r="F1524" s="0" t="s">
        <v>14</v>
      </c>
      <c r="G1524" s="0" t="s">
        <v>15</v>
      </c>
      <c r="H1524" s="5">
        <v>810.423700</v>
      </c>
    </row>
    <row r="1525" spans="1:9">
      <c r="A1525" s="22" t="str">
        <f>HYPERLINK("https://app.vivvix.com/360/KMI/IntelliDrive/ApplUI/Pages/CreativePages/CustomReportCreativeDetail.aspx?App=23&amp;ReportView=4&amp;Qid=1711245&amp;Row=1517&amp;Col=1","No Title Assigned - #15277710840")</f>
        <v/>
      </c>
      <c r="B1525" s="0" t="s">
        <v>2196</v>
      </c>
      <c r="E1525" s="0" t="s">
        <v>13</v>
      </c>
      <c r="F1525" s="0" t="s">
        <v>13</v>
      </c>
      <c r="G1525" s="0" t="s">
        <v>54</v>
      </c>
      <c r="H1525" s="5">
        <v>5928.033100</v>
      </c>
    </row>
    <row r="1526" spans="1:9">
      <c r="A1526" s="22" t="str">
        <f>HYPERLINK("https://app.vivvix.com/360/KMI/IntelliDrive/ApplUI/Pages/CreativePages/CustomReportCreativeDetail.aspx?App=23&amp;ReportView=4&amp;Qid=1711245&amp;Row=1518&amp;Col=1","No Title Assigned - #15277722365")</f>
        <v/>
      </c>
      <c r="B1526" s="0" t="s">
        <v>2197</v>
      </c>
      <c r="C1526" s="0" t="s">
        <v>2198</v>
      </c>
      <c r="D1526" s="0" t="s">
        <v>2198</v>
      </c>
      <c r="E1526" s="0" t="s">
        <v>13</v>
      </c>
      <c r="F1526" s="0" t="s">
        <v>14</v>
      </c>
      <c r="G1526" s="0" t="s">
        <v>15</v>
      </c>
      <c r="H1526" s="5">
        <v>965.171700</v>
      </c>
    </row>
    <row r="1527" spans="1:9">
      <c r="A1527" s="22" t="str">
        <f>HYPERLINK("https://app.vivvix.com/360/KMI/IntelliDrive/ApplUI/Pages/CreativePages/CustomReportCreativeDetail.aspx?App=23&amp;ReportView=4&amp;Qid=1711245&amp;Row=1519&amp;Col=1","No Title Assigned - #15277775504")</f>
        <v/>
      </c>
      <c r="B1527" s="0" t="s">
        <v>2199</v>
      </c>
      <c r="E1527" s="0" t="s">
        <v>13</v>
      </c>
      <c r="F1527" s="0" t="s">
        <v>13</v>
      </c>
      <c r="G1527" s="0" t="s">
        <v>54</v>
      </c>
      <c r="H1527" s="5">
        <v>321.705400</v>
      </c>
    </row>
    <row r="1528" spans="1:9">
      <c r="A1528" s="22" t="str">
        <f>HYPERLINK("https://app.vivvix.com/360/KMI/IntelliDrive/ApplUI/Pages/CreativePages/CustomReportCreativeDetail.aspx?App=23&amp;ReportView=4&amp;Qid=1711245&amp;Row=1520&amp;Col=1","No Title Assigned - #15277776939")</f>
        <v/>
      </c>
      <c r="B1528" s="0" t="s">
        <v>2200</v>
      </c>
      <c r="C1528" s="0" t="s">
        <v>2201</v>
      </c>
      <c r="D1528" s="0" t="s">
        <v>2201</v>
      </c>
      <c r="E1528" s="0" t="s">
        <v>13</v>
      </c>
      <c r="F1528" s="0" t="s">
        <v>13</v>
      </c>
      <c r="G1528" s="0" t="s">
        <v>78</v>
      </c>
      <c r="H1528" s="5">
        <v>6474.329600</v>
      </c>
    </row>
    <row r="1529" spans="1:9">
      <c r="A1529" s="22" t="str">
        <f>HYPERLINK("https://app.vivvix.com/360/KMI/IntelliDrive/ApplUI/Pages/CreativePages/CustomReportCreativeDetail.aspx?App=23&amp;ReportView=4&amp;Qid=1711245&amp;Row=1521&amp;Col=1","No Title Assigned - #15277779745")</f>
        <v/>
      </c>
      <c r="B1529" s="0" t="s">
        <v>2202</v>
      </c>
      <c r="E1529" s="0" t="s">
        <v>13</v>
      </c>
      <c r="F1529" s="0" t="s">
        <v>13</v>
      </c>
      <c r="G1529" s="0" t="s">
        <v>54</v>
      </c>
      <c r="H1529" s="5">
        <v>2278.738000</v>
      </c>
    </row>
    <row r="1530" spans="1:9">
      <c r="A1530" s="22" t="str">
        <f>HYPERLINK("https://app.vivvix.com/360/KMI/IntelliDrive/ApplUI/Pages/CreativePages/CustomReportCreativeDetail.aspx?App=23&amp;ReportView=4&amp;Qid=1711245&amp;Row=1522&amp;Col=1","No Title Assigned - #15277779838")</f>
        <v/>
      </c>
      <c r="B1530" s="0" t="s">
        <v>2203</v>
      </c>
      <c r="E1530" s="0" t="s">
        <v>13</v>
      </c>
      <c r="F1530" s="0" t="s">
        <v>13</v>
      </c>
      <c r="G1530" s="0" t="s">
        <v>54</v>
      </c>
      <c r="H1530" s="5">
        <v>2278.738000</v>
      </c>
    </row>
    <row r="1531" spans="1:9">
      <c r="A1531" s="22" t="str">
        <f>HYPERLINK("https://app.vivvix.com/360/KMI/IntelliDrive/ApplUI/Pages/CreativePages/CustomReportCreativeDetail.aspx?App=23&amp;ReportView=4&amp;Qid=1711245&amp;Row=1523&amp;Col=1","No Title Assigned - #15277794050")</f>
        <v/>
      </c>
      <c r="B1531" s="0" t="s">
        <v>2204</v>
      </c>
      <c r="E1531" s="0" t="s">
        <v>13</v>
      </c>
      <c r="F1531" s="0" t="s">
        <v>13</v>
      </c>
      <c r="G1531" s="0" t="s">
        <v>54</v>
      </c>
      <c r="H1531" s="5">
        <v>321.705400</v>
      </c>
    </row>
    <row r="1532" spans="1:9">
      <c r="A1532" s="22" t="str">
        <f>HYPERLINK("https://app.vivvix.com/360/KMI/IntelliDrive/ApplUI/Pages/CreativePages/CustomReportCreativeDetail.aspx?App=23&amp;ReportView=4&amp;Qid=1711245&amp;Row=1524&amp;Col=1","No Title Assigned - #15277820126")</f>
        <v/>
      </c>
      <c r="B1532" s="0" t="s">
        <v>2205</v>
      </c>
      <c r="E1532" s="0" t="s">
        <v>13</v>
      </c>
      <c r="F1532" s="0" t="s">
        <v>13</v>
      </c>
      <c r="G1532" s="0" t="s">
        <v>54</v>
      </c>
      <c r="H1532" s="5">
        <v>972.807200</v>
      </c>
    </row>
    <row r="1533" spans="1:9">
      <c r="A1533" s="22" t="str">
        <f>HYPERLINK("https://app.vivvix.com/360/KMI/IntelliDrive/ApplUI/Pages/CreativePages/CustomReportCreativeDetail.aspx?App=23&amp;ReportView=4&amp;Qid=1711245&amp;Row=1525&amp;Col=1","No Title Assigned - #15277834655")</f>
        <v/>
      </c>
      <c r="B1533" s="0" t="s">
        <v>2206</v>
      </c>
      <c r="C1533" s="0" t="s">
        <v>2207</v>
      </c>
      <c r="D1533" s="0" t="s">
        <v>2207</v>
      </c>
      <c r="E1533" s="0" t="s">
        <v>13</v>
      </c>
      <c r="F1533" s="0" t="s">
        <v>540</v>
      </c>
      <c r="G1533" s="0" t="s">
        <v>541</v>
      </c>
      <c r="H1533" s="5">
        <v>32626.078300</v>
      </c>
    </row>
    <row r="1534" spans="1:9">
      <c r="A1534" s="22" t="str">
        <f>HYPERLINK("https://app.vivvix.com/360/KMI/IntelliDrive/ApplUI/Pages/CreativePages/CustomReportCreativeDetail.aspx?App=23&amp;ReportView=4&amp;Qid=1711245&amp;Row=1526&amp;Col=1","No Title Assigned - #15277849694")</f>
        <v/>
      </c>
      <c r="B1534" s="0" t="s">
        <v>2208</v>
      </c>
      <c r="C1534" s="0" t="s">
        <v>2209</v>
      </c>
      <c r="D1534" s="0" t="s">
        <v>2209</v>
      </c>
      <c r="E1534" s="0" t="s">
        <v>13</v>
      </c>
      <c r="F1534" s="0" t="s">
        <v>14</v>
      </c>
      <c r="G1534" s="0" t="s">
        <v>15</v>
      </c>
      <c r="H1534" s="5">
        <v>414.340200</v>
      </c>
    </row>
    <row r="1535" spans="1:9">
      <c r="A1535" s="22" t="str">
        <f>HYPERLINK("https://app.vivvix.com/360/KMI/IntelliDrive/ApplUI/Pages/CreativePages/CustomReportCreativeDetail.aspx?App=23&amp;ReportView=4&amp;Qid=1711245&amp;Row=1527&amp;Col=1","No Title Assigned - #15277849709")</f>
        <v/>
      </c>
      <c r="B1535" s="0" t="s">
        <v>2210</v>
      </c>
      <c r="C1535" s="0" t="s">
        <v>2211</v>
      </c>
      <c r="D1535" s="0" t="s">
        <v>2211</v>
      </c>
      <c r="E1535" s="0" t="s">
        <v>13</v>
      </c>
      <c r="F1535" s="0" t="s">
        <v>14</v>
      </c>
      <c r="G1535" s="0" t="s">
        <v>15</v>
      </c>
      <c r="H1535" s="5">
        <v>432.829100</v>
      </c>
    </row>
    <row r="1536" spans="1:9">
      <c r="A1536" s="22" t="str">
        <f>HYPERLINK("https://app.vivvix.com/360/KMI/IntelliDrive/ApplUI/Pages/CreativePages/CustomReportCreativeDetail.aspx?App=23&amp;ReportView=4&amp;Qid=1711245&amp;Row=1528&amp;Col=1","No Title Assigned - #15277849709")</f>
        <v/>
      </c>
      <c r="B1536" s="0" t="s">
        <v>2210</v>
      </c>
      <c r="E1536" s="0" t="s">
        <v>13</v>
      </c>
      <c r="F1536" s="0" t="s">
        <v>14</v>
      </c>
      <c r="G1536" s="0" t="s">
        <v>15</v>
      </c>
      <c r="H1536" s="5">
        <v>834.659500</v>
      </c>
    </row>
    <row r="1537" spans="1:9">
      <c r="A1537" s="22" t="str">
        <f>HYPERLINK("https://app.vivvix.com/360/KMI/IntelliDrive/ApplUI/Pages/CreativePages/CustomReportCreativeDetail.aspx?App=23&amp;ReportView=4&amp;Qid=1711245&amp;Row=1529&amp;Col=1","No Title Assigned - #15277850453")</f>
        <v/>
      </c>
      <c r="B1537" s="0" t="s">
        <v>2212</v>
      </c>
      <c r="C1537" s="0" t="s">
        <v>2213</v>
      </c>
      <c r="D1537" s="0" t="s">
        <v>2213</v>
      </c>
      <c r="E1537" s="0" t="s">
        <v>13</v>
      </c>
      <c r="F1537" s="0" t="s">
        <v>14</v>
      </c>
      <c r="G1537" s="0" t="s">
        <v>15</v>
      </c>
      <c r="H1537" s="5">
        <v>877.294800</v>
      </c>
    </row>
    <row r="1538" spans="1:9">
      <c r="A1538" s="22" t="str">
        <f>HYPERLINK("https://app.vivvix.com/360/KMI/IntelliDrive/ApplUI/Pages/CreativePages/CustomReportCreativeDetail.aspx?App=23&amp;ReportView=4&amp;Qid=1711245&amp;Row=1530&amp;Col=1","No Title Assigned - #15277853232")</f>
        <v/>
      </c>
      <c r="B1538" s="0" t="s">
        <v>2214</v>
      </c>
      <c r="C1538" s="0" t="s">
        <v>2215</v>
      </c>
      <c r="D1538" s="0" t="s">
        <v>2215</v>
      </c>
      <c r="E1538" s="0" t="s">
        <v>13</v>
      </c>
      <c r="F1538" s="0" t="s">
        <v>14</v>
      </c>
      <c r="G1538" s="0" t="s">
        <v>15</v>
      </c>
      <c r="H1538" s="5">
        <v>783.201600</v>
      </c>
    </row>
    <row r="1539" spans="1:9">
      <c r="A1539" s="22" t="str">
        <f>HYPERLINK("https://app.vivvix.com/360/KMI/IntelliDrive/ApplUI/Pages/CreativePages/CustomReportCreativeDetail.aspx?App=23&amp;ReportView=4&amp;Qid=1711245&amp;Row=1531&amp;Col=1","No Title Assigned - #15277912158")</f>
        <v/>
      </c>
      <c r="B1539" s="0" t="s">
        <v>2216</v>
      </c>
      <c r="E1539" s="0" t="s">
        <v>13</v>
      </c>
      <c r="F1539" s="0" t="s">
        <v>13</v>
      </c>
      <c r="G1539" s="0" t="s">
        <v>54</v>
      </c>
      <c r="H1539" s="5">
        <v>3417.668800</v>
      </c>
    </row>
    <row r="1540" spans="1:9">
      <c r="A1540" s="22" t="str">
        <f>HYPERLINK("https://app.vivvix.com/360/KMI/IntelliDrive/ApplUI/Pages/CreativePages/CustomReportCreativeDetail.aspx?App=23&amp;ReportView=4&amp;Qid=1711245&amp;Row=1532&amp;Col=1","No Title Assigned - #15277912437")</f>
        <v/>
      </c>
      <c r="B1540" s="0" t="s">
        <v>2217</v>
      </c>
      <c r="E1540" s="0" t="s">
        <v>13</v>
      </c>
      <c r="F1540" s="0" t="s">
        <v>13</v>
      </c>
      <c r="G1540" s="0" t="s">
        <v>54</v>
      </c>
      <c r="H1540" s="5">
        <v>2911.366500</v>
      </c>
    </row>
    <row r="1541" spans="1:9">
      <c r="A1541" s="22" t="str">
        <f>HYPERLINK("https://app.vivvix.com/360/KMI/IntelliDrive/ApplUI/Pages/CreativePages/CustomReportCreativeDetail.aspx?App=23&amp;ReportView=4&amp;Qid=1711245&amp;Row=1533&amp;Col=1","No Title Assigned - #15277913157")</f>
        <v/>
      </c>
      <c r="B1541" s="0" t="s">
        <v>2218</v>
      </c>
      <c r="E1541" s="0" t="s">
        <v>13</v>
      </c>
      <c r="F1541" s="0" t="s">
        <v>13</v>
      </c>
      <c r="G1541" s="0" t="s">
        <v>54</v>
      </c>
      <c r="H1541" s="5">
        <v>733.456900</v>
      </c>
    </row>
    <row r="1542" spans="1:9">
      <c r="A1542" s="22" t="str">
        <f>HYPERLINK("https://app.vivvix.com/360/KMI/IntelliDrive/ApplUI/Pages/CreativePages/CustomReportCreativeDetail.aspx?App=23&amp;ReportView=4&amp;Qid=1711245&amp;Row=1534&amp;Col=1","No Title Assigned - #15277957255")</f>
        <v/>
      </c>
      <c r="B1542" s="0" t="s">
        <v>2219</v>
      </c>
      <c r="C1542" s="0" t="s">
        <v>2220</v>
      </c>
      <c r="D1542" s="0" t="s">
        <v>1642</v>
      </c>
      <c r="E1542" s="0" t="s">
        <v>13</v>
      </c>
      <c r="F1542" s="0" t="s">
        <v>540</v>
      </c>
      <c r="G1542" s="0" t="s">
        <v>541</v>
      </c>
      <c r="H1542" s="5">
        <v>34.049300</v>
      </c>
    </row>
    <row r="1543" spans="1:9">
      <c r="A1543" s="22" t="str">
        <f>HYPERLINK("https://app.vivvix.com/360/KMI/IntelliDrive/ApplUI/Pages/CreativePages/CustomReportCreativeDetail.aspx?App=23&amp;ReportView=4&amp;Qid=1711245&amp;Row=1535&amp;Col=1","No Title Assigned - #15277961910")</f>
        <v/>
      </c>
      <c r="B1543" s="0" t="s">
        <v>2221</v>
      </c>
      <c r="E1543" s="0" t="s">
        <v>13</v>
      </c>
      <c r="F1543" s="0" t="s">
        <v>14</v>
      </c>
      <c r="G1543" s="0" t="s">
        <v>15</v>
      </c>
      <c r="H1543" s="5">
        <v>57.560000</v>
      </c>
    </row>
    <row r="1544" spans="1:9">
      <c r="A1544" s="22" t="str">
        <f>HYPERLINK("https://app.vivvix.com/360/KMI/IntelliDrive/ApplUI/Pages/CreativePages/CustomReportCreativeDetail.aspx?App=23&amp;ReportView=4&amp;Qid=1711245&amp;Row=1536&amp;Col=1","No Title Assigned - #15277967958")</f>
        <v/>
      </c>
      <c r="B1544" s="0" t="s">
        <v>2222</v>
      </c>
      <c r="E1544" s="0" t="s">
        <v>13</v>
      </c>
      <c r="F1544" s="0" t="s">
        <v>13</v>
      </c>
      <c r="G1544" s="0" t="s">
        <v>54</v>
      </c>
      <c r="H1544" s="5">
        <v>3279.723100</v>
      </c>
    </row>
    <row r="1545" spans="1:9">
      <c r="A1545" s="22" t="str">
        <f>HYPERLINK("https://app.vivvix.com/360/KMI/IntelliDrive/ApplUI/Pages/CreativePages/CustomReportCreativeDetail.aspx?App=23&amp;ReportView=4&amp;Qid=1711245&amp;Row=1537&amp;Col=1","No Title Assigned - #15277994835")</f>
        <v/>
      </c>
      <c r="B1545" s="0" t="s">
        <v>2223</v>
      </c>
      <c r="C1545" s="0" t="s">
        <v>2224</v>
      </c>
      <c r="D1545" s="0" t="s">
        <v>2224</v>
      </c>
      <c r="E1545" s="0" t="s">
        <v>13</v>
      </c>
      <c r="F1545" s="0" t="s">
        <v>530</v>
      </c>
      <c r="G1545" s="0" t="s">
        <v>531</v>
      </c>
      <c r="H1545" s="5">
        <v>7827.733500</v>
      </c>
    </row>
    <row r="1546" spans="1:9">
      <c r="A1546" s="22" t="str">
        <f>HYPERLINK("https://app.vivvix.com/360/KMI/IntelliDrive/ApplUI/Pages/CreativePages/CustomReportCreativeDetail.aspx?App=23&amp;ReportView=4&amp;Qid=1711245&amp;Row=1538&amp;Col=1","No Title Assigned - #15278000602")</f>
        <v/>
      </c>
      <c r="B1546" s="0" t="s">
        <v>2225</v>
      </c>
      <c r="C1546" s="0" t="s">
        <v>2226</v>
      </c>
      <c r="D1546" s="0" t="s">
        <v>2226</v>
      </c>
      <c r="E1546" s="0" t="s">
        <v>13</v>
      </c>
      <c r="F1546" s="0" t="s">
        <v>14</v>
      </c>
      <c r="G1546" s="0" t="s">
        <v>15</v>
      </c>
      <c r="H1546" s="5">
        <v>21.554000</v>
      </c>
    </row>
    <row r="1547" spans="1:9">
      <c r="A1547" s="22" t="str">
        <f>HYPERLINK("https://app.vivvix.com/360/KMI/IntelliDrive/ApplUI/Pages/CreativePages/CustomReportCreativeDetail.aspx?App=23&amp;ReportView=4&amp;Qid=1711245&amp;Row=1539&amp;Col=1","No Title Assigned - #15278058155")</f>
        <v/>
      </c>
      <c r="B1547" s="0" t="s">
        <v>2227</v>
      </c>
      <c r="E1547" s="0" t="s">
        <v>13</v>
      </c>
      <c r="F1547" s="0" t="s">
        <v>13</v>
      </c>
      <c r="G1547" s="0" t="s">
        <v>54</v>
      </c>
      <c r="H1547" s="5">
        <v>202.378900</v>
      </c>
    </row>
    <row r="1548" spans="1:9">
      <c r="A1548" s="22" t="str">
        <f>HYPERLINK("https://app.vivvix.com/360/KMI/IntelliDrive/ApplUI/Pages/CreativePages/CustomReportCreativeDetail.aspx?App=23&amp;ReportView=4&amp;Qid=1711245&amp;Row=1540&amp;Col=1","No Title Assigned - #15278090822")</f>
        <v/>
      </c>
      <c r="B1548" s="0" t="s">
        <v>2228</v>
      </c>
      <c r="C1548" s="0" t="s">
        <v>2229</v>
      </c>
      <c r="D1548" s="0" t="s">
        <v>1920</v>
      </c>
      <c r="E1548" s="0" t="s">
        <v>13</v>
      </c>
      <c r="F1548" s="0" t="s">
        <v>530</v>
      </c>
      <c r="G1548" s="0" t="s">
        <v>531</v>
      </c>
      <c r="H1548" s="5">
        <v>552.315500</v>
      </c>
    </row>
    <row r="1549" spans="1:9">
      <c r="A1549" s="22" t="str">
        <f>HYPERLINK("https://app.vivvix.com/360/KMI/IntelliDrive/ApplUI/Pages/CreativePages/CustomReportCreativeDetail.aspx?App=23&amp;ReportView=4&amp;Qid=1711245&amp;Row=1541&amp;Col=1","No Title Assigned - #15278090864")</f>
        <v/>
      </c>
      <c r="B1549" s="0" t="s">
        <v>2230</v>
      </c>
      <c r="C1549" s="0" t="s">
        <v>2231</v>
      </c>
      <c r="D1549" s="0" t="s">
        <v>2231</v>
      </c>
      <c r="E1549" s="0" t="s">
        <v>13</v>
      </c>
      <c r="F1549" s="0" t="s">
        <v>28</v>
      </c>
      <c r="G1549" s="0" t="s">
        <v>453</v>
      </c>
      <c r="H1549" s="5">
        <v>1393.088000</v>
      </c>
    </row>
    <row r="1550" spans="1:9">
      <c r="A1550" s="22" t="str">
        <f>HYPERLINK("https://app.vivvix.com/360/KMI/IntelliDrive/ApplUI/Pages/CreativePages/CustomReportCreativeDetail.aspx?App=23&amp;ReportView=4&amp;Qid=1711245&amp;Row=1542&amp;Col=1","No Title Assigned - #15278092992")</f>
        <v/>
      </c>
      <c r="B1550" s="0" t="s">
        <v>2232</v>
      </c>
      <c r="E1550" s="0" t="s">
        <v>13</v>
      </c>
      <c r="F1550" s="0" t="s">
        <v>13</v>
      </c>
      <c r="G1550" s="0" t="s">
        <v>54</v>
      </c>
      <c r="H1550" s="5">
        <v>7.796600</v>
      </c>
    </row>
    <row r="1551" spans="1:9">
      <c r="A1551" s="22" t="str">
        <f>HYPERLINK("https://app.vivvix.com/360/KMI/IntelliDrive/ApplUI/Pages/CreativePages/CustomReportCreativeDetail.aspx?App=23&amp;ReportView=4&amp;Qid=1711245&amp;Row=1543&amp;Col=1","No Title Assigned - #15278125880")</f>
        <v/>
      </c>
      <c r="B1551" s="0" t="s">
        <v>2233</v>
      </c>
      <c r="C1551" s="0" t="s">
        <v>2234</v>
      </c>
      <c r="D1551" s="0" t="s">
        <v>2234</v>
      </c>
      <c r="E1551" s="0" t="s">
        <v>13</v>
      </c>
      <c r="F1551" s="0" t="s">
        <v>128</v>
      </c>
      <c r="G1551" s="0" t="s">
        <v>456</v>
      </c>
      <c r="H1551" s="5">
        <v>2579.473500</v>
      </c>
    </row>
    <row r="1552" spans="1:9">
      <c r="A1552" s="22" t="str">
        <f>HYPERLINK("https://app.vivvix.com/360/KMI/IntelliDrive/ApplUI/Pages/CreativePages/CustomReportCreativeDetail.aspx?App=23&amp;ReportView=4&amp;Qid=1711245&amp;Row=1544&amp;Col=1","No Title Assigned - #15278138320")</f>
        <v/>
      </c>
      <c r="B1552" s="0" t="s">
        <v>2235</v>
      </c>
      <c r="C1552" s="0" t="s">
        <v>2236</v>
      </c>
      <c r="D1552" s="0" t="s">
        <v>2236</v>
      </c>
      <c r="E1552" s="0" t="s">
        <v>13</v>
      </c>
      <c r="F1552" s="0" t="s">
        <v>14</v>
      </c>
      <c r="G1552" s="0" t="s">
        <v>15</v>
      </c>
      <c r="H1552" s="5">
        <v>709.088200</v>
      </c>
    </row>
    <row r="1553" spans="1:9">
      <c r="A1553" s="22" t="str">
        <f>HYPERLINK("https://app.vivvix.com/360/KMI/IntelliDrive/ApplUI/Pages/CreativePages/CustomReportCreativeDetail.aspx?App=23&amp;ReportView=4&amp;Qid=1711245&amp;Row=1545&amp;Col=1","No Title Assigned - #15278151520")</f>
        <v/>
      </c>
      <c r="B1553" s="0" t="s">
        <v>2237</v>
      </c>
      <c r="E1553" s="0" t="s">
        <v>13</v>
      </c>
      <c r="F1553" s="0" t="s">
        <v>13</v>
      </c>
      <c r="G1553" s="0" t="s">
        <v>35</v>
      </c>
      <c r="H1553" s="5">
        <v>3047.010000</v>
      </c>
    </row>
    <row r="1554" spans="1:9">
      <c r="A1554" s="22" t="str">
        <f>HYPERLINK("https://app.vivvix.com/360/KMI/IntelliDrive/ApplUI/Pages/CreativePages/CustomReportCreativeDetail.aspx?App=23&amp;ReportView=4&amp;Qid=1711245&amp;Row=1546&amp;Col=1","No Title Assigned - #15278151619")</f>
        <v/>
      </c>
      <c r="B1554" s="0" t="s">
        <v>2238</v>
      </c>
      <c r="E1554" s="0" t="s">
        <v>13</v>
      </c>
      <c r="F1554" s="0" t="s">
        <v>13</v>
      </c>
      <c r="G1554" s="0" t="s">
        <v>35</v>
      </c>
      <c r="H1554" s="5">
        <v>198.380000</v>
      </c>
    </row>
    <row r="1555" spans="1:9">
      <c r="A1555" s="22" t="str">
        <f>HYPERLINK("https://app.vivvix.com/360/KMI/IntelliDrive/ApplUI/Pages/CreativePages/CustomReportCreativeDetail.aspx?App=23&amp;ReportView=4&amp;Qid=1711245&amp;Row=1547&amp;Col=1","No Title Assigned - #15278151782")</f>
        <v/>
      </c>
      <c r="B1555" s="0" t="s">
        <v>2239</v>
      </c>
      <c r="E1555" s="0" t="s">
        <v>13</v>
      </c>
      <c r="F1555" s="0" t="s">
        <v>13</v>
      </c>
      <c r="G1555" s="0" t="s">
        <v>35</v>
      </c>
      <c r="H1555" s="5">
        <v>198.380000</v>
      </c>
    </row>
    <row r="1556" spans="1:9">
      <c r="A1556" s="22" t="str">
        <f>HYPERLINK("https://app.vivvix.com/360/KMI/IntelliDrive/ApplUI/Pages/CreativePages/CustomReportCreativeDetail.aspx?App=23&amp;ReportView=4&amp;Qid=1711245&amp;Row=1548&amp;Col=1","No Title Assigned - #15278152943")</f>
        <v/>
      </c>
      <c r="B1556" s="0" t="s">
        <v>2240</v>
      </c>
      <c r="C1556" s="0" t="s">
        <v>2241</v>
      </c>
      <c r="D1556" s="0" t="s">
        <v>1888</v>
      </c>
      <c r="E1556" s="0" t="s">
        <v>13</v>
      </c>
      <c r="F1556" s="0" t="s">
        <v>28</v>
      </c>
      <c r="G1556" s="0" t="s">
        <v>453</v>
      </c>
      <c r="H1556" s="5">
        <v>81.614200</v>
      </c>
    </row>
    <row r="1557" spans="1:9">
      <c r="A1557" s="22" t="str">
        <f>HYPERLINK("https://app.vivvix.com/360/KMI/IntelliDrive/ApplUI/Pages/CreativePages/CustomReportCreativeDetail.aspx?App=23&amp;ReportView=4&amp;Qid=1711245&amp;Row=1549&amp;Col=1","No Title Assigned - #15278168877")</f>
        <v/>
      </c>
      <c r="B1557" s="0" t="s">
        <v>2242</v>
      </c>
      <c r="E1557" s="0" t="s">
        <v>13</v>
      </c>
      <c r="F1557" s="0" t="s">
        <v>13</v>
      </c>
      <c r="G1557" s="0" t="s">
        <v>54</v>
      </c>
      <c r="H1557" s="5">
        <v>791.664200</v>
      </c>
    </row>
    <row r="1558" spans="1:9">
      <c r="A1558" s="22" t="str">
        <f>HYPERLINK("https://app.vivvix.com/360/KMI/IntelliDrive/ApplUI/Pages/CreativePages/CustomReportCreativeDetail.aspx?App=23&amp;ReportView=4&amp;Qid=1711245&amp;Row=1550&amp;Col=1","No Title Assigned - #15278206103")</f>
        <v/>
      </c>
      <c r="B1558" s="0" t="s">
        <v>2243</v>
      </c>
      <c r="E1558" s="0" t="s">
        <v>13</v>
      </c>
      <c r="F1558" s="0" t="s">
        <v>17</v>
      </c>
      <c r="G1558" s="0" t="s">
        <v>446</v>
      </c>
      <c r="H1558" s="5">
        <v>262.100000</v>
      </c>
    </row>
    <row r="1559" spans="1:9">
      <c r="A1559" s="22" t="str">
        <f>HYPERLINK("https://app.vivvix.com/360/KMI/IntelliDrive/ApplUI/Pages/CreativePages/CustomReportCreativeDetail.aspx?App=23&amp;ReportView=4&amp;Qid=1711245&amp;Row=1551&amp;Col=1","No Title Assigned - #15278219916")</f>
        <v/>
      </c>
      <c r="B1559" s="0" t="s">
        <v>2244</v>
      </c>
      <c r="C1559" s="0" t="s">
        <v>2245</v>
      </c>
      <c r="D1559" s="0" t="s">
        <v>2245</v>
      </c>
      <c r="E1559" s="0" t="s">
        <v>13</v>
      </c>
      <c r="F1559" s="0" t="s">
        <v>14</v>
      </c>
      <c r="G1559" s="0" t="s">
        <v>15</v>
      </c>
      <c r="H1559" s="5">
        <v>1284.091900</v>
      </c>
    </row>
    <row r="1560" spans="1:9">
      <c r="A1560" s="22" t="str">
        <f>HYPERLINK("https://app.vivvix.com/360/KMI/IntelliDrive/ApplUI/Pages/CreativePages/CustomReportCreativeDetail.aspx?App=23&amp;ReportView=4&amp;Qid=1711245&amp;Row=1552&amp;Col=1","No Title Assigned - #15278224352")</f>
        <v/>
      </c>
      <c r="B1560" s="0" t="s">
        <v>2246</v>
      </c>
      <c r="E1560" s="0" t="s">
        <v>13</v>
      </c>
      <c r="F1560" s="0" t="s">
        <v>13</v>
      </c>
      <c r="G1560" s="0" t="s">
        <v>54</v>
      </c>
      <c r="H1560" s="5">
        <v>37275.160800</v>
      </c>
    </row>
    <row r="1561" spans="1:9">
      <c r="A1561" s="22" t="str">
        <f>HYPERLINK("https://app.vivvix.com/360/KMI/IntelliDrive/ApplUI/Pages/CreativePages/CustomReportCreativeDetail.aspx?App=23&amp;ReportView=4&amp;Qid=1711245&amp;Row=1553&amp;Col=1","No Title Assigned - #15278224353")</f>
        <v/>
      </c>
      <c r="B1561" s="0" t="s">
        <v>2247</v>
      </c>
      <c r="E1561" s="0" t="s">
        <v>13</v>
      </c>
      <c r="F1561" s="0" t="s">
        <v>13</v>
      </c>
      <c r="G1561" s="0" t="s">
        <v>54</v>
      </c>
      <c r="H1561" s="5">
        <v>12636.374500</v>
      </c>
    </row>
    <row r="1562" spans="1:9">
      <c r="A1562" s="22" t="str">
        <f>HYPERLINK("https://app.vivvix.com/360/KMI/IntelliDrive/ApplUI/Pages/CreativePages/CustomReportCreativeDetail.aspx?App=23&amp;ReportView=4&amp;Qid=1711245&amp;Row=1554&amp;Col=1","No Title Assigned - #15278228783")</f>
        <v/>
      </c>
      <c r="B1562" s="0" t="s">
        <v>2248</v>
      </c>
      <c r="E1562" s="0" t="s">
        <v>13</v>
      </c>
      <c r="F1562" s="0" t="s">
        <v>13</v>
      </c>
      <c r="G1562" s="0" t="s">
        <v>54</v>
      </c>
      <c r="H1562" s="5">
        <v>4519.350600</v>
      </c>
    </row>
    <row r="1563" spans="1:9">
      <c r="A1563" s="22" t="str">
        <f>HYPERLINK("https://app.vivvix.com/360/KMI/IntelliDrive/ApplUI/Pages/CreativePages/CustomReportCreativeDetail.aspx?App=23&amp;ReportView=4&amp;Qid=1711245&amp;Row=1555&amp;Col=1","No Title Assigned - #15278245219")</f>
        <v/>
      </c>
      <c r="B1563" s="0" t="s">
        <v>2249</v>
      </c>
      <c r="E1563" s="0" t="s">
        <v>13</v>
      </c>
      <c r="F1563" s="0" t="s">
        <v>13</v>
      </c>
      <c r="G1563" s="0" t="s">
        <v>54</v>
      </c>
      <c r="H1563" s="5">
        <v>0.562400</v>
      </c>
    </row>
    <row r="1564" spans="1:9">
      <c r="A1564" s="22" t="str">
        <f>HYPERLINK("https://app.vivvix.com/360/KMI/IntelliDrive/ApplUI/Pages/CreativePages/CustomReportCreativeDetail.aspx?App=23&amp;ReportView=4&amp;Qid=1711245&amp;Row=1556&amp;Col=1","No Title Assigned - #15278252749")</f>
        <v/>
      </c>
      <c r="B1564" s="0" t="s">
        <v>2250</v>
      </c>
      <c r="E1564" s="0" t="s">
        <v>13</v>
      </c>
      <c r="F1564" s="0" t="s">
        <v>13</v>
      </c>
      <c r="G1564" s="0" t="s">
        <v>54</v>
      </c>
      <c r="H1564" s="5">
        <v>151.157400</v>
      </c>
    </row>
    <row r="1565" spans="1:9">
      <c r="A1565" s="22" t="str">
        <f>HYPERLINK("https://app.vivvix.com/360/KMI/IntelliDrive/ApplUI/Pages/CreativePages/CustomReportCreativeDetail.aspx?App=23&amp;ReportView=4&amp;Qid=1711245&amp;Row=1557&amp;Col=1","No Title Assigned - #15278268309")</f>
        <v/>
      </c>
      <c r="B1565" s="0" t="s">
        <v>2251</v>
      </c>
      <c r="C1565" s="0" t="s">
        <v>2252</v>
      </c>
      <c r="D1565" s="0" t="s">
        <v>1888</v>
      </c>
      <c r="E1565" s="0" t="s">
        <v>13</v>
      </c>
      <c r="F1565" s="0" t="s">
        <v>28</v>
      </c>
      <c r="G1565" s="0" t="s">
        <v>453</v>
      </c>
      <c r="H1565" s="5">
        <v>81.614200</v>
      </c>
    </row>
    <row r="1566" spans="1:9">
      <c r="A1566" s="22" t="str">
        <f>HYPERLINK("https://app.vivvix.com/360/KMI/IntelliDrive/ApplUI/Pages/CreativePages/CustomReportCreativeDetail.aspx?App=23&amp;ReportView=4&amp;Qid=1711245&amp;Row=1558&amp;Col=1","No Title Assigned - #15278288322")</f>
        <v/>
      </c>
      <c r="B1566" s="0" t="s">
        <v>2253</v>
      </c>
      <c r="E1566" s="0" t="s">
        <v>13</v>
      </c>
      <c r="F1566" s="0" t="s">
        <v>13</v>
      </c>
      <c r="G1566" s="0" t="s">
        <v>54</v>
      </c>
      <c r="H1566" s="5">
        <v>4519.350600</v>
      </c>
    </row>
    <row r="1567" spans="1:9">
      <c r="A1567" s="22" t="str">
        <f>HYPERLINK("https://app.vivvix.com/360/KMI/IntelliDrive/ApplUI/Pages/CreativePages/CustomReportCreativeDetail.aspx?App=23&amp;ReportView=4&amp;Qid=1711245&amp;Row=1559&amp;Col=1","No Title Assigned - #15278291160")</f>
        <v/>
      </c>
      <c r="B1567" s="0" t="s">
        <v>2254</v>
      </c>
      <c r="C1567" s="0" t="s">
        <v>2255</v>
      </c>
      <c r="D1567" s="0" t="s">
        <v>2255</v>
      </c>
      <c r="E1567" s="0" t="s">
        <v>13</v>
      </c>
      <c r="F1567" s="0" t="s">
        <v>530</v>
      </c>
      <c r="G1567" s="0" t="s">
        <v>531</v>
      </c>
      <c r="H1567" s="5">
        <v>2118.009500</v>
      </c>
    </row>
    <row r="1568" spans="1:9">
      <c r="A1568" s="22" t="str">
        <f>HYPERLINK("https://app.vivvix.com/360/KMI/IntelliDrive/ApplUI/Pages/CreativePages/CustomReportCreativeDetail.aspx?App=23&amp;ReportView=4&amp;Qid=1711245&amp;Row=1560&amp;Col=1","No Title Assigned - #15278343976")</f>
        <v/>
      </c>
      <c r="B1568" s="0" t="s">
        <v>2256</v>
      </c>
      <c r="C1568" s="0" t="s">
        <v>2257</v>
      </c>
      <c r="D1568" s="0" t="s">
        <v>2257</v>
      </c>
      <c r="E1568" s="0" t="s">
        <v>13</v>
      </c>
      <c r="F1568" s="0" t="s">
        <v>106</v>
      </c>
      <c r="G1568" s="0" t="s">
        <v>107</v>
      </c>
      <c r="H1568" s="5">
        <v>29775.665100</v>
      </c>
    </row>
    <row r="1569" spans="1:9">
      <c r="A1569" s="22" t="str">
        <f>HYPERLINK("https://app.vivvix.com/360/KMI/IntelliDrive/ApplUI/Pages/CreativePages/CustomReportCreativeDetail.aspx?App=23&amp;ReportView=4&amp;Qid=1711245&amp;Row=1561&amp;Col=1","No Title Assigned - #15278343976")</f>
        <v/>
      </c>
      <c r="B1569" s="0" t="s">
        <v>2256</v>
      </c>
      <c r="E1569" s="0" t="s">
        <v>13</v>
      </c>
      <c r="F1569" s="0" t="s">
        <v>106</v>
      </c>
      <c r="G1569" s="0" t="s">
        <v>107</v>
      </c>
      <c r="H1569" s="5">
        <v>107606.361800</v>
      </c>
    </row>
    <row r="1570" spans="1:9">
      <c r="A1570" s="22" t="str">
        <f>HYPERLINK("https://app.vivvix.com/360/KMI/IntelliDrive/ApplUI/Pages/CreativePages/CustomReportCreativeDetail.aspx?App=23&amp;ReportView=4&amp;Qid=1711245&amp;Row=1562&amp;Col=1","No Title Assigned - #15278344296")</f>
        <v/>
      </c>
      <c r="B1570" s="0" t="s">
        <v>2258</v>
      </c>
      <c r="C1570" s="0" t="s">
        <v>2259</v>
      </c>
      <c r="D1570" s="0" t="s">
        <v>1888</v>
      </c>
      <c r="E1570" s="0" t="s">
        <v>13</v>
      </c>
      <c r="F1570" s="0" t="s">
        <v>28</v>
      </c>
      <c r="G1570" s="0" t="s">
        <v>453</v>
      </c>
      <c r="H1570" s="5">
        <v>2358.935500</v>
      </c>
    </row>
    <row r="1571" spans="1:9">
      <c r="A1571" s="22" t="str">
        <f>HYPERLINK("https://app.vivvix.com/360/KMI/IntelliDrive/ApplUI/Pages/CreativePages/CustomReportCreativeDetail.aspx?App=23&amp;ReportView=4&amp;Qid=1711245&amp;Row=1563&amp;Col=1","No Title Assigned - #15278345538")</f>
        <v/>
      </c>
      <c r="B1571" s="0" t="s">
        <v>2260</v>
      </c>
      <c r="E1571" s="0" t="s">
        <v>13</v>
      </c>
      <c r="F1571" s="0" t="s">
        <v>13</v>
      </c>
      <c r="G1571" s="0" t="s">
        <v>35</v>
      </c>
      <c r="H1571" s="5">
        <v>2501.389900</v>
      </c>
    </row>
    <row r="1572" spans="1:9">
      <c r="A1572" s="22" t="str">
        <f>HYPERLINK("https://app.vivvix.com/360/KMI/IntelliDrive/ApplUI/Pages/CreativePages/CustomReportCreativeDetail.aspx?App=23&amp;ReportView=4&amp;Qid=1711245&amp;Row=1564&amp;Col=1","No Title Assigned - #15278347964")</f>
        <v/>
      </c>
      <c r="B1572" s="0" t="s">
        <v>2261</v>
      </c>
      <c r="E1572" s="0" t="s">
        <v>13</v>
      </c>
      <c r="F1572" s="0" t="s">
        <v>13</v>
      </c>
      <c r="G1572" s="0" t="s">
        <v>54</v>
      </c>
      <c r="H1572" s="5">
        <v>465.263000</v>
      </c>
    </row>
    <row r="1573" spans="1:9">
      <c r="A1573" s="22" t="str">
        <f>HYPERLINK("https://app.vivvix.com/360/KMI/IntelliDrive/ApplUI/Pages/CreativePages/CustomReportCreativeDetail.aspx?App=23&amp;ReportView=4&amp;Qid=1711245&amp;Row=1565&amp;Col=1","No Title Assigned - #15278358113")</f>
        <v/>
      </c>
      <c r="B1573" s="0" t="s">
        <v>2262</v>
      </c>
      <c r="E1573" s="0" t="s">
        <v>13</v>
      </c>
      <c r="F1573" s="0" t="s">
        <v>13</v>
      </c>
      <c r="G1573" s="0" t="s">
        <v>54</v>
      </c>
      <c r="H1573" s="5">
        <v>163.564200</v>
      </c>
    </row>
    <row r="1574" spans="1:9">
      <c r="A1574" s="22" t="str">
        <f>HYPERLINK("https://app.vivvix.com/360/KMI/IntelliDrive/ApplUI/Pages/CreativePages/CustomReportCreativeDetail.aspx?App=23&amp;ReportView=4&amp;Qid=1711245&amp;Row=1566&amp;Col=1","No Title Assigned - #15278358194")</f>
        <v/>
      </c>
      <c r="B1574" s="0" t="s">
        <v>2263</v>
      </c>
      <c r="E1574" s="0" t="s">
        <v>13</v>
      </c>
      <c r="F1574" s="0" t="s">
        <v>13</v>
      </c>
      <c r="G1574" s="0" t="s">
        <v>54</v>
      </c>
      <c r="H1574" s="5">
        <v>194.875000</v>
      </c>
    </row>
    <row r="1575" spans="1:9">
      <c r="A1575" s="22" t="str">
        <f>HYPERLINK("https://app.vivvix.com/360/KMI/IntelliDrive/ApplUI/Pages/CreativePages/CustomReportCreativeDetail.aspx?App=23&amp;ReportView=4&amp;Qid=1711245&amp;Row=1567&amp;Col=1","No Title Assigned - #15278358231")</f>
        <v/>
      </c>
      <c r="B1575" s="0" t="s">
        <v>2264</v>
      </c>
      <c r="E1575" s="0" t="s">
        <v>13</v>
      </c>
      <c r="F1575" s="0" t="s">
        <v>13</v>
      </c>
      <c r="G1575" s="0" t="s">
        <v>54</v>
      </c>
      <c r="H1575" s="5">
        <v>465.263000</v>
      </c>
    </row>
    <row r="1576" spans="1:9">
      <c r="A1576" s="22" t="str">
        <f>HYPERLINK("https://app.vivvix.com/360/KMI/IntelliDrive/ApplUI/Pages/CreativePages/CustomReportCreativeDetail.aspx?App=23&amp;ReportView=4&amp;Qid=1711245&amp;Row=1568&amp;Col=1","No Title Assigned - #15278365064")</f>
        <v/>
      </c>
      <c r="B1576" s="0" t="s">
        <v>2265</v>
      </c>
      <c r="E1576" s="0" t="s">
        <v>13</v>
      </c>
      <c r="F1576" s="0" t="s">
        <v>13</v>
      </c>
      <c r="G1576" s="0" t="s">
        <v>54</v>
      </c>
      <c r="H1576" s="5">
        <v>3913.126700</v>
      </c>
    </row>
    <row r="1577" spans="1:9">
      <c r="A1577" s="22" t="str">
        <f>HYPERLINK("https://app.vivvix.com/360/KMI/IntelliDrive/ApplUI/Pages/CreativePages/CustomReportCreativeDetail.aspx?App=23&amp;ReportView=4&amp;Qid=1711245&amp;Row=1569&amp;Col=1","No Title Assigned - #15278375204")</f>
        <v/>
      </c>
      <c r="B1577" s="0" t="s">
        <v>2266</v>
      </c>
      <c r="E1577" s="0" t="s">
        <v>13</v>
      </c>
      <c r="F1577" s="0" t="s">
        <v>13</v>
      </c>
      <c r="G1577" s="0" t="s">
        <v>54</v>
      </c>
      <c r="H1577" s="5">
        <v>194.875000</v>
      </c>
    </row>
    <row r="1578" spans="1:9">
      <c r="A1578" s="22" t="str">
        <f>HYPERLINK("https://app.vivvix.com/360/KMI/IntelliDrive/ApplUI/Pages/CreativePages/CustomReportCreativeDetail.aspx?App=23&amp;ReportView=4&amp;Qid=1711245&amp;Row=1570&amp;Col=1","No Title Assigned - #15278385969")</f>
        <v/>
      </c>
      <c r="B1578" s="0" t="s">
        <v>2267</v>
      </c>
      <c r="E1578" s="0" t="s">
        <v>13</v>
      </c>
      <c r="F1578" s="0" t="s">
        <v>13</v>
      </c>
      <c r="G1578" s="0" t="s">
        <v>54</v>
      </c>
      <c r="H1578" s="5">
        <v>5952.826400</v>
      </c>
    </row>
    <row r="1579" spans="1:9">
      <c r="A1579" s="22" t="str">
        <f>HYPERLINK("https://app.vivvix.com/360/KMI/IntelliDrive/ApplUI/Pages/CreativePages/CustomReportCreativeDetail.aspx?App=23&amp;ReportView=4&amp;Qid=1711245&amp;Row=1571&amp;Col=1","No Title Assigned - #15278386375")</f>
        <v/>
      </c>
      <c r="B1579" s="0" t="s">
        <v>2268</v>
      </c>
      <c r="E1579" s="0" t="s">
        <v>13</v>
      </c>
      <c r="F1579" s="0" t="s">
        <v>13</v>
      </c>
      <c r="G1579" s="0" t="s">
        <v>54</v>
      </c>
      <c r="H1579" s="5">
        <v>1107.739900</v>
      </c>
    </row>
    <row r="1580" spans="1:9">
      <c r="A1580" s="22" t="str">
        <f>HYPERLINK("https://app.vivvix.com/360/KMI/IntelliDrive/ApplUI/Pages/CreativePages/CustomReportCreativeDetail.aspx?App=23&amp;ReportView=4&amp;Qid=1711245&amp;Row=1572&amp;Col=1","No Title Assigned - #15278394365")</f>
        <v/>
      </c>
      <c r="B1580" s="0" t="s">
        <v>2269</v>
      </c>
      <c r="E1580" s="0" t="s">
        <v>13</v>
      </c>
      <c r="F1580" s="0" t="s">
        <v>13</v>
      </c>
      <c r="G1580" s="0" t="s">
        <v>54</v>
      </c>
      <c r="H1580" s="5">
        <v>223.242900</v>
      </c>
    </row>
    <row r="1581" spans="1:9">
      <c r="A1581" s="22" t="str">
        <f>HYPERLINK("https://app.vivvix.com/360/KMI/IntelliDrive/ApplUI/Pages/CreativePages/CustomReportCreativeDetail.aspx?App=23&amp;ReportView=4&amp;Qid=1711245&amp;Row=1573&amp;Col=1","No Title Assigned - #15278403765")</f>
        <v/>
      </c>
      <c r="B1581" s="0" t="s">
        <v>2270</v>
      </c>
      <c r="C1581" s="0" t="s">
        <v>2271</v>
      </c>
      <c r="D1581" s="0" t="s">
        <v>2271</v>
      </c>
      <c r="E1581" s="0" t="s">
        <v>13</v>
      </c>
      <c r="F1581" s="0" t="s">
        <v>14</v>
      </c>
      <c r="G1581" s="0" t="s">
        <v>15</v>
      </c>
      <c r="H1581" s="5">
        <v>497.937900</v>
      </c>
    </row>
    <row r="1582" spans="1:9">
      <c r="A1582" s="22" t="str">
        <f>HYPERLINK("https://app.vivvix.com/360/KMI/IntelliDrive/ApplUI/Pages/CreativePages/CustomReportCreativeDetail.aspx?App=23&amp;ReportView=4&amp;Qid=1711245&amp;Row=1574&amp;Col=1","No Title Assigned - #15278408220")</f>
        <v/>
      </c>
      <c r="B1582" s="0" t="s">
        <v>2272</v>
      </c>
      <c r="C1582" s="0" t="s">
        <v>2273</v>
      </c>
      <c r="D1582" s="0" t="s">
        <v>2273</v>
      </c>
      <c r="E1582" s="0" t="s">
        <v>13</v>
      </c>
      <c r="F1582" s="0" t="s">
        <v>14</v>
      </c>
      <c r="G1582" s="0" t="s">
        <v>15</v>
      </c>
      <c r="H1582" s="5">
        <v>456.685500</v>
      </c>
    </row>
    <row r="1583" spans="1:9">
      <c r="A1583" s="22" t="str">
        <f>HYPERLINK("https://app.vivvix.com/360/KMI/IntelliDrive/ApplUI/Pages/CreativePages/CustomReportCreativeDetail.aspx?App=23&amp;ReportView=4&amp;Qid=1711245&amp;Row=1575&amp;Col=1","No Title Assigned - #15278444629")</f>
        <v/>
      </c>
      <c r="B1583" s="0" t="s">
        <v>2274</v>
      </c>
      <c r="E1583" s="0" t="s">
        <v>13</v>
      </c>
      <c r="F1583" s="0" t="s">
        <v>13</v>
      </c>
      <c r="G1583" s="0" t="s">
        <v>54</v>
      </c>
      <c r="H1583" s="5">
        <v>0.290900</v>
      </c>
    </row>
    <row r="1584" spans="1:9">
      <c r="A1584" s="22" t="str">
        <f>HYPERLINK("https://app.vivvix.com/360/KMI/IntelliDrive/ApplUI/Pages/CreativePages/CustomReportCreativeDetail.aspx?App=23&amp;ReportView=4&amp;Qid=1711245&amp;Row=1576&amp;Col=1","No Title Assigned - #15278448634")</f>
        <v/>
      </c>
      <c r="B1584" s="0" t="s">
        <v>2275</v>
      </c>
      <c r="C1584" s="0" t="s">
        <v>2276</v>
      </c>
      <c r="D1584" s="0" t="s">
        <v>2178</v>
      </c>
      <c r="E1584" s="0" t="s">
        <v>13</v>
      </c>
      <c r="F1584" s="0" t="s">
        <v>128</v>
      </c>
      <c r="G1584" s="0" t="s">
        <v>456</v>
      </c>
      <c r="H1584" s="5">
        <v>1134.665600</v>
      </c>
    </row>
    <row r="1585" spans="1:9">
      <c r="A1585" s="22" t="str">
        <f>HYPERLINK("https://app.vivvix.com/360/KMI/IntelliDrive/ApplUI/Pages/CreativePages/CustomReportCreativeDetail.aspx?App=23&amp;ReportView=4&amp;Qid=1711245&amp;Row=1577&amp;Col=1","No Title Assigned - #15278474917")</f>
        <v/>
      </c>
      <c r="B1585" s="0" t="s">
        <v>2277</v>
      </c>
      <c r="C1585" s="0" t="s">
        <v>2278</v>
      </c>
      <c r="D1585" s="0" t="s">
        <v>2257</v>
      </c>
      <c r="E1585" s="0" t="s">
        <v>13</v>
      </c>
      <c r="F1585" s="0" t="s">
        <v>106</v>
      </c>
      <c r="G1585" s="0" t="s">
        <v>107</v>
      </c>
      <c r="H1585" s="5">
        <v>60515.399900</v>
      </c>
    </row>
    <row r="1586" spans="1:9">
      <c r="A1586" s="22" t="str">
        <f>HYPERLINK("https://app.vivvix.com/360/KMI/IntelliDrive/ApplUI/Pages/CreativePages/CustomReportCreativeDetail.aspx?App=23&amp;ReportView=4&amp;Qid=1711245&amp;Row=1578&amp;Col=1","No Title Assigned - #15278477814")</f>
        <v/>
      </c>
      <c r="B1586" s="0" t="s">
        <v>2279</v>
      </c>
      <c r="E1586" s="0" t="s">
        <v>13</v>
      </c>
      <c r="F1586" s="0" t="s">
        <v>14</v>
      </c>
      <c r="G1586" s="0" t="s">
        <v>15</v>
      </c>
      <c r="H1586" s="5">
        <v>197.968700</v>
      </c>
    </row>
    <row r="1587" spans="1:9">
      <c r="A1587" s="22" t="str">
        <f>HYPERLINK("https://app.vivvix.com/360/KMI/IntelliDrive/ApplUI/Pages/CreativePages/CustomReportCreativeDetail.aspx?App=23&amp;ReportView=4&amp;Qid=1711245&amp;Row=1579&amp;Col=1","No Title Assigned - #15278492673")</f>
        <v/>
      </c>
      <c r="B1587" s="0" t="s">
        <v>2280</v>
      </c>
      <c r="E1587" s="0" t="s">
        <v>13</v>
      </c>
      <c r="F1587" s="0" t="s">
        <v>13</v>
      </c>
      <c r="G1587" s="0" t="s">
        <v>54</v>
      </c>
      <c r="H1587" s="5">
        <v>29.468700</v>
      </c>
    </row>
    <row r="1588" spans="1:9">
      <c r="A1588" s="22" t="str">
        <f>HYPERLINK("https://app.vivvix.com/360/KMI/IntelliDrive/ApplUI/Pages/CreativePages/CustomReportCreativeDetail.aspx?App=23&amp;ReportView=4&amp;Qid=1711245&amp;Row=1580&amp;Col=1","No Title Assigned - #15278493390")</f>
        <v/>
      </c>
      <c r="B1588" s="0" t="s">
        <v>2281</v>
      </c>
      <c r="E1588" s="0" t="s">
        <v>13</v>
      </c>
      <c r="F1588" s="0" t="s">
        <v>13</v>
      </c>
      <c r="G1588" s="0" t="s">
        <v>54</v>
      </c>
      <c r="H1588" s="5">
        <v>21735.551900</v>
      </c>
    </row>
    <row r="1589" spans="1:9">
      <c r="A1589" s="22" t="str">
        <f>HYPERLINK("https://app.vivvix.com/360/KMI/IntelliDrive/ApplUI/Pages/CreativePages/CustomReportCreativeDetail.aspx?App=23&amp;ReportView=4&amp;Qid=1711245&amp;Row=1581&amp;Col=1","No Title Assigned - #15278498797")</f>
        <v/>
      </c>
      <c r="B1589" s="0" t="s">
        <v>2282</v>
      </c>
      <c r="E1589" s="0" t="s">
        <v>13</v>
      </c>
      <c r="F1589" s="0" t="s">
        <v>13</v>
      </c>
      <c r="G1589" s="0" t="s">
        <v>54</v>
      </c>
      <c r="H1589" s="5">
        <v>9379.802700</v>
      </c>
    </row>
    <row r="1590" spans="1:9">
      <c r="A1590" s="22" t="str">
        <f>HYPERLINK("https://app.vivvix.com/360/KMI/IntelliDrive/ApplUI/Pages/CreativePages/CustomReportCreativeDetail.aspx?App=23&amp;ReportView=4&amp;Qid=1711245&amp;Row=1582&amp;Col=1","No Title Assigned - #15278523865")</f>
        <v/>
      </c>
      <c r="B1590" s="0" t="s">
        <v>2283</v>
      </c>
      <c r="C1590" s="0" t="s">
        <v>2284</v>
      </c>
      <c r="D1590" s="0" t="s">
        <v>2284</v>
      </c>
      <c r="E1590" s="0" t="s">
        <v>13</v>
      </c>
      <c r="F1590" s="0" t="s">
        <v>28</v>
      </c>
      <c r="G1590" s="0" t="s">
        <v>453</v>
      </c>
      <c r="H1590" s="5">
        <v>3993.073400</v>
      </c>
    </row>
    <row r="1591" spans="1:9">
      <c r="A1591" s="22" t="str">
        <f>HYPERLINK("https://app.vivvix.com/360/KMI/IntelliDrive/ApplUI/Pages/CreativePages/CustomReportCreativeDetail.aspx?App=23&amp;ReportView=4&amp;Qid=1711245&amp;Row=1583&amp;Col=1","No Title Assigned - #15278527896")</f>
        <v/>
      </c>
      <c r="B1591" s="0" t="s">
        <v>2285</v>
      </c>
      <c r="E1591" s="0" t="s">
        <v>13</v>
      </c>
      <c r="F1591" s="0" t="s">
        <v>13</v>
      </c>
      <c r="G1591" s="0" t="s">
        <v>54</v>
      </c>
      <c r="H1591" s="5">
        <v>572.371000</v>
      </c>
    </row>
    <row r="1592" spans="1:9">
      <c r="A1592" s="22" t="str">
        <f>HYPERLINK("https://app.vivvix.com/360/KMI/IntelliDrive/ApplUI/Pages/CreativePages/CustomReportCreativeDetail.aspx?App=23&amp;ReportView=4&amp;Qid=1711245&amp;Row=1584&amp;Col=1","No Title Assigned - #15278532301")</f>
        <v/>
      </c>
      <c r="B1592" s="0" t="s">
        <v>2286</v>
      </c>
      <c r="E1592" s="0" t="s">
        <v>13</v>
      </c>
      <c r="F1592" s="0" t="s">
        <v>13</v>
      </c>
      <c r="G1592" s="0" t="s">
        <v>54</v>
      </c>
      <c r="H1592" s="5">
        <v>438.976000</v>
      </c>
    </row>
    <row r="1593" spans="1:9">
      <c r="A1593" s="22" t="str">
        <f>HYPERLINK("https://app.vivvix.com/360/KMI/IntelliDrive/ApplUI/Pages/CreativePages/CustomReportCreativeDetail.aspx?App=23&amp;ReportView=4&amp;Qid=1711245&amp;Row=1585&amp;Col=1","No Title Assigned - #15278535858")</f>
        <v/>
      </c>
      <c r="B1593" s="0" t="s">
        <v>2287</v>
      </c>
      <c r="C1593" s="0" t="s">
        <v>2288</v>
      </c>
      <c r="D1593" s="0" t="s">
        <v>1660</v>
      </c>
      <c r="E1593" s="0" t="s">
        <v>13</v>
      </c>
      <c r="F1593" s="0" t="s">
        <v>128</v>
      </c>
      <c r="G1593" s="0" t="s">
        <v>456</v>
      </c>
      <c r="H1593" s="5">
        <v>755.986900</v>
      </c>
    </row>
    <row r="1594" spans="1:9">
      <c r="A1594" s="22" t="str">
        <f>HYPERLINK("https://app.vivvix.com/360/KMI/IntelliDrive/ApplUI/Pages/CreativePages/CustomReportCreativeDetail.aspx?App=23&amp;ReportView=4&amp;Qid=1711245&amp;Row=1586&amp;Col=1","No Title Assigned - #15278536073")</f>
        <v/>
      </c>
      <c r="B1594" s="0" t="s">
        <v>2289</v>
      </c>
      <c r="C1594" s="0" t="s">
        <v>2290</v>
      </c>
      <c r="D1594" s="0" t="s">
        <v>2290</v>
      </c>
      <c r="E1594" s="0" t="s">
        <v>13</v>
      </c>
      <c r="F1594" s="0" t="s">
        <v>106</v>
      </c>
      <c r="G1594" s="0" t="s">
        <v>107</v>
      </c>
      <c r="H1594" s="5">
        <v>17719.435700</v>
      </c>
    </row>
    <row r="1595" spans="1:9">
      <c r="A1595" s="22" t="str">
        <f>HYPERLINK("https://app.vivvix.com/360/KMI/IntelliDrive/ApplUI/Pages/CreativePages/CustomReportCreativeDetail.aspx?App=23&amp;ReportView=4&amp;Qid=1711245&amp;Row=1587&amp;Col=1","No Title Assigned - #15278537406")</f>
        <v/>
      </c>
      <c r="B1595" s="0" t="s">
        <v>2291</v>
      </c>
      <c r="C1595" s="0" t="s">
        <v>2292</v>
      </c>
      <c r="D1595" s="0" t="s">
        <v>2292</v>
      </c>
      <c r="E1595" s="0" t="s">
        <v>13</v>
      </c>
      <c r="F1595" s="0" t="s">
        <v>13</v>
      </c>
      <c r="G1595" s="0" t="s">
        <v>35</v>
      </c>
      <c r="H1595" s="5">
        <v>80267.781900</v>
      </c>
    </row>
    <row r="1596" spans="1:9">
      <c r="A1596" s="22" t="str">
        <f>HYPERLINK("https://app.vivvix.com/360/KMI/IntelliDrive/ApplUI/Pages/CreativePages/CustomReportCreativeDetail.aspx?App=23&amp;ReportView=4&amp;Qid=1711245&amp;Row=1588&amp;Col=1","No Title Assigned - #15278562054")</f>
        <v/>
      </c>
      <c r="B1596" s="0" t="s">
        <v>2293</v>
      </c>
      <c r="E1596" s="0" t="s">
        <v>13</v>
      </c>
      <c r="F1596" s="0" t="s">
        <v>13</v>
      </c>
      <c r="G1596" s="0" t="s">
        <v>54</v>
      </c>
      <c r="H1596" s="5">
        <v>25859.892400</v>
      </c>
    </row>
    <row r="1597" spans="1:9">
      <c r="A1597" s="22" t="str">
        <f>HYPERLINK("https://app.vivvix.com/360/KMI/IntelliDrive/ApplUI/Pages/CreativePages/CustomReportCreativeDetail.aspx?App=23&amp;ReportView=4&amp;Qid=1711245&amp;Row=1589&amp;Col=1","No Title Assigned - #15278568670")</f>
        <v/>
      </c>
      <c r="B1597" s="0" t="s">
        <v>2294</v>
      </c>
      <c r="E1597" s="0" t="s">
        <v>13</v>
      </c>
      <c r="F1597" s="0" t="s">
        <v>13</v>
      </c>
      <c r="G1597" s="0" t="s">
        <v>54</v>
      </c>
      <c r="H1597" s="5">
        <v>178.608900</v>
      </c>
    </row>
    <row r="1598" spans="1:9">
      <c r="A1598" s="22" t="str">
        <f>HYPERLINK("https://app.vivvix.com/360/KMI/IntelliDrive/ApplUI/Pages/CreativePages/CustomReportCreativeDetail.aspx?App=23&amp;ReportView=4&amp;Qid=1711245&amp;Row=1590&amp;Col=1","No Title Assigned - #15278573669")</f>
        <v/>
      </c>
      <c r="B1598" s="0" t="s">
        <v>2295</v>
      </c>
      <c r="E1598" s="0" t="s">
        <v>13</v>
      </c>
      <c r="F1598" s="0" t="s">
        <v>28</v>
      </c>
      <c r="G1598" s="0" t="s">
        <v>453</v>
      </c>
      <c r="H1598" s="5">
        <v>21446.705800</v>
      </c>
    </row>
    <row r="1599" spans="1:9">
      <c r="A1599" s="22" t="str">
        <f>HYPERLINK("https://app.vivvix.com/360/KMI/IntelliDrive/ApplUI/Pages/CreativePages/CustomReportCreativeDetail.aspx?App=23&amp;ReportView=4&amp;Qid=1711245&amp;Row=1591&amp;Col=1","No Title Assigned - #15278575181")</f>
        <v/>
      </c>
      <c r="B1599" s="0" t="s">
        <v>2296</v>
      </c>
      <c r="E1599" s="0" t="s">
        <v>13</v>
      </c>
      <c r="F1599" s="0" t="s">
        <v>13</v>
      </c>
      <c r="G1599" s="0" t="s">
        <v>54</v>
      </c>
      <c r="H1599" s="5">
        <v>37427.693200</v>
      </c>
    </row>
    <row r="1600" spans="1:9">
      <c r="A1600" s="22" t="str">
        <f>HYPERLINK("https://app.vivvix.com/360/KMI/IntelliDrive/ApplUI/Pages/CreativePages/CustomReportCreativeDetail.aspx?App=23&amp;ReportView=4&amp;Qid=1711245&amp;Row=1592&amp;Col=1","No Title Assigned - #15278583939")</f>
        <v/>
      </c>
      <c r="B1600" s="0" t="s">
        <v>2297</v>
      </c>
      <c r="E1600" s="0" t="s">
        <v>13</v>
      </c>
      <c r="F1600" s="0" t="s">
        <v>13</v>
      </c>
      <c r="G1600" s="0" t="s">
        <v>54</v>
      </c>
      <c r="H1600" s="5">
        <v>18434.114100</v>
      </c>
    </row>
    <row r="1601" spans="1:9">
      <c r="A1601" s="22" t="str">
        <f>HYPERLINK("https://app.vivvix.com/360/KMI/IntelliDrive/ApplUI/Pages/CreativePages/CustomReportCreativeDetail.aspx?App=23&amp;ReportView=4&amp;Qid=1711245&amp;Row=1593&amp;Col=1","No Title Assigned - #15278589161")</f>
        <v/>
      </c>
      <c r="B1601" s="0" t="s">
        <v>2298</v>
      </c>
      <c r="C1601" s="0" t="s">
        <v>2299</v>
      </c>
      <c r="D1601" s="0" t="s">
        <v>1771</v>
      </c>
      <c r="E1601" s="0" t="s">
        <v>13</v>
      </c>
      <c r="F1601" s="0" t="s">
        <v>14</v>
      </c>
      <c r="G1601" s="0" t="s">
        <v>15</v>
      </c>
      <c r="H1601" s="5">
        <v>313.029100</v>
      </c>
    </row>
    <row r="1602" spans="1:9">
      <c r="A1602" s="22" t="str">
        <f>HYPERLINK("https://app.vivvix.com/360/KMI/IntelliDrive/ApplUI/Pages/CreativePages/CustomReportCreativeDetail.aspx?App=23&amp;ReportView=4&amp;Qid=1711245&amp;Row=1594&amp;Col=1","No Title Assigned - #15278599110")</f>
        <v/>
      </c>
      <c r="B1602" s="0" t="s">
        <v>2300</v>
      </c>
      <c r="E1602" s="0" t="s">
        <v>13</v>
      </c>
      <c r="F1602" s="0" t="s">
        <v>13</v>
      </c>
      <c r="G1602" s="0" t="s">
        <v>54</v>
      </c>
      <c r="H1602" s="5">
        <v>1834.441700</v>
      </c>
    </row>
    <row r="1603" spans="1:9">
      <c r="A1603" s="22" t="str">
        <f>HYPERLINK("https://app.vivvix.com/360/KMI/IntelliDrive/ApplUI/Pages/CreativePages/CustomReportCreativeDetail.aspx?App=23&amp;ReportView=4&amp;Qid=1711245&amp;Row=1595&amp;Col=1","No Title Assigned - #15278600682")</f>
        <v/>
      </c>
      <c r="B1603" s="0" t="s">
        <v>2301</v>
      </c>
      <c r="E1603" s="0" t="s">
        <v>13</v>
      </c>
      <c r="F1603" s="0" t="s">
        <v>13</v>
      </c>
      <c r="G1603" s="0" t="s">
        <v>54</v>
      </c>
      <c r="H1603" s="5">
        <v>231.767000</v>
      </c>
    </row>
    <row r="1604" spans="1:9">
      <c r="A1604" s="22" t="str">
        <f>HYPERLINK("https://app.vivvix.com/360/KMI/IntelliDrive/ApplUI/Pages/CreativePages/CustomReportCreativeDetail.aspx?App=23&amp;ReportView=4&amp;Qid=1711245&amp;Row=1596&amp;Col=1","No Title Assigned - #15278601847")</f>
        <v/>
      </c>
      <c r="B1604" s="0" t="s">
        <v>2302</v>
      </c>
      <c r="E1604" s="0" t="s">
        <v>13</v>
      </c>
      <c r="F1604" s="0" t="s">
        <v>13</v>
      </c>
      <c r="G1604" s="0" t="s">
        <v>54</v>
      </c>
      <c r="H1604" s="5">
        <v>319.678900</v>
      </c>
    </row>
    <row r="1605" spans="1:9">
      <c r="A1605" s="22" t="str">
        <f>HYPERLINK("https://app.vivvix.com/360/KMI/IntelliDrive/ApplUI/Pages/CreativePages/CustomReportCreativeDetail.aspx?App=23&amp;ReportView=4&amp;Qid=1711245&amp;Row=1597&amp;Col=1","No Title Assigned - #15278602970")</f>
        <v/>
      </c>
      <c r="B1605" s="0" t="s">
        <v>2303</v>
      </c>
      <c r="E1605" s="0" t="s">
        <v>13</v>
      </c>
      <c r="F1605" s="0" t="s">
        <v>13</v>
      </c>
      <c r="G1605" s="0" t="s">
        <v>54</v>
      </c>
      <c r="H1605" s="5">
        <v>56.182100</v>
      </c>
    </row>
    <row r="1606" spans="1:9">
      <c r="A1606" s="22" t="str">
        <f>HYPERLINK("https://app.vivvix.com/360/KMI/IntelliDrive/ApplUI/Pages/CreativePages/CustomReportCreativeDetail.aspx?App=23&amp;ReportView=4&amp;Qid=1711245&amp;Row=1598&amp;Col=1","No Title Assigned - #15278607997")</f>
        <v/>
      </c>
      <c r="B1606" s="0" t="s">
        <v>2304</v>
      </c>
      <c r="E1606" s="0" t="s">
        <v>13</v>
      </c>
      <c r="F1606" s="0" t="s">
        <v>13</v>
      </c>
      <c r="G1606" s="0" t="s">
        <v>54</v>
      </c>
      <c r="H1606" s="5">
        <v>558.761300</v>
      </c>
    </row>
    <row r="1607" spans="1:9">
      <c r="A1607" s="22" t="str">
        <f>HYPERLINK("https://app.vivvix.com/360/KMI/IntelliDrive/ApplUI/Pages/CreativePages/CustomReportCreativeDetail.aspx?App=23&amp;ReportView=4&amp;Qid=1711245&amp;Row=1599&amp;Col=1","No Title Assigned - #15278609297")</f>
        <v/>
      </c>
      <c r="B1607" s="0" t="s">
        <v>2305</v>
      </c>
      <c r="E1607" s="0" t="s">
        <v>13</v>
      </c>
      <c r="F1607" s="0" t="s">
        <v>13</v>
      </c>
      <c r="G1607" s="0" t="s">
        <v>54</v>
      </c>
      <c r="H1607" s="5">
        <v>16030.219200</v>
      </c>
    </row>
    <row r="1608" spans="1:9">
      <c r="A1608" s="22" t="str">
        <f>HYPERLINK("https://app.vivvix.com/360/KMI/IntelliDrive/ApplUI/Pages/CreativePages/CustomReportCreativeDetail.aspx?App=23&amp;ReportView=4&amp;Qid=1711245&amp;Row=1600&amp;Col=1","No Title Assigned - #15278609512")</f>
        <v/>
      </c>
      <c r="B1608" s="0" t="s">
        <v>2306</v>
      </c>
      <c r="E1608" s="0" t="s">
        <v>13</v>
      </c>
      <c r="F1608" s="0" t="s">
        <v>13</v>
      </c>
      <c r="G1608" s="0" t="s">
        <v>54</v>
      </c>
      <c r="H1608" s="5">
        <v>29.468700</v>
      </c>
    </row>
    <row r="1609" spans="1:9">
      <c r="A1609" s="22" t="str">
        <f>HYPERLINK("https://app.vivvix.com/360/KMI/IntelliDrive/ApplUI/Pages/CreativePages/CustomReportCreativeDetail.aspx?App=23&amp;ReportView=4&amp;Qid=1711245&amp;Row=1601&amp;Col=1","No Title Assigned - #15278643657")</f>
        <v/>
      </c>
      <c r="B1609" s="0" t="s">
        <v>2307</v>
      </c>
      <c r="C1609" s="0" t="s">
        <v>2308</v>
      </c>
      <c r="D1609" s="0" t="s">
        <v>2308</v>
      </c>
      <c r="E1609" s="0" t="s">
        <v>13</v>
      </c>
      <c r="F1609" s="0" t="s">
        <v>14</v>
      </c>
      <c r="G1609" s="0" t="s">
        <v>15</v>
      </c>
      <c r="H1609" s="5">
        <v>198242.239800</v>
      </c>
    </row>
    <row r="1610" spans="1:9">
      <c r="A1610" s="22" t="str">
        <f>HYPERLINK("https://app.vivvix.com/360/KMI/IntelliDrive/ApplUI/Pages/CreativePages/CustomReportCreativeDetail.aspx?App=23&amp;ReportView=4&amp;Qid=1711245&amp;Row=1602&amp;Col=1","No Title Assigned - #15278643657")</f>
        <v/>
      </c>
      <c r="B1610" s="0" t="s">
        <v>2307</v>
      </c>
      <c r="E1610" s="0" t="s">
        <v>13</v>
      </c>
      <c r="F1610" s="0" t="s">
        <v>14</v>
      </c>
      <c r="G1610" s="0" t="s">
        <v>15</v>
      </c>
      <c r="H1610" s="5">
        <v>30597.253300</v>
      </c>
    </row>
    <row r="1611" spans="1:9">
      <c r="A1611" s="22" t="str">
        <f>HYPERLINK("https://app.vivvix.com/360/KMI/IntelliDrive/ApplUI/Pages/CreativePages/CustomReportCreativeDetail.aspx?App=23&amp;ReportView=4&amp;Qid=1711245&amp;Row=1603&amp;Col=1","No Title Assigned - #15278647579")</f>
        <v/>
      </c>
      <c r="B1611" s="0" t="s">
        <v>2309</v>
      </c>
      <c r="E1611" s="0" t="s">
        <v>13</v>
      </c>
      <c r="F1611" s="0" t="s">
        <v>13</v>
      </c>
      <c r="G1611" s="0" t="s">
        <v>54</v>
      </c>
      <c r="H1611" s="5">
        <v>435.511300</v>
      </c>
    </row>
    <row r="1612" spans="1:9">
      <c r="A1612" s="22" t="str">
        <f>HYPERLINK("https://app.vivvix.com/360/KMI/IntelliDrive/ApplUI/Pages/CreativePages/CustomReportCreativeDetail.aspx?App=23&amp;ReportView=4&amp;Qid=1711245&amp;Row=1604&amp;Col=1","No Title Assigned - #15278664910")</f>
        <v/>
      </c>
      <c r="B1612" s="0" t="s">
        <v>2310</v>
      </c>
      <c r="E1612" s="0" t="s">
        <v>13</v>
      </c>
      <c r="F1612" s="0" t="s">
        <v>13</v>
      </c>
      <c r="G1612" s="0" t="s">
        <v>54</v>
      </c>
      <c r="H1612" s="5">
        <v>8219.374900</v>
      </c>
    </row>
    <row r="1613" spans="1:9">
      <c r="A1613" s="22" t="str">
        <f>HYPERLINK("https://app.vivvix.com/360/KMI/IntelliDrive/ApplUI/Pages/CreativePages/CustomReportCreativeDetail.aspx?App=23&amp;ReportView=4&amp;Qid=1711245&amp;Row=1605&amp;Col=1","No Title Assigned - #15278664910")</f>
        <v/>
      </c>
      <c r="B1613" s="0" t="s">
        <v>2310</v>
      </c>
      <c r="E1613" s="0" t="s">
        <v>13</v>
      </c>
      <c r="F1613" s="0" t="s">
        <v>13</v>
      </c>
      <c r="G1613" s="0" t="s">
        <v>54</v>
      </c>
      <c r="H1613" s="5">
        <v>77622.441100</v>
      </c>
    </row>
    <row r="1614" spans="1:9">
      <c r="A1614" s="22" t="str">
        <f>HYPERLINK("https://app.vivvix.com/360/KMI/IntelliDrive/ApplUI/Pages/CreativePages/CustomReportCreativeDetail.aspx?App=23&amp;ReportView=4&amp;Qid=1711245&amp;Row=1606&amp;Col=1","No Title Assigned - #15278697078")</f>
        <v/>
      </c>
      <c r="B1614" s="0" t="s">
        <v>2311</v>
      </c>
      <c r="C1614" s="0" t="s">
        <v>2312</v>
      </c>
      <c r="D1614" s="0" t="s">
        <v>2312</v>
      </c>
      <c r="E1614" s="0" t="s">
        <v>13</v>
      </c>
      <c r="F1614" s="0" t="s">
        <v>14</v>
      </c>
      <c r="G1614" s="0" t="s">
        <v>15</v>
      </c>
      <c r="H1614" s="5">
        <v>18490.843300</v>
      </c>
    </row>
    <row r="1615" spans="1:9">
      <c r="A1615" s="22" t="str">
        <f>HYPERLINK("https://app.vivvix.com/360/KMI/IntelliDrive/ApplUI/Pages/CreativePages/CustomReportCreativeDetail.aspx?App=23&amp;ReportView=4&amp;Qid=1711245&amp;Row=1607&amp;Col=1","No Title Assigned - #15278697078")</f>
        <v/>
      </c>
      <c r="B1615" s="0" t="s">
        <v>2311</v>
      </c>
      <c r="E1615" s="0" t="s">
        <v>13</v>
      </c>
      <c r="F1615" s="0" t="s">
        <v>14</v>
      </c>
      <c r="G1615" s="0" t="s">
        <v>15</v>
      </c>
      <c r="H1615" s="5">
        <v>3654.850200</v>
      </c>
    </row>
    <row r="1616" spans="1:9">
      <c r="A1616" s="22" t="str">
        <f>HYPERLINK("https://app.vivvix.com/360/KMI/IntelliDrive/ApplUI/Pages/CreativePages/CustomReportCreativeDetail.aspx?App=23&amp;ReportView=4&amp;Qid=1711245&amp;Row=1608&amp;Col=1","No Title Assigned - #15278708040")</f>
        <v/>
      </c>
      <c r="B1616" s="0" t="s">
        <v>2313</v>
      </c>
      <c r="C1616" s="0" t="s">
        <v>2314</v>
      </c>
      <c r="D1616" s="0" t="s">
        <v>2314</v>
      </c>
      <c r="E1616" s="0" t="s">
        <v>13</v>
      </c>
      <c r="F1616" s="0" t="s">
        <v>17</v>
      </c>
      <c r="G1616" s="0" t="s">
        <v>446</v>
      </c>
      <c r="H1616" s="5">
        <v>202.235000</v>
      </c>
    </row>
    <row r="1617" spans="1:9">
      <c r="A1617" s="22" t="str">
        <f>HYPERLINK("https://app.vivvix.com/360/KMI/IntelliDrive/ApplUI/Pages/CreativePages/CustomReportCreativeDetail.aspx?App=23&amp;ReportView=4&amp;Qid=1711245&amp;Row=1609&amp;Col=1","No Title Assigned - #15278711757")</f>
        <v/>
      </c>
      <c r="B1617" s="0" t="s">
        <v>2315</v>
      </c>
      <c r="E1617" s="0" t="s">
        <v>13</v>
      </c>
      <c r="F1617" s="0" t="s">
        <v>13</v>
      </c>
      <c r="G1617" s="0" t="s">
        <v>54</v>
      </c>
      <c r="H1617" s="5">
        <v>1033.977600</v>
      </c>
    </row>
    <row r="1618" spans="1:9">
      <c r="A1618" s="22" t="str">
        <f>HYPERLINK("https://app.vivvix.com/360/KMI/IntelliDrive/ApplUI/Pages/CreativePages/CustomReportCreativeDetail.aspx?App=23&amp;ReportView=4&amp;Qid=1711245&amp;Row=1610&amp;Col=1","No Title Assigned - #15278758762")</f>
        <v/>
      </c>
      <c r="B1618" s="0" t="s">
        <v>2316</v>
      </c>
      <c r="E1618" s="0" t="s">
        <v>13</v>
      </c>
      <c r="F1618" s="0" t="s">
        <v>13</v>
      </c>
      <c r="G1618" s="0" t="s">
        <v>54</v>
      </c>
      <c r="H1618" s="5">
        <v>4165.278900</v>
      </c>
    </row>
    <row r="1619" spans="1:9">
      <c r="A1619" s="22" t="str">
        <f>HYPERLINK("https://app.vivvix.com/360/KMI/IntelliDrive/ApplUI/Pages/CreativePages/CustomReportCreativeDetail.aspx?App=23&amp;ReportView=4&amp;Qid=1711245&amp;Row=1611&amp;Col=1","No Title Assigned - #15278766329")</f>
        <v/>
      </c>
      <c r="B1619" s="0" t="s">
        <v>2317</v>
      </c>
      <c r="E1619" s="0" t="s">
        <v>13</v>
      </c>
      <c r="F1619" s="0" t="s">
        <v>13</v>
      </c>
      <c r="G1619" s="0" t="s">
        <v>54</v>
      </c>
      <c r="H1619" s="5">
        <v>7966.943700</v>
      </c>
    </row>
    <row r="1620" spans="1:9">
      <c r="A1620" s="22" t="str">
        <f>HYPERLINK("https://app.vivvix.com/360/KMI/IntelliDrive/ApplUI/Pages/CreativePages/CustomReportCreativeDetail.aspx?App=23&amp;ReportView=4&amp;Qid=1711245&amp;Row=1612&amp;Col=1","No Title Assigned - #15278778722")</f>
        <v/>
      </c>
      <c r="B1620" s="0" t="s">
        <v>2318</v>
      </c>
      <c r="E1620" s="0" t="s">
        <v>13</v>
      </c>
      <c r="F1620" s="0" t="s">
        <v>13</v>
      </c>
      <c r="G1620" s="0" t="s">
        <v>54</v>
      </c>
      <c r="H1620" s="5">
        <v>7.796600</v>
      </c>
    </row>
    <row r="1621" spans="1:9">
      <c r="A1621" s="22" t="str">
        <f>HYPERLINK("https://app.vivvix.com/360/KMI/IntelliDrive/ApplUI/Pages/CreativePages/CustomReportCreativeDetail.aspx?App=23&amp;ReportView=4&amp;Qid=1711245&amp;Row=1613&amp;Col=1","No Title Assigned - #15278820025")</f>
        <v/>
      </c>
      <c r="B1621" s="0" t="s">
        <v>2319</v>
      </c>
      <c r="C1621" s="0" t="s">
        <v>2320</v>
      </c>
      <c r="D1621" s="0" t="s">
        <v>2132</v>
      </c>
      <c r="E1621" s="0" t="s">
        <v>13</v>
      </c>
      <c r="F1621" s="0" t="s">
        <v>128</v>
      </c>
      <c r="G1621" s="0" t="s">
        <v>456</v>
      </c>
      <c r="H1621" s="5">
        <v>1016.467900</v>
      </c>
    </row>
    <row r="1622" spans="1:9">
      <c r="A1622" s="22" t="str">
        <f>HYPERLINK("https://app.vivvix.com/360/KMI/IntelliDrive/ApplUI/Pages/CreativePages/CustomReportCreativeDetail.aspx?App=23&amp;ReportView=4&amp;Qid=1711245&amp;Row=1614&amp;Col=1","No Title Assigned - #15278830369")</f>
        <v/>
      </c>
      <c r="B1622" s="0" t="s">
        <v>2321</v>
      </c>
      <c r="E1622" s="0" t="s">
        <v>13</v>
      </c>
      <c r="F1622" s="0" t="s">
        <v>13</v>
      </c>
      <c r="G1622" s="0" t="s">
        <v>54</v>
      </c>
      <c r="H1622" s="5">
        <v>143.079600</v>
      </c>
    </row>
    <row r="1623" spans="1:9">
      <c r="A1623" s="22" t="str">
        <f>HYPERLINK("https://app.vivvix.com/360/KMI/IntelliDrive/ApplUI/Pages/CreativePages/CustomReportCreativeDetail.aspx?App=23&amp;ReportView=4&amp;Qid=1711245&amp;Row=1615&amp;Col=1","No Title Assigned - #15278866718")</f>
        <v/>
      </c>
      <c r="B1623" s="0" t="s">
        <v>2322</v>
      </c>
      <c r="C1623" s="0" t="s">
        <v>2323</v>
      </c>
      <c r="D1623" s="0" t="s">
        <v>1984</v>
      </c>
      <c r="E1623" s="0" t="s">
        <v>13</v>
      </c>
      <c r="F1623" s="0" t="s">
        <v>17</v>
      </c>
      <c r="G1623" s="0" t="s">
        <v>446</v>
      </c>
      <c r="H1623" s="5">
        <v>66318.047000</v>
      </c>
    </row>
    <row r="1624" spans="1:9">
      <c r="A1624" s="22" t="str">
        <f>HYPERLINK("https://app.vivvix.com/360/KMI/IntelliDrive/ApplUI/Pages/CreativePages/CustomReportCreativeDetail.aspx?App=23&amp;ReportView=4&amp;Qid=1711245&amp;Row=1616&amp;Col=1","No Title Assigned - #15278867424")</f>
        <v/>
      </c>
      <c r="B1624" s="0" t="s">
        <v>2324</v>
      </c>
      <c r="E1624" s="0" t="s">
        <v>13</v>
      </c>
      <c r="F1624" s="0" t="s">
        <v>13</v>
      </c>
      <c r="G1624" s="0" t="s">
        <v>54</v>
      </c>
      <c r="H1624" s="5">
        <v>632.756200</v>
      </c>
    </row>
    <row r="1625" spans="1:9">
      <c r="A1625" s="22" t="str">
        <f>HYPERLINK("https://app.vivvix.com/360/KMI/IntelliDrive/ApplUI/Pages/CreativePages/CustomReportCreativeDetail.aspx?App=23&amp;ReportView=4&amp;Qid=1711245&amp;Row=1617&amp;Col=1","No Title Assigned - #15278876947")</f>
        <v/>
      </c>
      <c r="B1625" s="0" t="s">
        <v>2325</v>
      </c>
      <c r="C1625" s="0" t="s">
        <v>2326</v>
      </c>
      <c r="D1625" s="0" t="s">
        <v>2290</v>
      </c>
      <c r="E1625" s="0" t="s">
        <v>13</v>
      </c>
      <c r="F1625" s="0" t="s">
        <v>106</v>
      </c>
      <c r="G1625" s="0" t="s">
        <v>107</v>
      </c>
      <c r="H1625" s="5">
        <v>43941.675700</v>
      </c>
    </row>
    <row r="1626" spans="1:9">
      <c r="A1626" s="22" t="str">
        <f>HYPERLINK("https://app.vivvix.com/360/KMI/IntelliDrive/ApplUI/Pages/CreativePages/CustomReportCreativeDetail.aspx?App=23&amp;ReportView=4&amp;Qid=1711245&amp;Row=1618&amp;Col=1","No Title Assigned - #15278878015")</f>
        <v/>
      </c>
      <c r="B1626" s="0" t="s">
        <v>2327</v>
      </c>
      <c r="C1626" s="0" t="s">
        <v>2328</v>
      </c>
      <c r="D1626" s="0" t="s">
        <v>2328</v>
      </c>
      <c r="E1626" s="0" t="s">
        <v>13</v>
      </c>
      <c r="F1626" s="0" t="s">
        <v>540</v>
      </c>
      <c r="G1626" s="0" t="s">
        <v>541</v>
      </c>
      <c r="H1626" s="5">
        <v>29.898500</v>
      </c>
    </row>
    <row r="1627" spans="1:9">
      <c r="A1627" s="22" t="str">
        <f>HYPERLINK("https://app.vivvix.com/360/KMI/IntelliDrive/ApplUI/Pages/CreativePages/CustomReportCreativeDetail.aspx?App=23&amp;ReportView=4&amp;Qid=1711245&amp;Row=1619&amp;Col=1","No Title Assigned - #15278889198")</f>
        <v/>
      </c>
      <c r="B1627" s="0" t="s">
        <v>2329</v>
      </c>
      <c r="C1627" s="0" t="s">
        <v>2330</v>
      </c>
      <c r="D1627" s="0" t="s">
        <v>2330</v>
      </c>
      <c r="E1627" s="0" t="s">
        <v>13</v>
      </c>
      <c r="F1627" s="0" t="s">
        <v>13</v>
      </c>
      <c r="G1627" s="0" t="s">
        <v>35</v>
      </c>
      <c r="H1627" s="5">
        <v>3623.984200</v>
      </c>
    </row>
    <row r="1628" spans="1:9">
      <c r="A1628" s="22" t="str">
        <f>HYPERLINK("https://app.vivvix.com/360/KMI/IntelliDrive/ApplUI/Pages/CreativePages/CustomReportCreativeDetail.aspx?App=23&amp;ReportView=4&amp;Qid=1711245&amp;Row=1620&amp;Col=1","No Title Assigned - #15278889765")</f>
        <v/>
      </c>
      <c r="B1628" s="0" t="s">
        <v>2331</v>
      </c>
      <c r="C1628" s="0" t="s">
        <v>2332</v>
      </c>
      <c r="D1628" s="0" t="s">
        <v>2332</v>
      </c>
      <c r="E1628" s="0" t="s">
        <v>13</v>
      </c>
      <c r="F1628" s="0" t="s">
        <v>13</v>
      </c>
      <c r="G1628" s="0" t="s">
        <v>122</v>
      </c>
      <c r="H1628" s="5">
        <v>512.034000</v>
      </c>
    </row>
    <row r="1629" spans="1:9">
      <c r="A1629" s="22" t="str">
        <f>HYPERLINK("https://app.vivvix.com/360/KMI/IntelliDrive/ApplUI/Pages/CreativePages/CustomReportCreativeDetail.aspx?App=23&amp;ReportView=4&amp;Qid=1711245&amp;Row=1621&amp;Col=1","No Title Assigned - #15278889765")</f>
        <v/>
      </c>
      <c r="B1629" s="0" t="s">
        <v>2331</v>
      </c>
      <c r="E1629" s="0" t="s">
        <v>13</v>
      </c>
      <c r="F1629" s="0" t="s">
        <v>13</v>
      </c>
      <c r="G1629" s="0" t="s">
        <v>122</v>
      </c>
      <c r="H1629" s="5">
        <v>4024.431000</v>
      </c>
    </row>
    <row r="1630" spans="1:9">
      <c r="A1630" s="22" t="str">
        <f>HYPERLINK("https://app.vivvix.com/360/KMI/IntelliDrive/ApplUI/Pages/CreativePages/CustomReportCreativeDetail.aspx?App=23&amp;ReportView=4&amp;Qid=1711245&amp;Row=1622&amp;Col=1","No Title Assigned - #15278918823")</f>
        <v/>
      </c>
      <c r="B1630" s="0" t="s">
        <v>2333</v>
      </c>
      <c r="E1630" s="0" t="s">
        <v>13</v>
      </c>
      <c r="F1630" s="0" t="s">
        <v>13</v>
      </c>
      <c r="G1630" s="0" t="s">
        <v>54</v>
      </c>
      <c r="H1630" s="5">
        <v>8558.403700</v>
      </c>
    </row>
    <row r="1631" spans="1:9">
      <c r="A1631" s="22" t="str">
        <f>HYPERLINK("https://app.vivvix.com/360/KMI/IntelliDrive/ApplUI/Pages/CreativePages/CustomReportCreativeDetail.aspx?App=23&amp;ReportView=4&amp;Qid=1711245&amp;Row=1623&amp;Col=1","No Title Assigned - #15278941896")</f>
        <v/>
      </c>
      <c r="B1631" s="0" t="s">
        <v>2334</v>
      </c>
      <c r="C1631" s="0" t="s">
        <v>2335</v>
      </c>
      <c r="D1631" s="0" t="s">
        <v>2335</v>
      </c>
      <c r="E1631" s="0" t="s">
        <v>13</v>
      </c>
      <c r="F1631" s="0" t="s">
        <v>17</v>
      </c>
      <c r="G1631" s="0" t="s">
        <v>446</v>
      </c>
      <c r="H1631" s="5">
        <v>680.709600</v>
      </c>
    </row>
    <row r="1632" spans="1:9">
      <c r="A1632" s="22" t="str">
        <f>HYPERLINK("https://app.vivvix.com/360/KMI/IntelliDrive/ApplUI/Pages/CreativePages/CustomReportCreativeDetail.aspx?App=23&amp;ReportView=4&amp;Qid=1711245&amp;Row=1624&amp;Col=1","No Title Assigned - #15278948603")</f>
        <v/>
      </c>
      <c r="B1632" s="0" t="s">
        <v>2336</v>
      </c>
      <c r="C1632" s="0" t="s">
        <v>2337</v>
      </c>
      <c r="D1632" s="0" t="s">
        <v>2337</v>
      </c>
      <c r="E1632" s="0" t="s">
        <v>13</v>
      </c>
      <c r="F1632" s="0" t="s">
        <v>28</v>
      </c>
      <c r="G1632" s="0" t="s">
        <v>453</v>
      </c>
      <c r="H1632" s="5">
        <v>403.015300</v>
      </c>
    </row>
    <row r="1633" spans="1:9">
      <c r="A1633" s="22" t="str">
        <f>HYPERLINK("https://app.vivvix.com/360/KMI/IntelliDrive/ApplUI/Pages/CreativePages/CustomReportCreativeDetail.aspx?App=23&amp;ReportView=4&amp;Qid=1711245&amp;Row=1625&amp;Col=1","No Title Assigned - #15278951053")</f>
        <v/>
      </c>
      <c r="B1633" s="0" t="s">
        <v>2338</v>
      </c>
      <c r="E1633" s="0" t="s">
        <v>13</v>
      </c>
      <c r="F1633" s="0" t="s">
        <v>13</v>
      </c>
      <c r="G1633" s="0" t="s">
        <v>54</v>
      </c>
      <c r="H1633" s="5">
        <v>8270.726400</v>
      </c>
    </row>
    <row r="1634" spans="1:9">
      <c r="A1634" s="22" t="str">
        <f>HYPERLINK("https://app.vivvix.com/360/KMI/IntelliDrive/ApplUI/Pages/CreativePages/CustomReportCreativeDetail.aspx?App=23&amp;ReportView=4&amp;Qid=1711245&amp;Row=1626&amp;Col=1","No Title Assigned - #15279000746")</f>
        <v/>
      </c>
      <c r="B1634" s="0" t="s">
        <v>2339</v>
      </c>
      <c r="E1634" s="0" t="s">
        <v>13</v>
      </c>
      <c r="F1634" s="0" t="s">
        <v>13</v>
      </c>
      <c r="G1634" s="0" t="s">
        <v>54</v>
      </c>
      <c r="H1634" s="5">
        <v>821.132900</v>
      </c>
    </row>
    <row r="1635" spans="1:9">
      <c r="A1635" s="22" t="str">
        <f>HYPERLINK("https://app.vivvix.com/360/KMI/IntelliDrive/ApplUI/Pages/CreativePages/CustomReportCreativeDetail.aspx?App=23&amp;ReportView=4&amp;Qid=1711245&amp;Row=1627&amp;Col=1","No Title Assigned - #15279001370")</f>
        <v/>
      </c>
      <c r="B1635" s="0" t="s">
        <v>2340</v>
      </c>
      <c r="C1635" s="0" t="s">
        <v>2341</v>
      </c>
      <c r="D1635" s="0" t="s">
        <v>2257</v>
      </c>
      <c r="E1635" s="0" t="s">
        <v>13</v>
      </c>
      <c r="F1635" s="0" t="s">
        <v>106</v>
      </c>
      <c r="G1635" s="0" t="s">
        <v>107</v>
      </c>
      <c r="H1635" s="5">
        <v>808.244300</v>
      </c>
    </row>
    <row r="1636" spans="1:9">
      <c r="A1636" s="22" t="str">
        <f>HYPERLINK("https://app.vivvix.com/360/KMI/IntelliDrive/ApplUI/Pages/CreativePages/CustomReportCreativeDetail.aspx?App=23&amp;ReportView=4&amp;Qid=1711245&amp;Row=1628&amp;Col=1","No Title Assigned - #15279001601")</f>
        <v/>
      </c>
      <c r="B1636" s="0" t="s">
        <v>2342</v>
      </c>
      <c r="C1636" s="0" t="s">
        <v>2343</v>
      </c>
      <c r="D1636" s="0" t="s">
        <v>2343</v>
      </c>
      <c r="E1636" s="0" t="s">
        <v>13</v>
      </c>
      <c r="F1636" s="0" t="s">
        <v>540</v>
      </c>
      <c r="G1636" s="0" t="s">
        <v>541</v>
      </c>
      <c r="H1636" s="5">
        <v>21646.729600</v>
      </c>
    </row>
    <row r="1637" spans="1:9">
      <c r="A1637" s="22" t="str">
        <f>HYPERLINK("https://app.vivvix.com/360/KMI/IntelliDrive/ApplUI/Pages/CreativePages/CustomReportCreativeDetail.aspx?App=23&amp;ReportView=4&amp;Qid=1711245&amp;Row=1629&amp;Col=1","No Title Assigned - #15279001624")</f>
        <v/>
      </c>
      <c r="B1637" s="0" t="s">
        <v>2344</v>
      </c>
      <c r="C1637" s="0" t="s">
        <v>2345</v>
      </c>
      <c r="D1637" s="0" t="s">
        <v>2345</v>
      </c>
      <c r="E1637" s="0" t="s">
        <v>13</v>
      </c>
      <c r="F1637" s="0" t="s">
        <v>540</v>
      </c>
      <c r="G1637" s="0" t="s">
        <v>541</v>
      </c>
      <c r="H1637" s="5">
        <v>509.841900</v>
      </c>
    </row>
    <row r="1638" spans="1:9">
      <c r="A1638" s="22" t="str">
        <f>HYPERLINK("https://app.vivvix.com/360/KMI/IntelliDrive/ApplUI/Pages/CreativePages/CustomReportCreativeDetail.aspx?App=23&amp;ReportView=4&amp;Qid=1711245&amp;Row=1630&amp;Col=1","No Title Assigned - #15279003169")</f>
        <v/>
      </c>
      <c r="B1638" s="0" t="s">
        <v>2346</v>
      </c>
      <c r="C1638" s="0" t="s">
        <v>2347</v>
      </c>
      <c r="D1638" s="0" t="s">
        <v>1835</v>
      </c>
      <c r="E1638" s="0" t="s">
        <v>13</v>
      </c>
      <c r="F1638" s="0" t="s">
        <v>28</v>
      </c>
      <c r="G1638" s="0" t="s">
        <v>453</v>
      </c>
      <c r="H1638" s="5">
        <v>696.669500</v>
      </c>
    </row>
    <row r="1639" spans="1:9">
      <c r="A1639" s="22" t="str">
        <f>HYPERLINK("https://app.vivvix.com/360/KMI/IntelliDrive/ApplUI/Pages/CreativePages/CustomReportCreativeDetail.aspx?App=23&amp;ReportView=4&amp;Qid=1711245&amp;Row=1631&amp;Col=1","No Title Assigned - #15279006240")</f>
        <v/>
      </c>
      <c r="B1639" s="0" t="s">
        <v>2348</v>
      </c>
      <c r="E1639" s="0" t="s">
        <v>13</v>
      </c>
      <c r="F1639" s="0" t="s">
        <v>13</v>
      </c>
      <c r="G1639" s="0" t="s">
        <v>54</v>
      </c>
      <c r="H1639" s="5">
        <v>791.664200</v>
      </c>
    </row>
    <row r="1640" spans="1:9">
      <c r="A1640" s="22" t="str">
        <f>HYPERLINK("https://app.vivvix.com/360/KMI/IntelliDrive/ApplUI/Pages/CreativePages/CustomReportCreativeDetail.aspx?App=23&amp;ReportView=4&amp;Qid=1711245&amp;Row=1632&amp;Col=1","No Title Assigned - #15279007585")</f>
        <v/>
      </c>
      <c r="B1640" s="0" t="s">
        <v>2349</v>
      </c>
      <c r="C1640" s="0" t="s">
        <v>2350</v>
      </c>
      <c r="D1640" s="0" t="s">
        <v>2350</v>
      </c>
      <c r="E1640" s="0" t="s">
        <v>13</v>
      </c>
      <c r="F1640" s="0" t="s">
        <v>17</v>
      </c>
      <c r="G1640" s="0" t="s">
        <v>446</v>
      </c>
      <c r="H1640" s="5">
        <v>202.235000</v>
      </c>
    </row>
    <row r="1641" spans="1:9">
      <c r="A1641" s="22" t="str">
        <f>HYPERLINK("https://app.vivvix.com/360/KMI/IntelliDrive/ApplUI/Pages/CreativePages/CustomReportCreativeDetail.aspx?App=23&amp;ReportView=4&amp;Qid=1711245&amp;Row=1633&amp;Col=1","No Title Assigned - #15279018732")</f>
        <v/>
      </c>
      <c r="B1641" s="0" t="s">
        <v>2351</v>
      </c>
      <c r="C1641" s="0" t="s">
        <v>2352</v>
      </c>
      <c r="D1641" s="0" t="s">
        <v>2158</v>
      </c>
      <c r="E1641" s="0" t="s">
        <v>13</v>
      </c>
      <c r="F1641" s="0" t="s">
        <v>17</v>
      </c>
      <c r="G1641" s="0" t="s">
        <v>446</v>
      </c>
      <c r="H1641" s="5">
        <v>29.595300</v>
      </c>
    </row>
    <row r="1642" spans="1:9">
      <c r="A1642" s="22" t="str">
        <f>HYPERLINK("https://app.vivvix.com/360/KMI/IntelliDrive/ApplUI/Pages/CreativePages/CustomReportCreativeDetail.aspx?App=23&amp;ReportView=4&amp;Qid=1711245&amp;Row=1634&amp;Col=1","No Title Assigned - #15279026262")</f>
        <v/>
      </c>
      <c r="B1642" s="0" t="s">
        <v>2353</v>
      </c>
      <c r="E1642" s="0" t="s">
        <v>13</v>
      </c>
      <c r="F1642" s="0" t="s">
        <v>13</v>
      </c>
      <c r="G1642" s="0" t="s">
        <v>54</v>
      </c>
      <c r="H1642" s="5">
        <v>74.137700</v>
      </c>
    </row>
    <row r="1643" spans="1:9">
      <c r="A1643" s="22" t="str">
        <f>HYPERLINK("https://app.vivvix.com/360/KMI/IntelliDrive/ApplUI/Pages/CreativePages/CustomReportCreativeDetail.aspx?App=23&amp;ReportView=4&amp;Qid=1711245&amp;Row=1635&amp;Col=1","No Title Assigned - #15279027389")</f>
        <v/>
      </c>
      <c r="B1643" s="0" t="s">
        <v>2354</v>
      </c>
      <c r="E1643" s="0" t="s">
        <v>13</v>
      </c>
      <c r="F1643" s="0" t="s">
        <v>13</v>
      </c>
      <c r="G1643" s="0" t="s">
        <v>54</v>
      </c>
      <c r="H1643" s="5">
        <v>194.875000</v>
      </c>
    </row>
    <row r="1644" spans="1:9">
      <c r="A1644" s="22" t="str">
        <f>HYPERLINK("https://app.vivvix.com/360/KMI/IntelliDrive/ApplUI/Pages/CreativePages/CustomReportCreativeDetail.aspx?App=23&amp;ReportView=4&amp;Qid=1711245&amp;Row=1636&amp;Col=1","No Title Assigned - #15279027437")</f>
        <v/>
      </c>
      <c r="B1644" s="0" t="s">
        <v>2355</v>
      </c>
      <c r="E1644" s="0" t="s">
        <v>13</v>
      </c>
      <c r="F1644" s="0" t="s">
        <v>13</v>
      </c>
      <c r="G1644" s="0" t="s">
        <v>54</v>
      </c>
      <c r="H1644" s="5">
        <v>5502.237200</v>
      </c>
    </row>
    <row r="1645" spans="1:9">
      <c r="A1645" s="22" t="str">
        <f>HYPERLINK("https://app.vivvix.com/360/KMI/IntelliDrive/ApplUI/Pages/CreativePages/CustomReportCreativeDetail.aspx?App=23&amp;ReportView=4&amp;Qid=1711245&amp;Row=1637&amp;Col=1","No Title Assigned - #15279059225")</f>
        <v/>
      </c>
      <c r="B1645" s="0" t="s">
        <v>2356</v>
      </c>
      <c r="C1645" s="0" t="s">
        <v>2357</v>
      </c>
      <c r="D1645" s="0" t="s">
        <v>2357</v>
      </c>
      <c r="E1645" s="0" t="s">
        <v>13</v>
      </c>
      <c r="F1645" s="0" t="s">
        <v>14</v>
      </c>
      <c r="G1645" s="0" t="s">
        <v>15</v>
      </c>
      <c r="H1645" s="5">
        <v>6.595900</v>
      </c>
    </row>
    <row r="1646" spans="1:9">
      <c r="A1646" s="22" t="str">
        <f>HYPERLINK("https://app.vivvix.com/360/KMI/IntelliDrive/ApplUI/Pages/CreativePages/CustomReportCreativeDetail.aspx?App=23&amp;ReportView=4&amp;Qid=1711245&amp;Row=1638&amp;Col=1","No Title Assigned - #15279083471")</f>
        <v/>
      </c>
      <c r="B1646" s="0" t="s">
        <v>2358</v>
      </c>
      <c r="E1646" s="0" t="s">
        <v>13</v>
      </c>
      <c r="F1646" s="0" t="s">
        <v>13</v>
      </c>
      <c r="G1646" s="0" t="s">
        <v>54</v>
      </c>
      <c r="H1646" s="5">
        <v>29.468700</v>
      </c>
    </row>
    <row r="1647" spans="1:9">
      <c r="A1647" s="22" t="str">
        <f>HYPERLINK("https://app.vivvix.com/360/KMI/IntelliDrive/ApplUI/Pages/CreativePages/CustomReportCreativeDetail.aspx?App=23&amp;ReportView=4&amp;Qid=1711245&amp;Row=1639&amp;Col=1","No Title Assigned - #15279094106")</f>
        <v/>
      </c>
      <c r="B1647" s="0" t="s">
        <v>2359</v>
      </c>
      <c r="E1647" s="0" t="s">
        <v>13</v>
      </c>
      <c r="F1647" s="0" t="s">
        <v>13</v>
      </c>
      <c r="G1647" s="0" t="s">
        <v>54</v>
      </c>
      <c r="H1647" s="5">
        <v>29.468700</v>
      </c>
    </row>
    <row r="1648" spans="1:9">
      <c r="A1648" s="22" t="str">
        <f>HYPERLINK("https://app.vivvix.com/360/KMI/IntelliDrive/ApplUI/Pages/CreativePages/CustomReportCreativeDetail.aspx?App=23&amp;ReportView=4&amp;Qid=1711245&amp;Row=1640&amp;Col=1","No Title Assigned - #15279110261")</f>
        <v/>
      </c>
      <c r="B1648" s="0" t="s">
        <v>2360</v>
      </c>
      <c r="C1648" s="0" t="s">
        <v>2361</v>
      </c>
      <c r="D1648" s="0" t="s">
        <v>1941</v>
      </c>
      <c r="E1648" s="0" t="s">
        <v>13</v>
      </c>
      <c r="F1648" s="0" t="s">
        <v>14</v>
      </c>
      <c r="G1648" s="0" t="s">
        <v>15</v>
      </c>
      <c r="H1648" s="5">
        <v>88.503300</v>
      </c>
    </row>
    <row r="1649" spans="1:9">
      <c r="A1649" s="22" t="str">
        <f>HYPERLINK("https://app.vivvix.com/360/KMI/IntelliDrive/ApplUI/Pages/CreativePages/CustomReportCreativeDetail.aspx?App=23&amp;ReportView=4&amp;Qid=1711245&amp;Row=1641&amp;Col=1","No Title Assigned - #15279136600")</f>
        <v/>
      </c>
      <c r="B1649" s="0" t="s">
        <v>2362</v>
      </c>
      <c r="E1649" s="0" t="s">
        <v>13</v>
      </c>
      <c r="F1649" s="0" t="s">
        <v>13</v>
      </c>
      <c r="G1649" s="0" t="s">
        <v>54</v>
      </c>
      <c r="H1649" s="5">
        <v>93198.136900</v>
      </c>
    </row>
    <row r="1650" spans="1:9">
      <c r="A1650" s="22" t="str">
        <f>HYPERLINK("https://app.vivvix.com/360/KMI/IntelliDrive/ApplUI/Pages/CreativePages/CustomReportCreativeDetail.aspx?App=23&amp;ReportView=4&amp;Qid=1711245&amp;Row=1642&amp;Col=1","No Title Assigned - #15279139200")</f>
        <v/>
      </c>
      <c r="B1650" s="0" t="s">
        <v>2363</v>
      </c>
      <c r="C1650" s="0" t="s">
        <v>2364</v>
      </c>
      <c r="D1650" s="0" t="s">
        <v>2364</v>
      </c>
      <c r="E1650" s="0" t="s">
        <v>13</v>
      </c>
      <c r="F1650" s="0" t="s">
        <v>13</v>
      </c>
      <c r="G1650" s="0" t="s">
        <v>78</v>
      </c>
      <c r="H1650" s="5">
        <v>828.121700</v>
      </c>
    </row>
    <row r="1651" spans="1:9">
      <c r="A1651" s="22" t="str">
        <f>HYPERLINK("https://app.vivvix.com/360/KMI/IntelliDrive/ApplUI/Pages/CreativePages/CustomReportCreativeDetail.aspx?App=23&amp;ReportView=4&amp;Qid=1711245&amp;Row=1643&amp;Col=1","No Title Assigned - #15279176536")</f>
        <v/>
      </c>
      <c r="B1651" s="0" t="s">
        <v>2365</v>
      </c>
      <c r="C1651" s="0" t="s">
        <v>2366</v>
      </c>
      <c r="D1651" s="0" t="s">
        <v>2257</v>
      </c>
      <c r="E1651" s="0" t="s">
        <v>13</v>
      </c>
      <c r="F1651" s="0" t="s">
        <v>106</v>
      </c>
      <c r="G1651" s="0" t="s">
        <v>107</v>
      </c>
      <c r="H1651" s="5">
        <v>27018.613800</v>
      </c>
    </row>
    <row r="1652" spans="1:9">
      <c r="A1652" s="22" t="str">
        <f>HYPERLINK("https://app.vivvix.com/360/KMI/IntelliDrive/ApplUI/Pages/CreativePages/CustomReportCreativeDetail.aspx?App=23&amp;ReportView=4&amp;Qid=1711245&amp;Row=1644&amp;Col=1","No Title Assigned - #15279183674")</f>
        <v/>
      </c>
      <c r="B1652" s="0" t="s">
        <v>2367</v>
      </c>
      <c r="E1652" s="0" t="s">
        <v>13</v>
      </c>
      <c r="F1652" s="0" t="s">
        <v>13</v>
      </c>
      <c r="G1652" s="0" t="s">
        <v>54</v>
      </c>
      <c r="H1652" s="5">
        <v>19794.094400</v>
      </c>
    </row>
    <row r="1653" spans="1:9">
      <c r="A1653" s="22" t="str">
        <f>HYPERLINK("https://app.vivvix.com/360/KMI/IntelliDrive/ApplUI/Pages/CreativePages/CustomReportCreativeDetail.aspx?App=23&amp;ReportView=4&amp;Qid=1711245&amp;Row=1645&amp;Col=1","No Title Assigned - #15279183818")</f>
        <v/>
      </c>
      <c r="B1653" s="0" t="s">
        <v>2368</v>
      </c>
      <c r="C1653" s="0" t="s">
        <v>2369</v>
      </c>
      <c r="D1653" s="0" t="s">
        <v>2290</v>
      </c>
      <c r="E1653" s="0" t="s">
        <v>13</v>
      </c>
      <c r="F1653" s="0" t="s">
        <v>106</v>
      </c>
      <c r="G1653" s="0" t="s">
        <v>107</v>
      </c>
      <c r="H1653" s="5">
        <v>512.475300</v>
      </c>
    </row>
    <row r="1654" spans="1:9">
      <c r="A1654" s="22" t="str">
        <f>HYPERLINK("https://app.vivvix.com/360/KMI/IntelliDrive/ApplUI/Pages/CreativePages/CustomReportCreativeDetail.aspx?App=23&amp;ReportView=4&amp;Qid=1711245&amp;Row=1646&amp;Col=1","No Title Assigned - #15279187498")</f>
        <v/>
      </c>
      <c r="B1654" s="0" t="s">
        <v>2370</v>
      </c>
      <c r="C1654" s="0" t="s">
        <v>2371</v>
      </c>
      <c r="D1654" s="0" t="s">
        <v>2371</v>
      </c>
      <c r="E1654" s="0" t="s">
        <v>13</v>
      </c>
      <c r="F1654" s="0" t="s">
        <v>14</v>
      </c>
      <c r="G1654" s="0" t="s">
        <v>15</v>
      </c>
      <c r="H1654" s="5">
        <v>6.595900</v>
      </c>
    </row>
    <row r="1655" spans="1:9">
      <c r="A1655" s="22" t="str">
        <f>HYPERLINK("https://app.vivvix.com/360/KMI/IntelliDrive/ApplUI/Pages/CreativePages/CustomReportCreativeDetail.aspx?App=23&amp;ReportView=4&amp;Qid=1711245&amp;Row=1647&amp;Col=1","No Title Assigned - #15279187500")</f>
        <v/>
      </c>
      <c r="B1655" s="0" t="s">
        <v>2372</v>
      </c>
      <c r="C1655" s="0" t="s">
        <v>2373</v>
      </c>
      <c r="D1655" s="0" t="s">
        <v>2373</v>
      </c>
      <c r="E1655" s="0" t="s">
        <v>13</v>
      </c>
      <c r="F1655" s="0" t="s">
        <v>14</v>
      </c>
      <c r="G1655" s="0" t="s">
        <v>15</v>
      </c>
      <c r="H1655" s="5">
        <v>13.191800</v>
      </c>
    </row>
    <row r="1656" spans="1:9">
      <c r="A1656" s="22" t="str">
        <f>HYPERLINK("https://app.vivvix.com/360/KMI/IntelliDrive/ApplUI/Pages/CreativePages/CustomReportCreativeDetail.aspx?App=23&amp;ReportView=4&amp;Qid=1711245&amp;Row=1648&amp;Col=1","No Title Assigned - #15279188398")</f>
        <v/>
      </c>
      <c r="B1656" s="0" t="s">
        <v>2374</v>
      </c>
      <c r="E1656" s="0" t="s">
        <v>13</v>
      </c>
      <c r="F1656" s="0" t="s">
        <v>106</v>
      </c>
      <c r="G1656" s="0" t="s">
        <v>107</v>
      </c>
      <c r="H1656" s="5">
        <v>777.159000</v>
      </c>
    </row>
    <row r="1657" spans="1:9">
      <c r="A1657" s="22" t="str">
        <f>HYPERLINK("https://app.vivvix.com/360/KMI/IntelliDrive/ApplUI/Pages/CreativePages/CustomReportCreativeDetail.aspx?App=23&amp;ReportView=4&amp;Qid=1711245&amp;Row=1649&amp;Col=1","No Title Assigned - #15279224091")</f>
        <v/>
      </c>
      <c r="B1657" s="0" t="s">
        <v>2375</v>
      </c>
      <c r="C1657" s="0" t="s">
        <v>2376</v>
      </c>
      <c r="D1657" s="0" t="s">
        <v>2376</v>
      </c>
      <c r="E1657" s="0" t="s">
        <v>13</v>
      </c>
      <c r="F1657" s="0" t="s">
        <v>13</v>
      </c>
      <c r="G1657" s="0" t="s">
        <v>122</v>
      </c>
      <c r="H1657" s="5">
        <v>402.443100</v>
      </c>
    </row>
    <row r="1658" spans="1:9">
      <c r="A1658" s="22" t="str">
        <f>HYPERLINK("https://app.vivvix.com/360/KMI/IntelliDrive/ApplUI/Pages/CreativePages/CustomReportCreativeDetail.aspx?App=23&amp;ReportView=4&amp;Qid=1711245&amp;Row=1650&amp;Col=1","No Title Assigned - #15279231302")</f>
        <v/>
      </c>
      <c r="B1658" s="0" t="s">
        <v>2377</v>
      </c>
      <c r="E1658" s="0" t="s">
        <v>13</v>
      </c>
      <c r="F1658" s="0" t="s">
        <v>13</v>
      </c>
      <c r="G1658" s="0" t="s">
        <v>54</v>
      </c>
      <c r="H1658" s="5">
        <v>54.928300</v>
      </c>
    </row>
    <row r="1659" spans="1:9">
      <c r="A1659" s="22" t="str">
        <f>HYPERLINK("https://app.vivvix.com/360/KMI/IntelliDrive/ApplUI/Pages/CreativePages/CustomReportCreativeDetail.aspx?App=23&amp;ReportView=4&amp;Qid=1711245&amp;Row=1651&amp;Col=1","No Title Assigned - #15279239232")</f>
        <v/>
      </c>
      <c r="B1659" s="0" t="s">
        <v>2378</v>
      </c>
      <c r="E1659" s="0" t="s">
        <v>13</v>
      </c>
      <c r="F1659" s="0" t="s">
        <v>13</v>
      </c>
      <c r="G1659" s="0" t="s">
        <v>54</v>
      </c>
      <c r="H1659" s="5">
        <v>5594.670900</v>
      </c>
    </row>
    <row r="1660" spans="1:9">
      <c r="A1660" s="22" t="str">
        <f>HYPERLINK("https://app.vivvix.com/360/KMI/IntelliDrive/ApplUI/Pages/CreativePages/CustomReportCreativeDetail.aspx?App=23&amp;ReportView=4&amp;Qid=1711245&amp;Row=1652&amp;Col=1","No Title Assigned - #15279253820")</f>
        <v/>
      </c>
      <c r="B1660" s="0" t="s">
        <v>2379</v>
      </c>
      <c r="E1660" s="0" t="s">
        <v>13</v>
      </c>
      <c r="F1660" s="0" t="s">
        <v>13</v>
      </c>
      <c r="G1660" s="0" t="s">
        <v>54</v>
      </c>
      <c r="H1660" s="5">
        <v>17855.054300</v>
      </c>
    </row>
    <row r="1661" spans="1:9">
      <c r="A1661" s="22" t="str">
        <f>HYPERLINK("https://app.vivvix.com/360/KMI/IntelliDrive/ApplUI/Pages/CreativePages/CustomReportCreativeDetail.aspx?App=23&amp;ReportView=4&amp;Qid=1711245&amp;Row=1653&amp;Col=1","No Title Assigned - #15279258263")</f>
        <v/>
      </c>
      <c r="B1661" s="0" t="s">
        <v>2380</v>
      </c>
      <c r="E1661" s="0" t="s">
        <v>13</v>
      </c>
      <c r="F1661" s="0" t="s">
        <v>13</v>
      </c>
      <c r="G1661" s="0" t="s">
        <v>54</v>
      </c>
      <c r="H1661" s="5">
        <v>296.241700</v>
      </c>
    </row>
    <row r="1662" spans="1:9">
      <c r="A1662" s="22" t="str">
        <f>HYPERLINK("https://app.vivvix.com/360/KMI/IntelliDrive/ApplUI/Pages/CreativePages/CustomReportCreativeDetail.aspx?App=23&amp;ReportView=4&amp;Qid=1711245&amp;Row=1654&amp;Col=1","No Title Assigned - #15279261848")</f>
        <v/>
      </c>
      <c r="B1662" s="0" t="s">
        <v>2381</v>
      </c>
      <c r="E1662" s="0" t="s">
        <v>13</v>
      </c>
      <c r="F1662" s="0" t="s">
        <v>13</v>
      </c>
      <c r="G1662" s="0" t="s">
        <v>54</v>
      </c>
      <c r="H1662" s="5">
        <v>56.182100</v>
      </c>
    </row>
    <row r="1663" spans="1:9">
      <c r="A1663" s="22" t="str">
        <f>HYPERLINK("https://app.vivvix.com/360/KMI/IntelliDrive/ApplUI/Pages/CreativePages/CustomReportCreativeDetail.aspx?App=23&amp;ReportView=4&amp;Qid=1711245&amp;Row=1655&amp;Col=1","No Title Assigned - #15279302909")</f>
        <v/>
      </c>
      <c r="B1663" s="0" t="s">
        <v>2382</v>
      </c>
      <c r="E1663" s="0" t="s">
        <v>13</v>
      </c>
      <c r="F1663" s="0" t="s">
        <v>13</v>
      </c>
      <c r="G1663" s="0" t="s">
        <v>54</v>
      </c>
      <c r="H1663" s="5">
        <v>559.872500</v>
      </c>
    </row>
    <row r="1664" spans="1:9">
      <c r="A1664" s="22" t="str">
        <f>HYPERLINK("https://app.vivvix.com/360/KMI/IntelliDrive/ApplUI/Pages/CreativePages/CustomReportCreativeDetail.aspx?App=23&amp;ReportView=4&amp;Qid=1711245&amp;Row=1656&amp;Col=1","No Title Assigned - #15279348478")</f>
        <v/>
      </c>
      <c r="B1664" s="0" t="s">
        <v>2383</v>
      </c>
      <c r="E1664" s="0" t="s">
        <v>13</v>
      </c>
      <c r="F1664" s="0" t="s">
        <v>13</v>
      </c>
      <c r="G1664" s="0" t="s">
        <v>54</v>
      </c>
      <c r="H1664" s="5">
        <v>260.224400</v>
      </c>
    </row>
    <row r="1665" spans="1:9">
      <c r="A1665" s="22" t="str">
        <f>HYPERLINK("https://app.vivvix.com/360/KMI/IntelliDrive/ApplUI/Pages/CreativePages/CustomReportCreativeDetail.aspx?App=23&amp;ReportView=4&amp;Qid=1711245&amp;Row=1657&amp;Col=1","No Title Assigned - #15279350955")</f>
        <v/>
      </c>
      <c r="B1665" s="0" t="s">
        <v>2384</v>
      </c>
      <c r="E1665" s="0" t="s">
        <v>13</v>
      </c>
      <c r="F1665" s="0" t="s">
        <v>13</v>
      </c>
      <c r="G1665" s="0" t="s">
        <v>54</v>
      </c>
      <c r="H1665" s="5">
        <v>465.263000</v>
      </c>
    </row>
    <row r="1666" spans="1:9">
      <c r="A1666" s="22" t="str">
        <f>HYPERLINK("https://app.vivvix.com/360/KMI/IntelliDrive/ApplUI/Pages/CreativePages/CustomReportCreativeDetail.aspx?App=23&amp;ReportView=4&amp;Qid=1711245&amp;Row=1658&amp;Col=1","No Title Assigned - #15279356803")</f>
        <v/>
      </c>
      <c r="B1666" s="0" t="s">
        <v>2385</v>
      </c>
      <c r="E1666" s="0" t="s">
        <v>13</v>
      </c>
      <c r="F1666" s="0" t="s">
        <v>13</v>
      </c>
      <c r="G1666" s="0" t="s">
        <v>54</v>
      </c>
      <c r="H1666" s="5">
        <v>56.182100</v>
      </c>
    </row>
    <row r="1667" spans="1:9">
      <c r="A1667" s="22" t="str">
        <f>HYPERLINK("https://app.vivvix.com/360/KMI/IntelliDrive/ApplUI/Pages/CreativePages/CustomReportCreativeDetail.aspx?App=23&amp;ReportView=4&amp;Qid=1711245&amp;Row=1659&amp;Col=1","No Title Assigned - #15279366479")</f>
        <v/>
      </c>
      <c r="B1667" s="0" t="s">
        <v>2386</v>
      </c>
      <c r="E1667" s="0" t="s">
        <v>13</v>
      </c>
      <c r="F1667" s="0" t="s">
        <v>13</v>
      </c>
      <c r="G1667" s="0" t="s">
        <v>54</v>
      </c>
      <c r="H1667" s="5">
        <v>465.263000</v>
      </c>
    </row>
    <row r="1668" spans="1:9">
      <c r="A1668" s="22" t="str">
        <f>HYPERLINK("https://app.vivvix.com/360/KMI/IntelliDrive/ApplUI/Pages/CreativePages/CustomReportCreativeDetail.aspx?App=23&amp;ReportView=4&amp;Qid=1711245&amp;Row=1660&amp;Col=1","No Title Assigned - #15279369849")</f>
        <v/>
      </c>
      <c r="B1668" s="0" t="s">
        <v>2387</v>
      </c>
      <c r="E1668" s="0" t="s">
        <v>13</v>
      </c>
      <c r="F1668" s="0" t="s">
        <v>13</v>
      </c>
      <c r="G1668" s="0" t="s">
        <v>54</v>
      </c>
      <c r="H1668" s="5">
        <v>520.448800</v>
      </c>
    </row>
    <row r="1669" spans="1:9">
      <c r="A1669" s="22" t="str">
        <f>HYPERLINK("https://app.vivvix.com/360/KMI/IntelliDrive/ApplUI/Pages/CreativePages/CustomReportCreativeDetail.aspx?App=23&amp;ReportView=4&amp;Qid=1711245&amp;Row=1661&amp;Col=1","No Title Assigned - #15279409402")</f>
        <v/>
      </c>
      <c r="B1669" s="0" t="s">
        <v>2388</v>
      </c>
      <c r="E1669" s="0" t="s">
        <v>13</v>
      </c>
      <c r="F1669" s="0" t="s">
        <v>106</v>
      </c>
      <c r="G1669" s="0" t="s">
        <v>107</v>
      </c>
      <c r="H1669" s="5">
        <v>29.789600</v>
      </c>
    </row>
    <row r="1670" spans="1:9">
      <c r="A1670" s="22" t="str">
        <f>HYPERLINK("https://app.vivvix.com/360/KMI/IntelliDrive/ApplUI/Pages/CreativePages/CustomReportCreativeDetail.aspx?App=23&amp;ReportView=4&amp;Qid=1711245&amp;Row=1662&amp;Col=1","No Title Assigned - #15279414019")</f>
        <v/>
      </c>
      <c r="B1670" s="0" t="s">
        <v>2389</v>
      </c>
      <c r="E1670" s="0" t="s">
        <v>13</v>
      </c>
      <c r="F1670" s="0" t="s">
        <v>13</v>
      </c>
      <c r="G1670" s="0" t="s">
        <v>54</v>
      </c>
      <c r="H1670" s="5">
        <v>194.875000</v>
      </c>
    </row>
    <row r="1671" spans="1:9">
      <c r="A1671" s="22" t="str">
        <f>HYPERLINK("https://app.vivvix.com/360/KMI/IntelliDrive/ApplUI/Pages/CreativePages/CustomReportCreativeDetail.aspx?App=23&amp;ReportView=4&amp;Qid=1711245&amp;Row=1663&amp;Col=1","No Title Assigned - #15279421027")</f>
        <v/>
      </c>
      <c r="B1671" s="0" t="s">
        <v>2390</v>
      </c>
      <c r="E1671" s="0" t="s">
        <v>13</v>
      </c>
      <c r="F1671" s="0" t="s">
        <v>13</v>
      </c>
      <c r="G1671" s="0" t="s">
        <v>54</v>
      </c>
      <c r="H1671" s="5">
        <v>56.182100</v>
      </c>
    </row>
    <row r="1672" spans="1:9">
      <c r="A1672" s="22" t="str">
        <f>HYPERLINK("https://app.vivvix.com/360/KMI/IntelliDrive/ApplUI/Pages/CreativePages/CustomReportCreativeDetail.aspx?App=23&amp;ReportView=4&amp;Qid=1711245&amp;Row=1664&amp;Col=1","No Title Assigned - #15279422794")</f>
        <v/>
      </c>
      <c r="B1672" s="0" t="s">
        <v>2391</v>
      </c>
      <c r="E1672" s="0" t="s">
        <v>13</v>
      </c>
      <c r="F1672" s="0" t="s">
        <v>14</v>
      </c>
      <c r="G1672" s="0" t="s">
        <v>15</v>
      </c>
      <c r="H1672" s="5">
        <v>421.701000</v>
      </c>
    </row>
    <row r="1673" spans="1:9">
      <c r="A1673" s="22" t="str">
        <f>HYPERLINK("https://app.vivvix.com/360/KMI/IntelliDrive/ApplUI/Pages/CreativePages/CustomReportCreativeDetail.aspx?App=23&amp;ReportView=4&amp;Qid=1711245&amp;Row=1665&amp;Col=1","No Title Assigned - #15279426748")</f>
        <v/>
      </c>
      <c r="B1673" s="0" t="s">
        <v>2392</v>
      </c>
      <c r="E1673" s="0" t="s">
        <v>13</v>
      </c>
      <c r="F1673" s="0" t="s">
        <v>14</v>
      </c>
      <c r="G1673" s="0" t="s">
        <v>15</v>
      </c>
      <c r="H1673" s="5">
        <v>784.976800</v>
      </c>
    </row>
    <row r="1674" spans="1:9">
      <c r="A1674" s="22" t="str">
        <f>HYPERLINK("https://app.vivvix.com/360/KMI/IntelliDrive/ApplUI/Pages/CreativePages/CustomReportCreativeDetail.aspx?App=23&amp;ReportView=4&amp;Qid=1711245&amp;Row=1666&amp;Col=1","No Title Assigned - #15279426999")</f>
        <v/>
      </c>
      <c r="B1674" s="0" t="s">
        <v>2393</v>
      </c>
      <c r="C1674" s="0" t="s">
        <v>2394</v>
      </c>
      <c r="D1674" s="0" t="s">
        <v>2394</v>
      </c>
      <c r="E1674" s="0" t="s">
        <v>13</v>
      </c>
      <c r="F1674" s="0" t="s">
        <v>14</v>
      </c>
      <c r="G1674" s="0" t="s">
        <v>15</v>
      </c>
      <c r="H1674" s="5">
        <v>6.595900</v>
      </c>
    </row>
    <row r="1675" spans="1:9">
      <c r="A1675" s="22" t="str">
        <f>HYPERLINK("https://app.vivvix.com/360/KMI/IntelliDrive/ApplUI/Pages/CreativePages/CustomReportCreativeDetail.aspx?App=23&amp;ReportView=4&amp;Qid=1711245&amp;Row=1667&amp;Col=1","No Title Assigned - #15279427000")</f>
        <v/>
      </c>
      <c r="B1675" s="0" t="s">
        <v>2395</v>
      </c>
      <c r="C1675" s="0" t="s">
        <v>2396</v>
      </c>
      <c r="D1675" s="0" t="s">
        <v>2396</v>
      </c>
      <c r="E1675" s="0" t="s">
        <v>13</v>
      </c>
      <c r="F1675" s="0" t="s">
        <v>14</v>
      </c>
      <c r="G1675" s="0" t="s">
        <v>15</v>
      </c>
      <c r="H1675" s="5">
        <v>6.595900</v>
      </c>
    </row>
    <row r="1676" spans="1:9">
      <c r="A1676" s="22" t="str">
        <f>HYPERLINK("https://app.vivvix.com/360/KMI/IntelliDrive/ApplUI/Pages/CreativePages/CustomReportCreativeDetail.aspx?App=23&amp;ReportView=4&amp;Qid=1711245&amp;Row=1668&amp;Col=1","No Title Assigned - #15279435161")</f>
        <v/>
      </c>
      <c r="B1676" s="0" t="s">
        <v>2397</v>
      </c>
      <c r="E1676" s="0" t="s">
        <v>13</v>
      </c>
      <c r="F1676" s="0" t="s">
        <v>13</v>
      </c>
      <c r="G1676" s="0" t="s">
        <v>54</v>
      </c>
      <c r="H1676" s="5">
        <v>5198.184500</v>
      </c>
    </row>
    <row r="1677" spans="1:9">
      <c r="A1677" s="22" t="str">
        <f>HYPERLINK("https://app.vivvix.com/360/KMI/IntelliDrive/ApplUI/Pages/CreativePages/CustomReportCreativeDetail.aspx?App=23&amp;ReportView=4&amp;Qid=1711245&amp;Row=1669&amp;Col=1","No Title Assigned - #15279436565")</f>
        <v/>
      </c>
      <c r="B1677" s="0" t="s">
        <v>2398</v>
      </c>
      <c r="E1677" s="0" t="s">
        <v>13</v>
      </c>
      <c r="F1677" s="0" t="s">
        <v>13</v>
      </c>
      <c r="G1677" s="0" t="s">
        <v>54</v>
      </c>
      <c r="H1677" s="5">
        <v>487.741800</v>
      </c>
    </row>
    <row r="1678" spans="1:9">
      <c r="A1678" s="22" t="str">
        <f>HYPERLINK("https://app.vivvix.com/360/KMI/IntelliDrive/ApplUI/Pages/CreativePages/CustomReportCreativeDetail.aspx?App=23&amp;ReportView=4&amp;Qid=1711245&amp;Row=1670&amp;Col=1","No Title Assigned - #15279437746")</f>
        <v/>
      </c>
      <c r="B1678" s="0" t="s">
        <v>2399</v>
      </c>
      <c r="E1678" s="0" t="s">
        <v>13</v>
      </c>
      <c r="F1678" s="0" t="s">
        <v>13</v>
      </c>
      <c r="G1678" s="0" t="s">
        <v>54</v>
      </c>
      <c r="H1678" s="5">
        <v>791.664200</v>
      </c>
    </row>
    <row r="1679" spans="1:9">
      <c r="A1679" s="22" t="str">
        <f>HYPERLINK("https://app.vivvix.com/360/KMI/IntelliDrive/ApplUI/Pages/CreativePages/CustomReportCreativeDetail.aspx?App=23&amp;ReportView=4&amp;Qid=1711245&amp;Row=1671&amp;Col=1","No Title Assigned - #15279438565")</f>
        <v/>
      </c>
      <c r="B1679" s="0" t="s">
        <v>2400</v>
      </c>
      <c r="E1679" s="0" t="s">
        <v>13</v>
      </c>
      <c r="F1679" s="0" t="s">
        <v>13</v>
      </c>
      <c r="G1679" s="0" t="s">
        <v>54</v>
      </c>
      <c r="H1679" s="5">
        <v>791.664200</v>
      </c>
    </row>
    <row r="1680" spans="1:9">
      <c r="A1680" s="22" t="str">
        <f>HYPERLINK("https://app.vivvix.com/360/KMI/IntelliDrive/ApplUI/Pages/CreativePages/CustomReportCreativeDetail.aspx?App=23&amp;ReportView=4&amp;Qid=1711245&amp;Row=1672&amp;Col=1","No Title Assigned - #15279442763")</f>
        <v/>
      </c>
      <c r="B1680" s="0" t="s">
        <v>2401</v>
      </c>
      <c r="E1680" s="0" t="s">
        <v>13</v>
      </c>
      <c r="F1680" s="0" t="s">
        <v>13</v>
      </c>
      <c r="G1680" s="0" t="s">
        <v>54</v>
      </c>
      <c r="H1680" s="5">
        <v>196.850800</v>
      </c>
    </row>
    <row r="1681" spans="1:9">
      <c r="A1681" s="22" t="str">
        <f>HYPERLINK("https://app.vivvix.com/360/KMI/IntelliDrive/ApplUI/Pages/CreativePages/CustomReportCreativeDetail.aspx?App=23&amp;ReportView=4&amp;Qid=1711245&amp;Row=1673&amp;Col=1","No Title Assigned - #15279464048")</f>
        <v/>
      </c>
      <c r="B1681" s="0" t="s">
        <v>2402</v>
      </c>
      <c r="C1681" s="0" t="s">
        <v>2403</v>
      </c>
      <c r="D1681" s="0" t="s">
        <v>2403</v>
      </c>
      <c r="E1681" s="0" t="s">
        <v>13</v>
      </c>
      <c r="F1681" s="0" t="s">
        <v>13</v>
      </c>
      <c r="G1681" s="0" t="s">
        <v>78</v>
      </c>
      <c r="H1681" s="5">
        <v>2407.564000</v>
      </c>
    </row>
    <row r="1682" spans="1:9">
      <c r="A1682" s="22" t="str">
        <f>HYPERLINK("https://app.vivvix.com/360/KMI/IntelliDrive/ApplUI/Pages/CreativePages/CustomReportCreativeDetail.aspx?App=23&amp;ReportView=4&amp;Qid=1711245&amp;Row=1674&amp;Col=1","No Title Assigned - #15279464081")</f>
        <v/>
      </c>
      <c r="B1682" s="0" t="s">
        <v>2404</v>
      </c>
      <c r="C1682" s="0" t="s">
        <v>2405</v>
      </c>
      <c r="D1682" s="0" t="s">
        <v>2405</v>
      </c>
      <c r="E1682" s="0" t="s">
        <v>13</v>
      </c>
      <c r="F1682" s="0" t="s">
        <v>13</v>
      </c>
      <c r="G1682" s="0" t="s">
        <v>78</v>
      </c>
      <c r="H1682" s="5">
        <v>240.756400</v>
      </c>
    </row>
    <row r="1683" spans="1:9">
      <c r="A1683" s="22" t="str">
        <f>HYPERLINK("https://app.vivvix.com/360/KMI/IntelliDrive/ApplUI/Pages/CreativePages/CustomReportCreativeDetail.aspx?App=23&amp;ReportView=4&amp;Qid=1711245&amp;Row=1675&amp;Col=1","No Title Assigned - #15279464146")</f>
        <v/>
      </c>
      <c r="B1683" s="0" t="s">
        <v>2406</v>
      </c>
      <c r="C1683" s="0" t="s">
        <v>2407</v>
      </c>
      <c r="D1683" s="0" t="s">
        <v>2407</v>
      </c>
      <c r="E1683" s="0" t="s">
        <v>13</v>
      </c>
      <c r="F1683" s="0" t="s">
        <v>13</v>
      </c>
      <c r="G1683" s="0" t="s">
        <v>35</v>
      </c>
      <c r="H1683" s="5">
        <v>987.366400</v>
      </c>
    </row>
    <row r="1684" spans="1:9">
      <c r="A1684" s="22" t="str">
        <f>HYPERLINK("https://app.vivvix.com/360/KMI/IntelliDrive/ApplUI/Pages/CreativePages/CustomReportCreativeDetail.aspx?App=23&amp;ReportView=4&amp;Qid=1711245&amp;Row=1676&amp;Col=1","No Title Assigned - #15279464172")</f>
        <v/>
      </c>
      <c r="B1684" s="0" t="s">
        <v>2408</v>
      </c>
      <c r="C1684" s="0" t="s">
        <v>2409</v>
      </c>
      <c r="D1684" s="0" t="s">
        <v>2409</v>
      </c>
      <c r="E1684" s="0" t="s">
        <v>13</v>
      </c>
      <c r="F1684" s="0" t="s">
        <v>13</v>
      </c>
      <c r="G1684" s="0" t="s">
        <v>35</v>
      </c>
      <c r="H1684" s="5">
        <v>493.683200</v>
      </c>
    </row>
    <row r="1685" spans="1:9">
      <c r="A1685" s="22" t="str">
        <f>HYPERLINK("https://app.vivvix.com/360/KMI/IntelliDrive/ApplUI/Pages/CreativePages/CustomReportCreativeDetail.aspx?App=23&amp;ReportView=4&amp;Qid=1711245&amp;Row=1677&amp;Col=1","No Title Assigned - #15279464183")</f>
        <v/>
      </c>
      <c r="B1685" s="0" t="s">
        <v>2410</v>
      </c>
      <c r="E1685" s="0" t="s">
        <v>13</v>
      </c>
      <c r="F1685" s="0" t="s">
        <v>13</v>
      </c>
      <c r="G1685" s="0" t="s">
        <v>35</v>
      </c>
      <c r="H1685" s="5">
        <v>493.683200</v>
      </c>
    </row>
    <row r="1686" spans="1:9">
      <c r="A1686" s="22" t="str">
        <f>HYPERLINK("https://app.vivvix.com/360/KMI/IntelliDrive/ApplUI/Pages/CreativePages/CustomReportCreativeDetail.aspx?App=23&amp;ReportView=4&amp;Qid=1711245&amp;Row=1678&amp;Col=1","No Title Assigned - #15279478703")</f>
        <v/>
      </c>
      <c r="B1686" s="0" t="s">
        <v>2411</v>
      </c>
      <c r="E1686" s="0" t="s">
        <v>13</v>
      </c>
      <c r="F1686" s="0" t="s">
        <v>13</v>
      </c>
      <c r="G1686" s="0" t="s">
        <v>54</v>
      </c>
      <c r="H1686" s="5">
        <v>610.594400</v>
      </c>
    </row>
    <row r="1687" spans="1:9">
      <c r="A1687" s="22" t="str">
        <f>HYPERLINK("https://app.vivvix.com/360/KMI/IntelliDrive/ApplUI/Pages/CreativePages/CustomReportCreativeDetail.aspx?App=23&amp;ReportView=4&amp;Qid=1711245&amp;Row=1679&amp;Col=1","No Title Assigned - #15279503698")</f>
        <v/>
      </c>
      <c r="B1687" s="0" t="s">
        <v>2412</v>
      </c>
      <c r="E1687" s="0" t="s">
        <v>13</v>
      </c>
      <c r="F1687" s="0" t="s">
        <v>13</v>
      </c>
      <c r="G1687" s="0" t="s">
        <v>54</v>
      </c>
      <c r="H1687" s="5">
        <v>109830.239000</v>
      </c>
    </row>
    <row r="1688" spans="1:9">
      <c r="A1688" s="22" t="str">
        <f>HYPERLINK("https://app.vivvix.com/360/KMI/IntelliDrive/ApplUI/Pages/CreativePages/CustomReportCreativeDetail.aspx?App=23&amp;ReportView=4&amp;Qid=1711245&amp;Row=1680&amp;Col=1","No Title Assigned - #15279534173")</f>
        <v/>
      </c>
      <c r="B1688" s="0" t="s">
        <v>2413</v>
      </c>
      <c r="C1688" s="0" t="s">
        <v>2414</v>
      </c>
      <c r="D1688" s="0" t="s">
        <v>2414</v>
      </c>
      <c r="E1688" s="0" t="s">
        <v>13</v>
      </c>
      <c r="F1688" s="0" t="s">
        <v>28</v>
      </c>
      <c r="G1688" s="0" t="s">
        <v>453</v>
      </c>
      <c r="H1688" s="5">
        <v>10826.124000</v>
      </c>
    </row>
    <row r="1689" spans="1:9">
      <c r="A1689" s="22" t="str">
        <f>HYPERLINK("https://app.vivvix.com/360/KMI/IntelliDrive/ApplUI/Pages/CreativePages/CustomReportCreativeDetail.aspx?App=23&amp;ReportView=4&amp;Qid=1711245&amp;Row=1681&amp;Col=1","No Title Assigned - #15279555108")</f>
        <v/>
      </c>
      <c r="B1689" s="0" t="s">
        <v>2415</v>
      </c>
      <c r="E1689" s="0" t="s">
        <v>13</v>
      </c>
      <c r="F1689" s="0" t="s">
        <v>13</v>
      </c>
      <c r="G1689" s="0" t="s">
        <v>54</v>
      </c>
      <c r="H1689" s="5">
        <v>835.586400</v>
      </c>
    </row>
    <row r="1690" spans="1:9">
      <c r="A1690" s="22" t="str">
        <f>HYPERLINK("https://app.vivvix.com/360/KMI/IntelliDrive/ApplUI/Pages/CreativePages/CustomReportCreativeDetail.aspx?App=23&amp;ReportView=4&amp;Qid=1711245&amp;Row=1682&amp;Col=1","No Title Assigned - #15279571878")</f>
        <v/>
      </c>
      <c r="B1690" s="0" t="s">
        <v>2416</v>
      </c>
      <c r="E1690" s="0" t="s">
        <v>13</v>
      </c>
      <c r="F1690" s="0" t="s">
        <v>13</v>
      </c>
      <c r="G1690" s="0" t="s">
        <v>54</v>
      </c>
      <c r="H1690" s="5">
        <v>3363.489000</v>
      </c>
    </row>
    <row r="1691" spans="1:9">
      <c r="A1691" s="22" t="str">
        <f>HYPERLINK("https://app.vivvix.com/360/KMI/IntelliDrive/ApplUI/Pages/CreativePages/CustomReportCreativeDetail.aspx?App=23&amp;ReportView=4&amp;Qid=1711245&amp;Row=1683&amp;Col=1","No Title Assigned - #15279608763")</f>
        <v/>
      </c>
      <c r="B1691" s="0" t="s">
        <v>2417</v>
      </c>
      <c r="E1691" s="0" t="s">
        <v>13</v>
      </c>
      <c r="F1691" s="0" t="s">
        <v>13</v>
      </c>
      <c r="G1691" s="0" t="s">
        <v>54</v>
      </c>
      <c r="H1691" s="5">
        <v>310.404300</v>
      </c>
    </row>
    <row r="1692" spans="1:9">
      <c r="A1692" s="22" t="str">
        <f>HYPERLINK("https://app.vivvix.com/360/KMI/IntelliDrive/ApplUI/Pages/CreativePages/CustomReportCreativeDetail.aspx?App=23&amp;ReportView=4&amp;Qid=1711245&amp;Row=1684&amp;Col=1","No Title Assigned - #15279633872")</f>
        <v/>
      </c>
      <c r="B1692" s="0" t="s">
        <v>2418</v>
      </c>
      <c r="C1692" s="0" t="s">
        <v>2419</v>
      </c>
      <c r="D1692" s="0" t="s">
        <v>2419</v>
      </c>
      <c r="E1692" s="0" t="s">
        <v>13</v>
      </c>
      <c r="F1692" s="0" t="s">
        <v>14</v>
      </c>
      <c r="G1692" s="0" t="s">
        <v>15</v>
      </c>
      <c r="H1692" s="5">
        <v>102685.773300</v>
      </c>
    </row>
    <row r="1693" spans="1:9">
      <c r="A1693" s="22" t="str">
        <f>HYPERLINK("https://app.vivvix.com/360/KMI/IntelliDrive/ApplUI/Pages/CreativePages/CustomReportCreativeDetail.aspx?App=23&amp;ReportView=4&amp;Qid=1711245&amp;Row=1685&amp;Col=1","No Title Assigned - #15279641522")</f>
        <v/>
      </c>
      <c r="B1693" s="0" t="s">
        <v>2420</v>
      </c>
      <c r="E1693" s="0" t="s">
        <v>13</v>
      </c>
      <c r="F1693" s="0" t="s">
        <v>13</v>
      </c>
      <c r="G1693" s="0" t="s">
        <v>54</v>
      </c>
      <c r="H1693" s="5">
        <v>11940.477600</v>
      </c>
    </row>
    <row r="1694" spans="1:9">
      <c r="A1694" s="22" t="str">
        <f>HYPERLINK("https://app.vivvix.com/360/KMI/IntelliDrive/ApplUI/Pages/CreativePages/CustomReportCreativeDetail.aspx?App=23&amp;ReportView=4&amp;Qid=1711245&amp;Row=1686&amp;Col=1","No Title Assigned - #15279653195")</f>
        <v/>
      </c>
      <c r="B1694" s="0" t="s">
        <v>2421</v>
      </c>
      <c r="E1694" s="0" t="s">
        <v>13</v>
      </c>
      <c r="F1694" s="0" t="s">
        <v>13</v>
      </c>
      <c r="G1694" s="0" t="s">
        <v>54</v>
      </c>
      <c r="H1694" s="5">
        <v>22596.753000</v>
      </c>
    </row>
    <row r="1695" spans="1:9">
      <c r="A1695" s="22" t="str">
        <f>HYPERLINK("https://app.vivvix.com/360/KMI/IntelliDrive/ApplUI/Pages/CreativePages/CustomReportCreativeDetail.aspx?App=23&amp;ReportView=4&amp;Qid=1711245&amp;Row=1687&amp;Col=1","No Title Assigned - #15279654005")</f>
        <v/>
      </c>
      <c r="B1695" s="0" t="s">
        <v>2422</v>
      </c>
      <c r="E1695" s="0" t="s">
        <v>13</v>
      </c>
      <c r="F1695" s="0" t="s">
        <v>13</v>
      </c>
      <c r="G1695" s="0" t="s">
        <v>54</v>
      </c>
      <c r="H1695" s="5">
        <v>18077.402400</v>
      </c>
    </row>
    <row r="1696" spans="1:9">
      <c r="A1696" s="22" t="str">
        <f>HYPERLINK("https://app.vivvix.com/360/KMI/IntelliDrive/ApplUI/Pages/CreativePages/CustomReportCreativeDetail.aspx?App=23&amp;ReportView=4&amp;Qid=1711245&amp;Row=1688&amp;Col=1","No Title Assigned - #15279676262")</f>
        <v/>
      </c>
      <c r="B1696" s="0" t="s">
        <v>2423</v>
      </c>
      <c r="E1696" s="0" t="s">
        <v>13</v>
      </c>
      <c r="F1696" s="0" t="s">
        <v>13</v>
      </c>
      <c r="G1696" s="0" t="s">
        <v>54</v>
      </c>
      <c r="H1696" s="5">
        <v>194.875000</v>
      </c>
    </row>
    <row r="1697" spans="1:9">
      <c r="A1697" s="22" t="str">
        <f>HYPERLINK("https://app.vivvix.com/360/KMI/IntelliDrive/ApplUI/Pages/CreativePages/CustomReportCreativeDetail.aspx?App=23&amp;ReportView=4&amp;Qid=1711245&amp;Row=1689&amp;Col=1","No Title Assigned - #15279700378")</f>
        <v/>
      </c>
      <c r="B1697" s="0" t="s">
        <v>2424</v>
      </c>
      <c r="C1697" s="0" t="s">
        <v>2425</v>
      </c>
      <c r="D1697" s="0" t="s">
        <v>2425</v>
      </c>
      <c r="E1697" s="0" t="s">
        <v>13</v>
      </c>
      <c r="F1697" s="0" t="s">
        <v>14</v>
      </c>
      <c r="G1697" s="0" t="s">
        <v>15</v>
      </c>
      <c r="H1697" s="5">
        <v>3119.810200</v>
      </c>
    </row>
    <row r="1698" spans="1:9">
      <c r="A1698" s="22" t="str">
        <f>HYPERLINK("https://app.vivvix.com/360/KMI/IntelliDrive/ApplUI/Pages/CreativePages/CustomReportCreativeDetail.aspx?App=23&amp;ReportView=4&amp;Qid=1711245&amp;Row=1690&amp;Col=1","No Title Assigned - #15279708869")</f>
        <v/>
      </c>
      <c r="B1698" s="0" t="s">
        <v>2426</v>
      </c>
      <c r="E1698" s="0" t="s">
        <v>13</v>
      </c>
      <c r="F1698" s="0" t="s">
        <v>13</v>
      </c>
      <c r="G1698" s="0" t="s">
        <v>54</v>
      </c>
      <c r="H1698" s="5">
        <v>4385.977500</v>
      </c>
    </row>
    <row r="1699" spans="1:9">
      <c r="A1699" s="22" t="str">
        <f>HYPERLINK("https://app.vivvix.com/360/KMI/IntelliDrive/ApplUI/Pages/CreativePages/CustomReportCreativeDetail.aspx?App=23&amp;ReportView=4&amp;Qid=1711245&amp;Row=1691&amp;Col=1","No Title Assigned - #15279713626")</f>
        <v/>
      </c>
      <c r="B1699" s="0" t="s">
        <v>2427</v>
      </c>
      <c r="E1699" s="0" t="s">
        <v>13</v>
      </c>
      <c r="F1699" s="0" t="s">
        <v>13</v>
      </c>
      <c r="G1699" s="0" t="s">
        <v>54</v>
      </c>
      <c r="H1699" s="5">
        <v>60.023600</v>
      </c>
    </row>
    <row r="1700" spans="1:9">
      <c r="A1700" s="22" t="str">
        <f>HYPERLINK("https://app.vivvix.com/360/KMI/IntelliDrive/ApplUI/Pages/CreativePages/CustomReportCreativeDetail.aspx?App=23&amp;ReportView=4&amp;Qid=1711245&amp;Row=1692&amp;Col=1","No Title Assigned - #15279740117")</f>
        <v/>
      </c>
      <c r="B1700" s="0" t="s">
        <v>2428</v>
      </c>
      <c r="C1700" s="0" t="s">
        <v>2429</v>
      </c>
      <c r="D1700" s="0" t="s">
        <v>2345</v>
      </c>
      <c r="E1700" s="0" t="s">
        <v>13</v>
      </c>
      <c r="F1700" s="0" t="s">
        <v>540</v>
      </c>
      <c r="G1700" s="0" t="s">
        <v>541</v>
      </c>
      <c r="H1700" s="5">
        <v>509.841900</v>
      </c>
    </row>
    <row r="1701" spans="1:9">
      <c r="A1701" s="22" t="str">
        <f>HYPERLINK("https://app.vivvix.com/360/KMI/IntelliDrive/ApplUI/Pages/CreativePages/CustomReportCreativeDetail.aspx?App=23&amp;ReportView=4&amp;Qid=1711245&amp;Row=1693&amp;Col=1","No Title Assigned - #15279740139")</f>
        <v/>
      </c>
      <c r="B1701" s="0" t="s">
        <v>2430</v>
      </c>
      <c r="C1701" s="0" t="s">
        <v>2431</v>
      </c>
      <c r="D1701" s="0" t="s">
        <v>2431</v>
      </c>
      <c r="E1701" s="0" t="s">
        <v>13</v>
      </c>
      <c r="F1701" s="0" t="s">
        <v>128</v>
      </c>
      <c r="G1701" s="0" t="s">
        <v>456</v>
      </c>
      <c r="H1701" s="5">
        <v>514.575700</v>
      </c>
    </row>
    <row r="1702" spans="1:9">
      <c r="A1702" s="22" t="str">
        <f>HYPERLINK("https://app.vivvix.com/360/KMI/IntelliDrive/ApplUI/Pages/CreativePages/CustomReportCreativeDetail.aspx?App=23&amp;ReportView=4&amp;Qid=1711245&amp;Row=1694&amp;Col=1","No Title Assigned - #15279761268")</f>
        <v/>
      </c>
      <c r="B1702" s="0" t="s">
        <v>2432</v>
      </c>
      <c r="E1702" s="0" t="s">
        <v>13</v>
      </c>
      <c r="F1702" s="0" t="s">
        <v>13</v>
      </c>
      <c r="G1702" s="0" t="s">
        <v>54</v>
      </c>
      <c r="H1702" s="5">
        <v>194.875000</v>
      </c>
    </row>
    <row r="1703" spans="1:9">
      <c r="A1703" s="22" t="str">
        <f>HYPERLINK("https://app.vivvix.com/360/KMI/IntelliDrive/ApplUI/Pages/CreativePages/CustomReportCreativeDetail.aspx?App=23&amp;ReportView=4&amp;Qid=1711245&amp;Row=1695&amp;Col=1","No Title Assigned - #15279772193")</f>
        <v/>
      </c>
      <c r="B1703" s="0" t="s">
        <v>2433</v>
      </c>
      <c r="E1703" s="0" t="s">
        <v>13</v>
      </c>
      <c r="F1703" s="0" t="s">
        <v>13</v>
      </c>
      <c r="G1703" s="0" t="s">
        <v>54</v>
      </c>
      <c r="H1703" s="5">
        <v>163.564200</v>
      </c>
    </row>
    <row r="1704" spans="1:9">
      <c r="A1704" s="22" t="str">
        <f>HYPERLINK("https://app.vivvix.com/360/KMI/IntelliDrive/ApplUI/Pages/CreativePages/CustomReportCreativeDetail.aspx?App=23&amp;ReportView=4&amp;Qid=1711245&amp;Row=1696&amp;Col=1","No Title Assigned - #15279785644")</f>
        <v/>
      </c>
      <c r="B1704" s="0" t="s">
        <v>2434</v>
      </c>
      <c r="E1704" s="0" t="s">
        <v>13</v>
      </c>
      <c r="F1704" s="0" t="s">
        <v>13</v>
      </c>
      <c r="G1704" s="0" t="s">
        <v>54</v>
      </c>
      <c r="H1704" s="5">
        <v>194.875000</v>
      </c>
    </row>
    <row r="1705" spans="1:9">
      <c r="A1705" s="22" t="str">
        <f>HYPERLINK("https://app.vivvix.com/360/KMI/IntelliDrive/ApplUI/Pages/CreativePages/CustomReportCreativeDetail.aspx?App=23&amp;ReportView=4&amp;Qid=1711245&amp;Row=1697&amp;Col=1","No Title Assigned - #15279795086")</f>
        <v/>
      </c>
      <c r="B1705" s="0" t="s">
        <v>2435</v>
      </c>
      <c r="C1705" s="0" t="s">
        <v>2436</v>
      </c>
      <c r="D1705" s="0" t="s">
        <v>2436</v>
      </c>
      <c r="E1705" s="0" t="s">
        <v>13</v>
      </c>
      <c r="F1705" s="0" t="s">
        <v>530</v>
      </c>
      <c r="G1705" s="0" t="s">
        <v>531</v>
      </c>
      <c r="H1705" s="5">
        <v>17205.246100</v>
      </c>
    </row>
    <row r="1706" spans="1:9">
      <c r="A1706" s="22" t="str">
        <f>HYPERLINK("https://app.vivvix.com/360/KMI/IntelliDrive/ApplUI/Pages/CreativePages/CustomReportCreativeDetail.aspx?App=23&amp;ReportView=4&amp;Qid=1711245&amp;Row=1698&amp;Col=1","No Title Assigned - #15279801529")</f>
        <v/>
      </c>
      <c r="B1706" s="0" t="s">
        <v>2437</v>
      </c>
      <c r="E1706" s="0" t="s">
        <v>13</v>
      </c>
      <c r="F1706" s="0" t="s">
        <v>13</v>
      </c>
      <c r="G1706" s="0" t="s">
        <v>54</v>
      </c>
      <c r="H1706" s="5">
        <v>163.564200</v>
      </c>
    </row>
    <row r="1707" spans="1:9">
      <c r="A1707" s="22" t="str">
        <f>HYPERLINK("https://app.vivvix.com/360/KMI/IntelliDrive/ApplUI/Pages/CreativePages/CustomReportCreativeDetail.aspx?App=23&amp;ReportView=4&amp;Qid=1711245&amp;Row=1699&amp;Col=1","No Title Assigned - #15279807547")</f>
        <v/>
      </c>
      <c r="B1707" s="0" t="s">
        <v>2438</v>
      </c>
      <c r="E1707" s="0" t="s">
        <v>13</v>
      </c>
      <c r="F1707" s="0" t="s">
        <v>13</v>
      </c>
      <c r="G1707" s="0" t="s">
        <v>54</v>
      </c>
      <c r="H1707" s="5">
        <v>1147.849700</v>
      </c>
    </row>
    <row r="1708" spans="1:9">
      <c r="A1708" s="22" t="str">
        <f>HYPERLINK("https://app.vivvix.com/360/KMI/IntelliDrive/ApplUI/Pages/CreativePages/CustomReportCreativeDetail.aspx?App=23&amp;ReportView=4&amp;Qid=1711245&amp;Row=1700&amp;Col=1","No Title Assigned - #15279811878")</f>
        <v/>
      </c>
      <c r="B1708" s="0" t="s">
        <v>2439</v>
      </c>
      <c r="E1708" s="0" t="s">
        <v>13</v>
      </c>
      <c r="F1708" s="0" t="s">
        <v>13</v>
      </c>
      <c r="G1708" s="0" t="s">
        <v>54</v>
      </c>
      <c r="H1708" s="5">
        <v>833.074500</v>
      </c>
    </row>
    <row r="1709" spans="1:9">
      <c r="A1709" s="22" t="str">
        <f>HYPERLINK("https://app.vivvix.com/360/KMI/IntelliDrive/ApplUI/Pages/CreativePages/CustomReportCreativeDetail.aspx?App=23&amp;ReportView=4&amp;Qid=1711245&amp;Row=1701&amp;Col=1","No Title Assigned - #15279847955")</f>
        <v/>
      </c>
      <c r="B1709" s="0" t="s">
        <v>2440</v>
      </c>
      <c r="C1709" s="0" t="s">
        <v>2441</v>
      </c>
      <c r="D1709" s="0" t="s">
        <v>2441</v>
      </c>
      <c r="E1709" s="0" t="s">
        <v>13</v>
      </c>
      <c r="F1709" s="0" t="s">
        <v>14</v>
      </c>
      <c r="G1709" s="0" t="s">
        <v>15</v>
      </c>
      <c r="H1709" s="5">
        <v>48626.292900</v>
      </c>
    </row>
    <row r="1710" spans="1:9">
      <c r="A1710" s="22" t="str">
        <f>HYPERLINK("https://app.vivvix.com/360/KMI/IntelliDrive/ApplUI/Pages/CreativePages/CustomReportCreativeDetail.aspx?App=23&amp;ReportView=4&amp;Qid=1711245&amp;Row=1702&amp;Col=1","No Title Assigned - #15279850016")</f>
        <v/>
      </c>
      <c r="B1710" s="0" t="s">
        <v>2442</v>
      </c>
      <c r="C1710" s="0" t="s">
        <v>2443</v>
      </c>
      <c r="D1710" s="0" t="s">
        <v>2431</v>
      </c>
      <c r="E1710" s="0" t="s">
        <v>13</v>
      </c>
      <c r="F1710" s="0" t="s">
        <v>128</v>
      </c>
      <c r="G1710" s="0" t="s">
        <v>456</v>
      </c>
      <c r="H1710" s="5">
        <v>67.382800</v>
      </c>
    </row>
    <row r="1711" spans="1:9">
      <c r="A1711" s="22" t="str">
        <f>HYPERLINK("https://app.vivvix.com/360/KMI/IntelliDrive/ApplUI/Pages/CreativePages/CustomReportCreativeDetail.aspx?App=23&amp;ReportView=4&amp;Qid=1711245&amp;Row=1703&amp;Col=1","No Title Assigned - #15279856060")</f>
        <v/>
      </c>
      <c r="B1711" s="0" t="s">
        <v>2444</v>
      </c>
      <c r="C1711" s="0" t="s">
        <v>2445</v>
      </c>
      <c r="D1711" s="0" t="s">
        <v>2445</v>
      </c>
      <c r="E1711" s="0" t="s">
        <v>13</v>
      </c>
      <c r="F1711" s="0" t="s">
        <v>14</v>
      </c>
      <c r="G1711" s="0" t="s">
        <v>15</v>
      </c>
      <c r="H1711" s="5">
        <v>29.501100</v>
      </c>
    </row>
    <row r="1712" spans="1:9">
      <c r="A1712" s="22" t="str">
        <f>HYPERLINK("https://app.vivvix.com/360/KMI/IntelliDrive/ApplUI/Pages/CreativePages/CustomReportCreativeDetail.aspx?App=23&amp;ReportView=4&amp;Qid=1711245&amp;Row=1704&amp;Col=1","No Title Assigned - #15279858162")</f>
        <v/>
      </c>
      <c r="B1712" s="0" t="s">
        <v>2446</v>
      </c>
      <c r="E1712" s="0" t="s">
        <v>13</v>
      </c>
      <c r="F1712" s="0" t="s">
        <v>13</v>
      </c>
      <c r="G1712" s="0" t="s">
        <v>54</v>
      </c>
      <c r="H1712" s="5">
        <v>345.188000</v>
      </c>
    </row>
    <row r="1713" spans="1:9">
      <c r="A1713" s="22" t="str">
        <f>HYPERLINK("https://app.vivvix.com/360/KMI/IntelliDrive/ApplUI/Pages/CreativePages/CustomReportCreativeDetail.aspx?App=23&amp;ReportView=4&amp;Qid=1711245&amp;Row=1705&amp;Col=1","No Title Assigned - #15279859151")</f>
        <v/>
      </c>
      <c r="B1713" s="0" t="s">
        <v>2447</v>
      </c>
      <c r="E1713" s="0" t="s">
        <v>13</v>
      </c>
      <c r="F1713" s="0" t="s">
        <v>13</v>
      </c>
      <c r="G1713" s="0" t="s">
        <v>54</v>
      </c>
      <c r="H1713" s="5">
        <v>817.768300</v>
      </c>
    </row>
    <row r="1714" spans="1:9">
      <c r="A1714" s="22" t="str">
        <f>HYPERLINK("https://app.vivvix.com/360/KMI/IntelliDrive/ApplUI/Pages/CreativePages/CustomReportCreativeDetail.aspx?App=23&amp;ReportView=4&amp;Qid=1711245&amp;Row=1706&amp;Col=1","No Title Assigned - #15279864316")</f>
        <v/>
      </c>
      <c r="B1714" s="0" t="s">
        <v>2448</v>
      </c>
      <c r="E1714" s="0" t="s">
        <v>13</v>
      </c>
      <c r="F1714" s="0" t="s">
        <v>13</v>
      </c>
      <c r="G1714" s="0" t="s">
        <v>54</v>
      </c>
      <c r="H1714" s="5">
        <v>260.224400</v>
      </c>
    </row>
    <row r="1715" spans="1:9">
      <c r="A1715" s="22" t="str">
        <f>HYPERLINK("https://app.vivvix.com/360/KMI/IntelliDrive/ApplUI/Pages/CreativePages/CustomReportCreativeDetail.aspx?App=23&amp;ReportView=4&amp;Qid=1711245&amp;Row=1707&amp;Col=1","No Title Assigned - #15279864349")</f>
        <v/>
      </c>
      <c r="B1715" s="0" t="s">
        <v>2449</v>
      </c>
      <c r="E1715" s="0" t="s">
        <v>13</v>
      </c>
      <c r="F1715" s="0" t="s">
        <v>13</v>
      </c>
      <c r="G1715" s="0" t="s">
        <v>54</v>
      </c>
      <c r="H1715" s="5">
        <v>260.224400</v>
      </c>
    </row>
    <row r="1716" spans="1:9">
      <c r="A1716" s="22" t="str">
        <f>HYPERLINK("https://app.vivvix.com/360/KMI/IntelliDrive/ApplUI/Pages/CreativePages/CustomReportCreativeDetail.aspx?App=23&amp;ReportView=4&amp;Qid=1711245&amp;Row=1708&amp;Col=1","No Title Assigned - #15279894675")</f>
        <v/>
      </c>
      <c r="B1716" s="0" t="s">
        <v>2450</v>
      </c>
      <c r="C1716" s="0" t="s">
        <v>2451</v>
      </c>
      <c r="D1716" s="0" t="s">
        <v>1835</v>
      </c>
      <c r="E1716" s="0" t="s">
        <v>13</v>
      </c>
      <c r="F1716" s="0" t="s">
        <v>28</v>
      </c>
      <c r="G1716" s="0" t="s">
        <v>453</v>
      </c>
      <c r="H1716" s="5">
        <v>3772.282400</v>
      </c>
    </row>
    <row r="1717" spans="1:9">
      <c r="A1717" s="22" t="str">
        <f>HYPERLINK("https://app.vivvix.com/360/KMI/IntelliDrive/ApplUI/Pages/CreativePages/CustomReportCreativeDetail.aspx?App=23&amp;ReportView=4&amp;Qid=1711245&amp;Row=1709&amp;Col=1","No Title Assigned - #15279896062")</f>
        <v/>
      </c>
      <c r="B1717" s="0" t="s">
        <v>2452</v>
      </c>
      <c r="E1717" s="0" t="s">
        <v>13</v>
      </c>
      <c r="F1717" s="0" t="s">
        <v>13</v>
      </c>
      <c r="G1717" s="0" t="s">
        <v>54</v>
      </c>
      <c r="H1717" s="5">
        <v>9765.465500</v>
      </c>
    </row>
    <row r="1718" spans="1:9">
      <c r="A1718" s="22" t="str">
        <f>HYPERLINK("https://app.vivvix.com/360/KMI/IntelliDrive/ApplUI/Pages/CreativePages/CustomReportCreativeDetail.aspx?App=23&amp;ReportView=4&amp;Qid=1711245&amp;Row=1710&amp;Col=1","No Title Assigned - #15279901863")</f>
        <v/>
      </c>
      <c r="B1718" s="0" t="s">
        <v>2453</v>
      </c>
      <c r="E1718" s="0" t="s">
        <v>13</v>
      </c>
      <c r="F1718" s="0" t="s">
        <v>13</v>
      </c>
      <c r="G1718" s="0" t="s">
        <v>54</v>
      </c>
      <c r="H1718" s="5">
        <v>314.721600</v>
      </c>
    </row>
    <row r="1719" spans="1:9">
      <c r="A1719" s="22" t="str">
        <f>HYPERLINK("https://app.vivvix.com/360/KMI/IntelliDrive/ApplUI/Pages/CreativePages/CustomReportCreativeDetail.aspx?App=23&amp;ReportView=4&amp;Qid=1711245&amp;Row=1711&amp;Col=1","No Title Assigned - #15279903160")</f>
        <v/>
      </c>
      <c r="B1719" s="0" t="s">
        <v>2454</v>
      </c>
      <c r="C1719" s="0" t="s">
        <v>2455</v>
      </c>
      <c r="D1719" s="0" t="s">
        <v>2455</v>
      </c>
      <c r="E1719" s="0" t="s">
        <v>13</v>
      </c>
      <c r="F1719" s="0" t="s">
        <v>13</v>
      </c>
      <c r="G1719" s="0" t="s">
        <v>35</v>
      </c>
      <c r="H1719" s="5">
        <v>929.846500</v>
      </c>
    </row>
    <row r="1720" spans="1:9">
      <c r="A1720" s="22" t="str">
        <f>HYPERLINK("https://app.vivvix.com/360/KMI/IntelliDrive/ApplUI/Pages/CreativePages/CustomReportCreativeDetail.aspx?App=23&amp;ReportView=4&amp;Qid=1711245&amp;Row=1712&amp;Col=1","No Title Assigned - #15279908472")</f>
        <v/>
      </c>
      <c r="B1720" s="0" t="s">
        <v>2456</v>
      </c>
      <c r="C1720" s="0" t="s">
        <v>2457</v>
      </c>
      <c r="D1720" s="0" t="s">
        <v>2457</v>
      </c>
      <c r="E1720" s="0" t="s">
        <v>13</v>
      </c>
      <c r="F1720" s="0" t="s">
        <v>28</v>
      </c>
      <c r="G1720" s="0" t="s">
        <v>453</v>
      </c>
      <c r="H1720" s="5">
        <v>1285.112500</v>
      </c>
    </row>
    <row r="1721" spans="1:9">
      <c r="A1721" s="22" t="str">
        <f>HYPERLINK("https://app.vivvix.com/360/KMI/IntelliDrive/ApplUI/Pages/CreativePages/CustomReportCreativeDetail.aspx?App=23&amp;ReportView=4&amp;Qid=1711245&amp;Row=1713&amp;Col=1","No Title Assigned - #15279952227")</f>
        <v/>
      </c>
      <c r="B1721" s="0" t="s">
        <v>2458</v>
      </c>
      <c r="C1721" s="0" t="s">
        <v>2459</v>
      </c>
      <c r="D1721" s="0" t="s">
        <v>2459</v>
      </c>
      <c r="E1721" s="0" t="s">
        <v>13</v>
      </c>
      <c r="F1721" s="0" t="s">
        <v>14</v>
      </c>
      <c r="G1721" s="0" t="s">
        <v>15</v>
      </c>
      <c r="H1721" s="5">
        <v>35477.591600</v>
      </c>
    </row>
    <row r="1722" spans="1:9">
      <c r="A1722" s="22" t="str">
        <f>HYPERLINK("https://app.vivvix.com/360/KMI/IntelliDrive/ApplUI/Pages/CreativePages/CustomReportCreativeDetail.aspx?App=23&amp;ReportView=4&amp;Qid=1711245&amp;Row=1714&amp;Col=1","No Title Assigned - #15279952727")</f>
        <v/>
      </c>
      <c r="B1722" s="0" t="s">
        <v>2460</v>
      </c>
      <c r="C1722" s="0" t="s">
        <v>2461</v>
      </c>
      <c r="D1722" s="0" t="s">
        <v>2461</v>
      </c>
      <c r="E1722" s="0" t="s">
        <v>13</v>
      </c>
      <c r="F1722" s="0" t="s">
        <v>14</v>
      </c>
      <c r="G1722" s="0" t="s">
        <v>15</v>
      </c>
      <c r="H1722" s="5">
        <v>45153.298400</v>
      </c>
    </row>
    <row r="1723" spans="1:9">
      <c r="A1723" s="22" t="str">
        <f>HYPERLINK("https://app.vivvix.com/360/KMI/IntelliDrive/ApplUI/Pages/CreativePages/CustomReportCreativeDetail.aspx?App=23&amp;ReportView=4&amp;Qid=1711245&amp;Row=1715&amp;Col=1","No Title Assigned - #15279952728")</f>
        <v/>
      </c>
      <c r="B1723" s="0" t="s">
        <v>2462</v>
      </c>
      <c r="C1723" s="0" t="s">
        <v>2463</v>
      </c>
      <c r="D1723" s="0" t="s">
        <v>2463</v>
      </c>
      <c r="E1723" s="0" t="s">
        <v>13</v>
      </c>
      <c r="F1723" s="0" t="s">
        <v>14</v>
      </c>
      <c r="G1723" s="0" t="s">
        <v>15</v>
      </c>
      <c r="H1723" s="5">
        <v>13162.141500</v>
      </c>
    </row>
    <row r="1724" spans="1:9">
      <c r="A1724" s="22" t="str">
        <f>HYPERLINK("https://app.vivvix.com/360/KMI/IntelliDrive/ApplUI/Pages/CreativePages/CustomReportCreativeDetail.aspx?App=23&amp;ReportView=4&amp;Qid=1711245&amp;Row=1716&amp;Col=1","No Title Assigned - #15279954700")</f>
        <v/>
      </c>
      <c r="B1724" s="0" t="s">
        <v>2464</v>
      </c>
      <c r="E1724" s="0" t="s">
        <v>13</v>
      </c>
      <c r="F1724" s="0" t="s">
        <v>13</v>
      </c>
      <c r="G1724" s="0" t="s">
        <v>54</v>
      </c>
      <c r="H1724" s="5">
        <v>21393.379200</v>
      </c>
    </row>
    <row r="1725" spans="1:9">
      <c r="A1725" s="22" t="str">
        <f>HYPERLINK("https://app.vivvix.com/360/KMI/IntelliDrive/ApplUI/Pages/CreativePages/CustomReportCreativeDetail.aspx?App=23&amp;ReportView=4&amp;Qid=1711245&amp;Row=1717&amp;Col=1","No Title Assigned - #15279959478")</f>
        <v/>
      </c>
      <c r="B1725" s="0" t="s">
        <v>2465</v>
      </c>
      <c r="E1725" s="0" t="s">
        <v>13</v>
      </c>
      <c r="F1725" s="0" t="s">
        <v>13</v>
      </c>
      <c r="G1725" s="0" t="s">
        <v>54</v>
      </c>
      <c r="H1725" s="5">
        <v>46520.449900</v>
      </c>
    </row>
    <row r="1726" spans="1:9">
      <c r="A1726" s="22" t="str">
        <f>HYPERLINK("https://app.vivvix.com/360/KMI/IntelliDrive/ApplUI/Pages/CreativePages/CustomReportCreativeDetail.aspx?App=23&amp;ReportView=4&amp;Qid=1711245&amp;Row=1718&amp;Col=1","No Title Assigned - #15279959685")</f>
        <v/>
      </c>
      <c r="B1726" s="0" t="s">
        <v>2466</v>
      </c>
      <c r="E1726" s="0" t="s">
        <v>13</v>
      </c>
      <c r="F1726" s="0" t="s">
        <v>13</v>
      </c>
      <c r="G1726" s="0" t="s">
        <v>54</v>
      </c>
      <c r="H1726" s="5">
        <v>9263.592700</v>
      </c>
    </row>
    <row r="1727" spans="1:9">
      <c r="A1727" s="22" t="str">
        <f>HYPERLINK("https://app.vivvix.com/360/KMI/IntelliDrive/ApplUI/Pages/CreativePages/CustomReportCreativeDetail.aspx?App=23&amp;ReportView=4&amp;Qid=1711245&amp;Row=1719&amp;Col=1","No Title Assigned - #15279961841")</f>
        <v/>
      </c>
      <c r="B1727" s="0" t="s">
        <v>2467</v>
      </c>
      <c r="E1727" s="0" t="s">
        <v>13</v>
      </c>
      <c r="F1727" s="0" t="s">
        <v>13</v>
      </c>
      <c r="G1727" s="0" t="s">
        <v>54</v>
      </c>
      <c r="H1727" s="5">
        <v>164777.228800</v>
      </c>
    </row>
    <row r="1728" spans="1:9">
      <c r="A1728" s="22" t="str">
        <f>HYPERLINK("https://app.vivvix.com/360/KMI/IntelliDrive/ApplUI/Pages/CreativePages/CustomReportCreativeDetail.aspx?App=23&amp;ReportView=4&amp;Qid=1711245&amp;Row=1720&amp;Col=1","No Title Assigned - #15279961842")</f>
        <v/>
      </c>
      <c r="B1728" s="0" t="s">
        <v>2468</v>
      </c>
      <c r="E1728" s="0" t="s">
        <v>13</v>
      </c>
      <c r="F1728" s="0" t="s">
        <v>13</v>
      </c>
      <c r="G1728" s="0" t="s">
        <v>54</v>
      </c>
      <c r="H1728" s="5">
        <v>48227.481600</v>
      </c>
    </row>
    <row r="1729" spans="1:9">
      <c r="A1729" s="22" t="str">
        <f>HYPERLINK("https://app.vivvix.com/360/KMI/IntelliDrive/ApplUI/Pages/CreativePages/CustomReportCreativeDetail.aspx?App=23&amp;ReportView=4&amp;Qid=1711245&amp;Row=1721&amp;Col=1","No Title Assigned - #15279964461")</f>
        <v/>
      </c>
      <c r="B1729" s="0" t="s">
        <v>2469</v>
      </c>
      <c r="E1729" s="0" t="s">
        <v>13</v>
      </c>
      <c r="F1729" s="0" t="s">
        <v>13</v>
      </c>
      <c r="G1729" s="0" t="s">
        <v>54</v>
      </c>
      <c r="H1729" s="5">
        <v>46948.737500</v>
      </c>
    </row>
    <row r="1730" spans="1:9">
      <c r="A1730" s="22" t="str">
        <f>HYPERLINK("https://app.vivvix.com/360/KMI/IntelliDrive/ApplUI/Pages/CreativePages/CustomReportCreativeDetail.aspx?App=23&amp;ReportView=4&amp;Qid=1711245&amp;Row=1722&amp;Col=1","No Title Assigned - #15279968620")</f>
        <v/>
      </c>
      <c r="B1730" s="0" t="s">
        <v>2470</v>
      </c>
      <c r="E1730" s="0" t="s">
        <v>13</v>
      </c>
      <c r="F1730" s="0" t="s">
        <v>13</v>
      </c>
      <c r="G1730" s="0" t="s">
        <v>54</v>
      </c>
      <c r="H1730" s="5">
        <v>80379.136000</v>
      </c>
    </row>
    <row r="1731" spans="1:9">
      <c r="A1731" s="22" t="str">
        <f>HYPERLINK("https://app.vivvix.com/360/KMI/IntelliDrive/ApplUI/Pages/CreativePages/CustomReportCreativeDetail.aspx?App=23&amp;ReportView=4&amp;Qid=1711245&amp;Row=1723&amp;Col=1","No Title Assigned - #15279987892")</f>
        <v/>
      </c>
      <c r="B1731" s="0" t="s">
        <v>2471</v>
      </c>
      <c r="C1731" s="0" t="s">
        <v>2472</v>
      </c>
      <c r="D1731" s="0" t="s">
        <v>2472</v>
      </c>
      <c r="E1731" s="0" t="s">
        <v>13</v>
      </c>
      <c r="F1731" s="0" t="s">
        <v>14</v>
      </c>
      <c r="G1731" s="0" t="s">
        <v>15</v>
      </c>
      <c r="H1731" s="5">
        <v>3849.078300</v>
      </c>
    </row>
    <row r="1732" spans="1:9">
      <c r="A1732" s="22" t="str">
        <f>HYPERLINK("https://app.vivvix.com/360/KMI/IntelliDrive/ApplUI/Pages/CreativePages/CustomReportCreativeDetail.aspx?App=23&amp;ReportView=4&amp;Qid=1711245&amp;Row=1724&amp;Col=1","No Title Assigned - #15279995229")</f>
        <v/>
      </c>
      <c r="B1732" s="0" t="s">
        <v>2473</v>
      </c>
      <c r="C1732" s="0" t="s">
        <v>2474</v>
      </c>
      <c r="D1732" s="0" t="s">
        <v>2350</v>
      </c>
      <c r="E1732" s="0" t="s">
        <v>13</v>
      </c>
      <c r="F1732" s="0" t="s">
        <v>17</v>
      </c>
      <c r="G1732" s="0" t="s">
        <v>446</v>
      </c>
      <c r="H1732" s="5">
        <v>12367.601000</v>
      </c>
    </row>
    <row r="1733" spans="1:9">
      <c r="A1733" s="22" t="str">
        <f>HYPERLINK("https://app.vivvix.com/360/KMI/IntelliDrive/ApplUI/Pages/CreativePages/CustomReportCreativeDetail.aspx?App=23&amp;ReportView=4&amp;Qid=1711245&amp;Row=1725&amp;Col=1","No Title Assigned - #15279995734")</f>
        <v/>
      </c>
      <c r="B1733" s="0" t="s">
        <v>2475</v>
      </c>
      <c r="C1733" s="0" t="s">
        <v>2476</v>
      </c>
      <c r="D1733" s="0" t="s">
        <v>2476</v>
      </c>
      <c r="E1733" s="0" t="s">
        <v>13</v>
      </c>
      <c r="F1733" s="0" t="s">
        <v>14</v>
      </c>
      <c r="G1733" s="0" t="s">
        <v>15</v>
      </c>
      <c r="H1733" s="5">
        <v>3316.584200</v>
      </c>
    </row>
    <row r="1734" spans="1:9">
      <c r="A1734" s="22" t="str">
        <f>HYPERLINK("https://app.vivvix.com/360/KMI/IntelliDrive/ApplUI/Pages/CreativePages/CustomReportCreativeDetail.aspx?App=23&amp;ReportView=4&amp;Qid=1711245&amp;Row=1726&amp;Col=1","No Title Assigned - #15280001658")</f>
        <v/>
      </c>
      <c r="B1734" s="0" t="s">
        <v>2477</v>
      </c>
      <c r="E1734" s="0" t="s">
        <v>13</v>
      </c>
      <c r="F1734" s="0" t="s">
        <v>13</v>
      </c>
      <c r="G1734" s="0" t="s">
        <v>54</v>
      </c>
      <c r="H1734" s="5">
        <v>2771.286900</v>
      </c>
    </row>
    <row r="1735" spans="1:9">
      <c r="A1735" s="22" t="str">
        <f>HYPERLINK("https://app.vivvix.com/360/KMI/IntelliDrive/ApplUI/Pages/CreativePages/CustomReportCreativeDetail.aspx?App=23&amp;ReportView=4&amp;Qid=1711245&amp;Row=1727&amp;Col=1","No Title Assigned - #15280010390")</f>
        <v/>
      </c>
      <c r="B1735" s="0" t="s">
        <v>2478</v>
      </c>
      <c r="E1735" s="0" t="s">
        <v>13</v>
      </c>
      <c r="F1735" s="0" t="s">
        <v>17</v>
      </c>
      <c r="G1735" s="0" t="s">
        <v>446</v>
      </c>
      <c r="H1735" s="5">
        <v>81.672600</v>
      </c>
    </row>
    <row r="1736" spans="1:9">
      <c r="A1736" s="22" t="str">
        <f>HYPERLINK("https://app.vivvix.com/360/KMI/IntelliDrive/ApplUI/Pages/CreativePages/CustomReportCreativeDetail.aspx?App=23&amp;ReportView=4&amp;Qid=1711245&amp;Row=1728&amp;Col=1","No Title Assigned - #15280060145")</f>
        <v/>
      </c>
      <c r="B1736" s="0" t="s">
        <v>2479</v>
      </c>
      <c r="E1736" s="0" t="s">
        <v>13</v>
      </c>
      <c r="F1736" s="0" t="s">
        <v>13</v>
      </c>
      <c r="G1736" s="0" t="s">
        <v>54</v>
      </c>
      <c r="H1736" s="5">
        <v>1603.852100</v>
      </c>
    </row>
    <row r="1737" spans="1:9">
      <c r="A1737" s="22" t="str">
        <f>HYPERLINK("https://app.vivvix.com/360/KMI/IntelliDrive/ApplUI/Pages/CreativePages/CustomReportCreativeDetail.aspx?App=23&amp;ReportView=4&amp;Qid=1711245&amp;Row=1729&amp;Col=1","No Title Assigned - #15280061314")</f>
        <v/>
      </c>
      <c r="B1737" s="0" t="s">
        <v>2480</v>
      </c>
      <c r="C1737" s="0" t="s">
        <v>2481</v>
      </c>
      <c r="D1737" s="0" t="s">
        <v>1995</v>
      </c>
      <c r="E1737" s="0" t="s">
        <v>13</v>
      </c>
      <c r="F1737" s="0" t="s">
        <v>14</v>
      </c>
      <c r="G1737" s="0" t="s">
        <v>15</v>
      </c>
      <c r="H1737" s="5">
        <v>25.711700</v>
      </c>
    </row>
    <row r="1738" spans="1:9">
      <c r="A1738" s="22" t="str">
        <f>HYPERLINK("https://app.vivvix.com/360/KMI/IntelliDrive/ApplUI/Pages/CreativePages/CustomReportCreativeDetail.aspx?App=23&amp;ReportView=4&amp;Qid=1711245&amp;Row=1730&amp;Col=1","No Title Assigned - #15280069938")</f>
        <v/>
      </c>
      <c r="B1738" s="0" t="s">
        <v>2482</v>
      </c>
      <c r="E1738" s="0" t="s">
        <v>13</v>
      </c>
      <c r="F1738" s="0" t="s">
        <v>13</v>
      </c>
      <c r="G1738" s="0" t="s">
        <v>54</v>
      </c>
      <c r="H1738" s="5">
        <v>640.673400</v>
      </c>
    </row>
    <row r="1739" spans="1:9">
      <c r="A1739" s="22" t="str">
        <f>HYPERLINK("https://app.vivvix.com/360/KMI/IntelliDrive/ApplUI/Pages/CreativePages/CustomReportCreativeDetail.aspx?App=23&amp;ReportView=4&amp;Qid=1711245&amp;Row=1731&amp;Col=1","No Title Assigned - #15280071505")</f>
        <v/>
      </c>
      <c r="B1739" s="0" t="s">
        <v>2483</v>
      </c>
      <c r="E1739" s="0" t="s">
        <v>13</v>
      </c>
      <c r="F1739" s="0" t="s">
        <v>13</v>
      </c>
      <c r="G1739" s="0" t="s">
        <v>54</v>
      </c>
      <c r="H1739" s="5">
        <v>81176.072300</v>
      </c>
    </row>
    <row r="1740" spans="1:9">
      <c r="A1740" s="22" t="str">
        <f>HYPERLINK("https://app.vivvix.com/360/KMI/IntelliDrive/ApplUI/Pages/CreativePages/CustomReportCreativeDetail.aspx?App=23&amp;ReportView=4&amp;Qid=1711245&amp;Row=1732&amp;Col=1","No Title Assigned - #15280072798")</f>
        <v/>
      </c>
      <c r="B1740" s="0" t="s">
        <v>2484</v>
      </c>
      <c r="E1740" s="0" t="s">
        <v>13</v>
      </c>
      <c r="F1740" s="0" t="s">
        <v>13</v>
      </c>
      <c r="G1740" s="0" t="s">
        <v>54</v>
      </c>
      <c r="H1740" s="5">
        <v>4294.012800</v>
      </c>
    </row>
    <row r="1741" spans="1:9">
      <c r="A1741" s="22" t="str">
        <f>HYPERLINK("https://app.vivvix.com/360/KMI/IntelliDrive/ApplUI/Pages/CreativePages/CustomReportCreativeDetail.aspx?App=23&amp;ReportView=4&amp;Qid=1711245&amp;Row=1733&amp;Col=1","No Title Assigned - #15280077837")</f>
        <v/>
      </c>
      <c r="B1741" s="0" t="s">
        <v>2485</v>
      </c>
      <c r="E1741" s="0" t="s">
        <v>13</v>
      </c>
      <c r="F1741" s="0" t="s">
        <v>13</v>
      </c>
      <c r="G1741" s="0" t="s">
        <v>54</v>
      </c>
      <c r="H1741" s="5">
        <v>12056.870400</v>
      </c>
    </row>
    <row r="1742" spans="1:9">
      <c r="A1742" s="22" t="str">
        <f>HYPERLINK("https://app.vivvix.com/360/KMI/IntelliDrive/ApplUI/Pages/CreativePages/CustomReportCreativeDetail.aspx?App=23&amp;ReportView=4&amp;Qid=1711245&amp;Row=1734&amp;Col=1","No Title Assigned - #15280080247")</f>
        <v/>
      </c>
      <c r="B1742" s="0" t="s">
        <v>2486</v>
      </c>
      <c r="E1742" s="0" t="s">
        <v>13</v>
      </c>
      <c r="F1742" s="0" t="s">
        <v>13</v>
      </c>
      <c r="G1742" s="0" t="s">
        <v>54</v>
      </c>
      <c r="H1742" s="5">
        <v>32151.654400</v>
      </c>
    </row>
    <row r="1743" spans="1:9">
      <c r="A1743" s="22" t="str">
        <f>HYPERLINK("https://app.vivvix.com/360/KMI/IntelliDrive/ApplUI/Pages/CreativePages/CustomReportCreativeDetail.aspx?App=23&amp;ReportView=4&amp;Qid=1711245&amp;Row=1735&amp;Col=1","No Title Assigned - #15280086529")</f>
        <v/>
      </c>
      <c r="B1743" s="0" t="s">
        <v>2487</v>
      </c>
      <c r="E1743" s="0" t="s">
        <v>13</v>
      </c>
      <c r="F1743" s="0" t="s">
        <v>13</v>
      </c>
      <c r="G1743" s="0" t="s">
        <v>54</v>
      </c>
      <c r="H1743" s="5">
        <v>16075.827200</v>
      </c>
    </row>
    <row r="1744" spans="1:9">
      <c r="A1744" s="22" t="str">
        <f>HYPERLINK("https://app.vivvix.com/360/KMI/IntelliDrive/ApplUI/Pages/CreativePages/CustomReportCreativeDetail.aspx?App=23&amp;ReportView=4&amp;Qid=1711245&amp;Row=1736&amp;Col=1","No Title Assigned - #15280129936")</f>
        <v/>
      </c>
      <c r="B1744" s="0" t="s">
        <v>2488</v>
      </c>
      <c r="E1744" s="0" t="s">
        <v>13</v>
      </c>
      <c r="F1744" s="0" t="s">
        <v>13</v>
      </c>
      <c r="G1744" s="0" t="s">
        <v>54</v>
      </c>
      <c r="H1744" s="5">
        <v>4134.486100</v>
      </c>
    </row>
    <row r="1745" spans="1:9">
      <c r="A1745" s="22" t="str">
        <f>HYPERLINK("https://app.vivvix.com/360/KMI/IntelliDrive/ApplUI/Pages/CreativePages/CustomReportCreativeDetail.aspx?App=23&amp;ReportView=4&amp;Qid=1711245&amp;Row=1737&amp;Col=1","No Title Assigned - #15280192759")</f>
        <v/>
      </c>
      <c r="B1745" s="0" t="s">
        <v>2489</v>
      </c>
      <c r="C1745" s="0" t="s">
        <v>2490</v>
      </c>
      <c r="D1745" s="0" t="s">
        <v>2463</v>
      </c>
      <c r="E1745" s="0" t="s">
        <v>13</v>
      </c>
      <c r="F1745" s="0" t="s">
        <v>14</v>
      </c>
      <c r="G1745" s="0" t="s">
        <v>15</v>
      </c>
      <c r="H1745" s="5">
        <v>20311.210600</v>
      </c>
    </row>
    <row r="1746" spans="1:9">
      <c r="A1746" s="22" t="str">
        <f>HYPERLINK("https://app.vivvix.com/360/KMI/IntelliDrive/ApplUI/Pages/CreativePages/CustomReportCreativeDetail.aspx?App=23&amp;ReportView=4&amp;Qid=1711245&amp;Row=1738&amp;Col=1","No Title Assigned - #15280223093")</f>
        <v/>
      </c>
      <c r="B1746" s="0" t="s">
        <v>2491</v>
      </c>
      <c r="E1746" s="0" t="s">
        <v>13</v>
      </c>
      <c r="F1746" s="0" t="s">
        <v>17</v>
      </c>
      <c r="G1746" s="0" t="s">
        <v>446</v>
      </c>
      <c r="H1746" s="5">
        <v>419.633400</v>
      </c>
    </row>
    <row r="1747" spans="1:9">
      <c r="A1747" s="22" t="str">
        <f>HYPERLINK("https://app.vivvix.com/360/KMI/IntelliDrive/ApplUI/Pages/CreativePages/CustomReportCreativeDetail.aspx?App=23&amp;ReportView=4&amp;Qid=1711245&amp;Row=1739&amp;Col=1","No Title Assigned - #15280223719")</f>
        <v/>
      </c>
      <c r="B1747" s="0" t="s">
        <v>2492</v>
      </c>
      <c r="E1747" s="0" t="s">
        <v>13</v>
      </c>
      <c r="F1747" s="0" t="s">
        <v>13</v>
      </c>
      <c r="G1747" s="0" t="s">
        <v>54</v>
      </c>
      <c r="H1747" s="5">
        <v>3819.320100</v>
      </c>
    </row>
    <row r="1748" spans="1:9">
      <c r="A1748" s="22" t="str">
        <f>HYPERLINK("https://app.vivvix.com/360/KMI/IntelliDrive/ApplUI/Pages/CreativePages/CustomReportCreativeDetail.aspx?App=23&amp;ReportView=4&amp;Qid=1711245&amp;Row=1740&amp;Col=1","No Title Assigned - #15280225426")</f>
        <v/>
      </c>
      <c r="B1748" s="0" t="s">
        <v>2493</v>
      </c>
      <c r="C1748" s="0" t="s">
        <v>2494</v>
      </c>
      <c r="D1748" s="0" t="s">
        <v>2494</v>
      </c>
      <c r="E1748" s="0" t="s">
        <v>13</v>
      </c>
      <c r="F1748" s="0" t="s">
        <v>540</v>
      </c>
      <c r="G1748" s="0" t="s">
        <v>541</v>
      </c>
      <c r="H1748" s="5">
        <v>54.952400</v>
      </c>
    </row>
    <row r="1749" spans="1:9">
      <c r="A1749" s="22" t="str">
        <f>HYPERLINK("https://app.vivvix.com/360/KMI/IntelliDrive/ApplUI/Pages/CreativePages/CustomReportCreativeDetail.aspx?App=23&amp;ReportView=4&amp;Qid=1711245&amp;Row=1741&amp;Col=1","No Title Assigned - #15280235336")</f>
        <v/>
      </c>
      <c r="B1749" s="0" t="s">
        <v>2495</v>
      </c>
      <c r="E1749" s="0" t="s">
        <v>13</v>
      </c>
      <c r="F1749" s="0" t="s">
        <v>13</v>
      </c>
      <c r="G1749" s="0" t="s">
        <v>54</v>
      </c>
      <c r="H1749" s="5">
        <v>320.336700</v>
      </c>
    </row>
    <row r="1750" spans="1:9">
      <c r="A1750" s="22" t="str">
        <f>HYPERLINK("https://app.vivvix.com/360/KMI/IntelliDrive/ApplUI/Pages/CreativePages/CustomReportCreativeDetail.aspx?App=23&amp;ReportView=4&amp;Qid=1711245&amp;Row=1742&amp;Col=1","No Title Assigned - #15280239610")</f>
        <v/>
      </c>
      <c r="B1750" s="0" t="s">
        <v>2496</v>
      </c>
      <c r="E1750" s="0" t="s">
        <v>13</v>
      </c>
      <c r="F1750" s="0" t="s">
        <v>13</v>
      </c>
      <c r="G1750" s="0" t="s">
        <v>54</v>
      </c>
      <c r="H1750" s="5">
        <v>1021.779200</v>
      </c>
    </row>
    <row r="1751" spans="1:9">
      <c r="A1751" s="22" t="str">
        <f>HYPERLINK("https://app.vivvix.com/360/KMI/IntelliDrive/ApplUI/Pages/CreativePages/CustomReportCreativeDetail.aspx?App=23&amp;ReportView=4&amp;Qid=1711245&amp;Row=1743&amp;Col=1","No Title Assigned - #15280243412")</f>
        <v/>
      </c>
      <c r="B1751" s="0" t="s">
        <v>2497</v>
      </c>
      <c r="E1751" s="0" t="s">
        <v>13</v>
      </c>
      <c r="F1751" s="0" t="s">
        <v>13</v>
      </c>
      <c r="G1751" s="0" t="s">
        <v>54</v>
      </c>
      <c r="H1751" s="5">
        <v>71.580800</v>
      </c>
    </row>
    <row r="1752" spans="1:9">
      <c r="A1752" s="22" t="str">
        <f>HYPERLINK("https://app.vivvix.com/360/KMI/IntelliDrive/ApplUI/Pages/CreativePages/CustomReportCreativeDetail.aspx?App=23&amp;ReportView=4&amp;Qid=1711245&amp;Row=1744&amp;Col=1","No Title Assigned - #15280274602")</f>
        <v/>
      </c>
      <c r="B1752" s="0" t="s">
        <v>2498</v>
      </c>
      <c r="C1752" s="0" t="s">
        <v>2499</v>
      </c>
      <c r="D1752" s="0" t="s">
        <v>2499</v>
      </c>
      <c r="E1752" s="0" t="s">
        <v>13</v>
      </c>
      <c r="F1752" s="0" t="s">
        <v>14</v>
      </c>
      <c r="G1752" s="0" t="s">
        <v>15</v>
      </c>
      <c r="H1752" s="5">
        <v>90990.217700</v>
      </c>
    </row>
    <row r="1753" spans="1:9">
      <c r="A1753" s="22" t="str">
        <f>HYPERLINK("https://app.vivvix.com/360/KMI/IntelliDrive/ApplUI/Pages/CreativePages/CustomReportCreativeDetail.aspx?App=23&amp;ReportView=4&amp;Qid=1711245&amp;Row=1745&amp;Col=1","No Title Assigned - #15280277890")</f>
        <v/>
      </c>
      <c r="B1753" s="0" t="s">
        <v>2500</v>
      </c>
      <c r="C1753" s="0" t="s">
        <v>2501</v>
      </c>
      <c r="D1753" s="0" t="s">
        <v>2501</v>
      </c>
      <c r="E1753" s="0" t="s">
        <v>13</v>
      </c>
      <c r="F1753" s="0" t="s">
        <v>13</v>
      </c>
      <c r="G1753" s="0" t="s">
        <v>35</v>
      </c>
      <c r="H1753" s="5">
        <v>1972.766900</v>
      </c>
    </row>
    <row r="1754" spans="1:9">
      <c r="A1754" s="22" t="str">
        <f>HYPERLINK("https://app.vivvix.com/360/KMI/IntelliDrive/ApplUI/Pages/CreativePages/CustomReportCreativeDetail.aspx?App=23&amp;ReportView=4&amp;Qid=1711245&amp;Row=1746&amp;Col=1","No Title Assigned - #15280309285")</f>
        <v/>
      </c>
      <c r="B1754" s="0" t="s">
        <v>2502</v>
      </c>
      <c r="E1754" s="0" t="s">
        <v>13</v>
      </c>
      <c r="F1754" s="0" t="s">
        <v>13</v>
      </c>
      <c r="G1754" s="0" t="s">
        <v>54</v>
      </c>
      <c r="H1754" s="5">
        <v>499.149400</v>
      </c>
    </row>
    <row r="1755" spans="1:9">
      <c r="A1755" s="22" t="str">
        <f>HYPERLINK("https://app.vivvix.com/360/KMI/IntelliDrive/ApplUI/Pages/CreativePages/CustomReportCreativeDetail.aspx?App=23&amp;ReportView=4&amp;Qid=1711245&amp;Row=1747&amp;Col=1","No Title Assigned - #15280336813")</f>
        <v/>
      </c>
      <c r="B1755" s="0" t="s">
        <v>2503</v>
      </c>
      <c r="E1755" s="0" t="s">
        <v>13</v>
      </c>
      <c r="F1755" s="0" t="s">
        <v>13</v>
      </c>
      <c r="G1755" s="0" t="s">
        <v>54</v>
      </c>
      <c r="H1755" s="5">
        <v>322.113600</v>
      </c>
    </row>
    <row r="1756" spans="1:9">
      <c r="A1756" s="22" t="str">
        <f>HYPERLINK("https://app.vivvix.com/360/KMI/IntelliDrive/ApplUI/Pages/CreativePages/CustomReportCreativeDetail.aspx?App=23&amp;ReportView=4&amp;Qid=1711245&amp;Row=1748&amp;Col=1","No Title Assigned - #15280349322")</f>
        <v/>
      </c>
      <c r="B1756" s="0" t="s">
        <v>2504</v>
      </c>
      <c r="E1756" s="0" t="s">
        <v>13</v>
      </c>
      <c r="F1756" s="0" t="s">
        <v>13</v>
      </c>
      <c r="G1756" s="0" t="s">
        <v>54</v>
      </c>
      <c r="H1756" s="5">
        <v>723.433400</v>
      </c>
    </row>
    <row r="1757" spans="1:9">
      <c r="A1757" s="22" t="str">
        <f>HYPERLINK("https://app.vivvix.com/360/KMI/IntelliDrive/ApplUI/Pages/CreativePages/CustomReportCreativeDetail.aspx?App=23&amp;ReportView=4&amp;Qid=1711245&amp;Row=1749&amp;Col=1","No Title Assigned - #15280447624")</f>
        <v/>
      </c>
      <c r="B1757" s="0" t="s">
        <v>2505</v>
      </c>
      <c r="E1757" s="0" t="s">
        <v>13</v>
      </c>
      <c r="F1757" s="0" t="s">
        <v>13</v>
      </c>
      <c r="G1757" s="0" t="s">
        <v>54</v>
      </c>
      <c r="H1757" s="5">
        <v>893.792000</v>
      </c>
    </row>
    <row r="1758" spans="1:9">
      <c r="A1758" s="22" t="str">
        <f>HYPERLINK("https://app.vivvix.com/360/KMI/IntelliDrive/ApplUI/Pages/CreativePages/CustomReportCreativeDetail.aspx?App=23&amp;ReportView=4&amp;Qid=1711245&amp;Row=1750&amp;Col=1","No Title Assigned - #15280459519")</f>
        <v/>
      </c>
      <c r="B1758" s="0" t="s">
        <v>2506</v>
      </c>
      <c r="C1758" s="0" t="s">
        <v>2507</v>
      </c>
      <c r="D1758" s="0" t="s">
        <v>2507</v>
      </c>
      <c r="E1758" s="0" t="s">
        <v>13</v>
      </c>
      <c r="F1758" s="0" t="s">
        <v>106</v>
      </c>
      <c r="G1758" s="0" t="s">
        <v>107</v>
      </c>
      <c r="H1758" s="5">
        <v>15675.298200</v>
      </c>
    </row>
    <row r="1759" spans="1:9">
      <c r="A1759" s="22" t="str">
        <f>HYPERLINK("https://app.vivvix.com/360/KMI/IntelliDrive/ApplUI/Pages/CreativePages/CustomReportCreativeDetail.aspx?App=23&amp;ReportView=4&amp;Qid=1711245&amp;Row=1751&amp;Col=1","No Title Assigned - #15280511418")</f>
        <v/>
      </c>
      <c r="B1759" s="0" t="s">
        <v>2508</v>
      </c>
      <c r="E1759" s="0" t="s">
        <v>13</v>
      </c>
      <c r="F1759" s="0" t="s">
        <v>13</v>
      </c>
      <c r="G1759" s="0" t="s">
        <v>54</v>
      </c>
      <c r="H1759" s="5">
        <v>145.331400</v>
      </c>
    </row>
    <row r="1760" spans="1:9">
      <c r="A1760" s="22" t="str">
        <f>HYPERLINK("https://app.vivvix.com/360/KMI/IntelliDrive/ApplUI/Pages/CreativePages/CustomReportCreativeDetail.aspx?App=23&amp;ReportView=4&amp;Qid=1711245&amp;Row=1752&amp;Col=1","No Title Assigned - #15280516264")</f>
        <v/>
      </c>
      <c r="B1760" s="0" t="s">
        <v>2509</v>
      </c>
      <c r="E1760" s="0" t="s">
        <v>13</v>
      </c>
      <c r="F1760" s="0" t="s">
        <v>13</v>
      </c>
      <c r="G1760" s="0" t="s">
        <v>54</v>
      </c>
      <c r="H1760" s="5">
        <v>419.795700</v>
      </c>
    </row>
    <row r="1761" spans="1:9">
      <c r="A1761" s="22" t="str">
        <f>HYPERLINK("https://app.vivvix.com/360/KMI/IntelliDrive/ApplUI/Pages/CreativePages/CustomReportCreativeDetail.aspx?App=23&amp;ReportView=4&amp;Qid=1711245&amp;Row=1753&amp;Col=1","No Title Assigned - #15280541036")</f>
        <v/>
      </c>
      <c r="B1761" s="0" t="s">
        <v>2510</v>
      </c>
      <c r="C1761" s="0" t="s">
        <v>2511</v>
      </c>
      <c r="D1761" s="0" t="s">
        <v>2511</v>
      </c>
      <c r="E1761" s="0" t="s">
        <v>13</v>
      </c>
      <c r="F1761" s="0" t="s">
        <v>13</v>
      </c>
      <c r="G1761" s="0" t="s">
        <v>622</v>
      </c>
      <c r="H1761" s="5">
        <v>1742.331700</v>
      </c>
    </row>
    <row r="1762" spans="1:9">
      <c r="A1762" s="22" t="str">
        <f>HYPERLINK("https://app.vivvix.com/360/KMI/IntelliDrive/ApplUI/Pages/CreativePages/CustomReportCreativeDetail.aspx?App=23&amp;ReportView=4&amp;Qid=1711245&amp;Row=1754&amp;Col=1","No Title Assigned - #15280544048")</f>
        <v/>
      </c>
      <c r="B1762" s="0" t="s">
        <v>2512</v>
      </c>
      <c r="E1762" s="0" t="s">
        <v>13</v>
      </c>
      <c r="F1762" s="0" t="s">
        <v>14</v>
      </c>
      <c r="G1762" s="0" t="s">
        <v>15</v>
      </c>
      <c r="H1762" s="5">
        <v>482.689800</v>
      </c>
    </row>
    <row r="1763" spans="1:9">
      <c r="A1763" s="22" t="str">
        <f>HYPERLINK("https://app.vivvix.com/360/KMI/IntelliDrive/ApplUI/Pages/CreativePages/CustomReportCreativeDetail.aspx?App=23&amp;ReportView=4&amp;Qid=1711245&amp;Row=1755&amp;Col=1","No Title Assigned - #15280553238")</f>
        <v/>
      </c>
      <c r="B1763" s="0" t="s">
        <v>2513</v>
      </c>
      <c r="E1763" s="0" t="s">
        <v>13</v>
      </c>
      <c r="F1763" s="0" t="s">
        <v>13</v>
      </c>
      <c r="G1763" s="0" t="s">
        <v>54</v>
      </c>
      <c r="H1763" s="5">
        <v>50754.172000</v>
      </c>
    </row>
    <row r="1764" spans="1:9">
      <c r="A1764" s="22" t="str">
        <f>HYPERLINK("https://app.vivvix.com/360/KMI/IntelliDrive/ApplUI/Pages/CreativePages/CustomReportCreativeDetail.aspx?App=23&amp;ReportView=4&amp;Qid=1711245&amp;Row=1756&amp;Col=1","No Title Assigned - #15280589111")</f>
        <v/>
      </c>
      <c r="B1764" s="0" t="s">
        <v>2514</v>
      </c>
      <c r="C1764" s="0" t="s">
        <v>2515</v>
      </c>
      <c r="D1764" s="0" t="s">
        <v>2515</v>
      </c>
      <c r="E1764" s="0" t="s">
        <v>13</v>
      </c>
      <c r="F1764" s="0" t="s">
        <v>540</v>
      </c>
      <c r="G1764" s="0" t="s">
        <v>541</v>
      </c>
      <c r="H1764" s="5">
        <v>1029.684100</v>
      </c>
    </row>
    <row r="1765" spans="1:9">
      <c r="A1765" s="22" t="str">
        <f>HYPERLINK("https://app.vivvix.com/360/KMI/IntelliDrive/ApplUI/Pages/CreativePages/CustomReportCreativeDetail.aspx?App=23&amp;ReportView=4&amp;Qid=1711245&amp;Row=1757&amp;Col=1","No Title Assigned - #15280630250")</f>
        <v/>
      </c>
      <c r="B1765" s="0" t="s">
        <v>2516</v>
      </c>
      <c r="C1765" s="0" t="s">
        <v>2517</v>
      </c>
      <c r="D1765" s="0" t="s">
        <v>1675</v>
      </c>
      <c r="E1765" s="0" t="s">
        <v>13</v>
      </c>
      <c r="F1765" s="0" t="s">
        <v>17</v>
      </c>
      <c r="G1765" s="0" t="s">
        <v>446</v>
      </c>
      <c r="H1765" s="5">
        <v>1775.748700</v>
      </c>
    </row>
    <row r="1766" spans="1:9">
      <c r="A1766" s="22" t="str">
        <f>HYPERLINK("https://app.vivvix.com/360/KMI/IntelliDrive/ApplUI/Pages/CreativePages/CustomReportCreativeDetail.aspx?App=23&amp;ReportView=4&amp;Qid=1711245&amp;Row=1758&amp;Col=1","No Title Assigned - #15280630251")</f>
        <v/>
      </c>
      <c r="B1766" s="0" t="s">
        <v>2518</v>
      </c>
      <c r="C1766" s="0" t="s">
        <v>2519</v>
      </c>
      <c r="D1766" s="0" t="s">
        <v>1984</v>
      </c>
      <c r="E1766" s="0" t="s">
        <v>13</v>
      </c>
      <c r="F1766" s="0" t="s">
        <v>17</v>
      </c>
      <c r="G1766" s="0" t="s">
        <v>446</v>
      </c>
      <c r="H1766" s="5">
        <v>2455.390400</v>
      </c>
    </row>
    <row r="1767" spans="1:9">
      <c r="A1767" s="22" t="str">
        <f>HYPERLINK("https://app.vivvix.com/360/KMI/IntelliDrive/ApplUI/Pages/CreativePages/CustomReportCreativeDetail.aspx?App=23&amp;ReportView=4&amp;Qid=1711245&amp;Row=1759&amp;Col=1","No Title Assigned - #15280632492")</f>
        <v/>
      </c>
      <c r="B1767" s="0" t="s">
        <v>2520</v>
      </c>
      <c r="C1767" s="0" t="s">
        <v>2521</v>
      </c>
      <c r="D1767" s="0" t="s">
        <v>2052</v>
      </c>
      <c r="E1767" s="0" t="s">
        <v>13</v>
      </c>
      <c r="F1767" s="0" t="s">
        <v>540</v>
      </c>
      <c r="G1767" s="0" t="s">
        <v>541</v>
      </c>
      <c r="H1767" s="5">
        <v>27.476200</v>
      </c>
    </row>
    <row r="1768" spans="1:9">
      <c r="A1768" s="22" t="str">
        <f>HYPERLINK("https://app.vivvix.com/360/KMI/IntelliDrive/ApplUI/Pages/CreativePages/CustomReportCreativeDetail.aspx?App=23&amp;ReportView=4&amp;Qid=1711245&amp;Row=1760&amp;Col=1","No Title Assigned - #15280640725")</f>
        <v/>
      </c>
      <c r="B1768" s="0" t="s">
        <v>2522</v>
      </c>
      <c r="E1768" s="0" t="s">
        <v>13</v>
      </c>
      <c r="F1768" s="0" t="s">
        <v>530</v>
      </c>
      <c r="G1768" s="0" t="s">
        <v>531</v>
      </c>
      <c r="H1768" s="5">
        <v>356.784900</v>
      </c>
    </row>
    <row r="1769" spans="1:9">
      <c r="A1769" s="22" t="str">
        <f>HYPERLINK("https://app.vivvix.com/360/KMI/IntelliDrive/ApplUI/Pages/CreativePages/CustomReportCreativeDetail.aspx?App=23&amp;ReportView=4&amp;Qid=1711245&amp;Row=1761&amp;Col=1","No Title Assigned - #15280644865")</f>
        <v/>
      </c>
      <c r="B1769" s="0" t="s">
        <v>2523</v>
      </c>
      <c r="E1769" s="0" t="s">
        <v>13</v>
      </c>
      <c r="F1769" s="0" t="s">
        <v>13</v>
      </c>
      <c r="G1769" s="0" t="s">
        <v>54</v>
      </c>
      <c r="H1769" s="5">
        <v>888.944900</v>
      </c>
    </row>
    <row r="1770" spans="1:9">
      <c r="A1770" s="22" t="str">
        <f>HYPERLINK("https://app.vivvix.com/360/KMI/IntelliDrive/ApplUI/Pages/CreativePages/CustomReportCreativeDetail.aspx?App=23&amp;ReportView=4&amp;Qid=1711245&amp;Row=1762&amp;Col=1","No Title Assigned - #15280670813")</f>
        <v/>
      </c>
      <c r="B1770" s="0" t="s">
        <v>2524</v>
      </c>
      <c r="C1770" s="0" t="s">
        <v>2525</v>
      </c>
      <c r="D1770" s="0" t="s">
        <v>2525</v>
      </c>
      <c r="E1770" s="0" t="s">
        <v>13</v>
      </c>
      <c r="F1770" s="0" t="s">
        <v>28</v>
      </c>
      <c r="G1770" s="0" t="s">
        <v>453</v>
      </c>
      <c r="H1770" s="5">
        <v>557.345800</v>
      </c>
    </row>
    <row r="1771" spans="1:9">
      <c r="A1771" s="22" t="str">
        <f>HYPERLINK("https://app.vivvix.com/360/KMI/IntelliDrive/ApplUI/Pages/CreativePages/CustomReportCreativeDetail.aspx?App=23&amp;ReportView=4&amp;Qid=1711245&amp;Row=1763&amp;Col=1","No Title Assigned - #15280677976")</f>
        <v/>
      </c>
      <c r="B1771" s="0" t="s">
        <v>2526</v>
      </c>
      <c r="C1771" s="0" t="s">
        <v>2527</v>
      </c>
      <c r="D1771" s="0" t="s">
        <v>2130</v>
      </c>
      <c r="E1771" s="0" t="s">
        <v>13</v>
      </c>
      <c r="F1771" s="0" t="s">
        <v>28</v>
      </c>
      <c r="G1771" s="0" t="s">
        <v>453</v>
      </c>
      <c r="H1771" s="5">
        <v>669.424300</v>
      </c>
    </row>
    <row r="1772" spans="1:9">
      <c r="A1772" s="22" t="str">
        <f>HYPERLINK("https://app.vivvix.com/360/KMI/IntelliDrive/ApplUI/Pages/CreativePages/CustomReportCreativeDetail.aspx?App=23&amp;ReportView=4&amp;Qid=1711245&amp;Row=1764&amp;Col=1","No Title Assigned - #15280678633")</f>
        <v/>
      </c>
      <c r="B1772" s="0" t="s">
        <v>2528</v>
      </c>
      <c r="C1772" s="0" t="s">
        <v>2529</v>
      </c>
      <c r="D1772" s="0" t="s">
        <v>1888</v>
      </c>
      <c r="E1772" s="0" t="s">
        <v>13</v>
      </c>
      <c r="F1772" s="0" t="s">
        <v>28</v>
      </c>
      <c r="G1772" s="0" t="s">
        <v>453</v>
      </c>
      <c r="H1772" s="5">
        <v>2046.284000</v>
      </c>
    </row>
    <row r="1773" spans="1:9">
      <c r="A1773" s="22" t="str">
        <f>HYPERLINK("https://app.vivvix.com/360/KMI/IntelliDrive/ApplUI/Pages/CreativePages/CustomReportCreativeDetail.aspx?App=23&amp;ReportView=4&amp;Qid=1711245&amp;Row=1765&amp;Col=1","No Title Assigned - #15280683214")</f>
        <v/>
      </c>
      <c r="B1773" s="0" t="s">
        <v>2530</v>
      </c>
      <c r="E1773" s="0" t="s">
        <v>13</v>
      </c>
      <c r="F1773" s="0" t="s">
        <v>13</v>
      </c>
      <c r="G1773" s="0" t="s">
        <v>54</v>
      </c>
      <c r="H1773" s="5">
        <v>35.790400</v>
      </c>
    </row>
    <row r="1774" spans="1:9">
      <c r="A1774" s="22" t="str">
        <f>HYPERLINK("https://app.vivvix.com/360/KMI/IntelliDrive/ApplUI/Pages/CreativePages/CustomReportCreativeDetail.aspx?App=23&amp;ReportView=4&amp;Qid=1711245&amp;Row=1766&amp;Col=1","No Title Assigned - #15280686098")</f>
        <v/>
      </c>
      <c r="B1774" s="0" t="s">
        <v>2531</v>
      </c>
      <c r="C1774" s="0" t="s">
        <v>2532</v>
      </c>
      <c r="D1774" s="0" t="s">
        <v>1658</v>
      </c>
      <c r="E1774" s="0" t="s">
        <v>13</v>
      </c>
      <c r="F1774" s="0" t="s">
        <v>14</v>
      </c>
      <c r="G1774" s="0" t="s">
        <v>15</v>
      </c>
      <c r="H1774" s="5">
        <v>482.689800</v>
      </c>
    </row>
    <row r="1775" spans="1:9">
      <c r="A1775" s="22" t="str">
        <f>HYPERLINK("https://app.vivvix.com/360/KMI/IntelliDrive/ApplUI/Pages/CreativePages/CustomReportCreativeDetail.aspx?App=23&amp;ReportView=4&amp;Qid=1711245&amp;Row=1767&amp;Col=1","No Title Assigned - #15280686157")</f>
        <v/>
      </c>
      <c r="B1775" s="0" t="s">
        <v>2533</v>
      </c>
      <c r="C1775" s="0" t="s">
        <v>2534</v>
      </c>
      <c r="D1775" s="0" t="s">
        <v>1779</v>
      </c>
      <c r="E1775" s="0" t="s">
        <v>13</v>
      </c>
      <c r="F1775" s="0" t="s">
        <v>14</v>
      </c>
      <c r="G1775" s="0" t="s">
        <v>15</v>
      </c>
      <c r="H1775" s="5">
        <v>482.689800</v>
      </c>
    </row>
    <row r="1776" spans="1:9">
      <c r="A1776" s="22" t="str">
        <f>HYPERLINK("https://app.vivvix.com/360/KMI/IntelliDrive/ApplUI/Pages/CreativePages/CustomReportCreativeDetail.aspx?App=23&amp;ReportView=4&amp;Qid=1711245&amp;Row=1768&amp;Col=1","No Title Assigned - #15280690179")</f>
        <v/>
      </c>
      <c r="B1776" s="0" t="s">
        <v>2535</v>
      </c>
      <c r="E1776" s="0" t="s">
        <v>13</v>
      </c>
      <c r="F1776" s="0" t="s">
        <v>13</v>
      </c>
      <c r="G1776" s="0" t="s">
        <v>54</v>
      </c>
      <c r="H1776" s="5">
        <v>149.140200</v>
      </c>
    </row>
    <row r="1777" spans="1:9">
      <c r="A1777" s="22" t="str">
        <f>HYPERLINK("https://app.vivvix.com/360/KMI/IntelliDrive/ApplUI/Pages/CreativePages/CustomReportCreativeDetail.aspx?App=23&amp;ReportView=4&amp;Qid=1711245&amp;Row=1769&amp;Col=1","No Title Assigned - #15280697026")</f>
        <v/>
      </c>
      <c r="B1777" s="0" t="s">
        <v>2536</v>
      </c>
      <c r="E1777" s="0" t="s">
        <v>13</v>
      </c>
      <c r="F1777" s="0" t="s">
        <v>13</v>
      </c>
      <c r="G1777" s="0" t="s">
        <v>54</v>
      </c>
      <c r="H1777" s="5">
        <v>177.310700</v>
      </c>
    </row>
    <row r="1778" spans="1:9">
      <c r="A1778" s="22" t="str">
        <f>HYPERLINK("https://app.vivvix.com/360/KMI/IntelliDrive/ApplUI/Pages/CreativePages/CustomReportCreativeDetail.aspx?App=23&amp;ReportView=4&amp;Qid=1711245&amp;Row=1770&amp;Col=1","No Title Assigned - #15280718019")</f>
        <v/>
      </c>
      <c r="B1778" s="0" t="s">
        <v>2537</v>
      </c>
      <c r="C1778" s="0" t="s">
        <v>2538</v>
      </c>
      <c r="D1778" s="0" t="s">
        <v>2538</v>
      </c>
      <c r="E1778" s="0" t="s">
        <v>13</v>
      </c>
      <c r="F1778" s="0" t="s">
        <v>17</v>
      </c>
      <c r="G1778" s="0" t="s">
        <v>446</v>
      </c>
      <c r="H1778" s="5">
        <v>3256.855500</v>
      </c>
    </row>
    <row r="1779" spans="1:9">
      <c r="A1779" s="22" t="str">
        <f>HYPERLINK("https://app.vivvix.com/360/KMI/IntelliDrive/ApplUI/Pages/CreativePages/CustomReportCreativeDetail.aspx?App=23&amp;ReportView=4&amp;Qid=1711245&amp;Row=1771&amp;Col=1","No Title Assigned - #15280720133")</f>
        <v/>
      </c>
      <c r="B1779" s="0" t="s">
        <v>2539</v>
      </c>
      <c r="C1779" s="0" t="s">
        <v>2540</v>
      </c>
      <c r="D1779" s="0" t="s">
        <v>2158</v>
      </c>
      <c r="E1779" s="0" t="s">
        <v>13</v>
      </c>
      <c r="F1779" s="0" t="s">
        <v>17</v>
      </c>
      <c r="G1779" s="0" t="s">
        <v>446</v>
      </c>
      <c r="H1779" s="5">
        <v>155.105800</v>
      </c>
    </row>
    <row r="1780" spans="1:9">
      <c r="A1780" s="22" t="str">
        <f>HYPERLINK("https://app.vivvix.com/360/KMI/IntelliDrive/ApplUI/Pages/CreativePages/CustomReportCreativeDetail.aspx?App=23&amp;ReportView=4&amp;Qid=1711245&amp;Row=1772&amp;Col=1","No Title Assigned - #15280720463")</f>
        <v/>
      </c>
      <c r="B1780" s="0" t="s">
        <v>2541</v>
      </c>
      <c r="C1780" s="0" t="s">
        <v>2542</v>
      </c>
      <c r="D1780" s="0" t="s">
        <v>1693</v>
      </c>
      <c r="E1780" s="0" t="s">
        <v>13</v>
      </c>
      <c r="F1780" s="0" t="s">
        <v>17</v>
      </c>
      <c r="G1780" s="0" t="s">
        <v>446</v>
      </c>
      <c r="H1780" s="5">
        <v>155.105800</v>
      </c>
    </row>
    <row r="1781" spans="1:9">
      <c r="A1781" s="22" t="str">
        <f>HYPERLINK("https://app.vivvix.com/360/KMI/IntelliDrive/ApplUI/Pages/CreativePages/CustomReportCreativeDetail.aspx?App=23&amp;ReportView=4&amp;Qid=1711245&amp;Row=1773&amp;Col=1","No Title Assigned - #15280721319")</f>
        <v/>
      </c>
      <c r="B1781" s="0" t="s">
        <v>2543</v>
      </c>
      <c r="C1781" s="0" t="s">
        <v>2544</v>
      </c>
      <c r="D1781" s="0" t="s">
        <v>2544</v>
      </c>
      <c r="E1781" s="0" t="s">
        <v>13</v>
      </c>
      <c r="F1781" s="0" t="s">
        <v>14</v>
      </c>
      <c r="G1781" s="0" t="s">
        <v>15</v>
      </c>
      <c r="H1781" s="5">
        <v>341166.848100</v>
      </c>
    </row>
    <row r="1782" spans="1:9">
      <c r="A1782" s="22" t="str">
        <f>HYPERLINK("https://app.vivvix.com/360/KMI/IntelliDrive/ApplUI/Pages/CreativePages/CustomReportCreativeDetail.aspx?App=23&amp;ReportView=4&amp;Qid=1711245&amp;Row=1774&amp;Col=1","No Title Assigned - #15280721320")</f>
        <v/>
      </c>
      <c r="B1782" s="0" t="s">
        <v>2545</v>
      </c>
      <c r="C1782" s="0" t="s">
        <v>2546</v>
      </c>
      <c r="D1782" s="0" t="s">
        <v>2546</v>
      </c>
      <c r="E1782" s="0" t="s">
        <v>13</v>
      </c>
      <c r="F1782" s="0" t="s">
        <v>14</v>
      </c>
      <c r="G1782" s="0" t="s">
        <v>22</v>
      </c>
      <c r="H1782" s="5">
        <v>521020.890700</v>
      </c>
    </row>
    <row r="1783" spans="1:9">
      <c r="A1783" s="22" t="str">
        <f>HYPERLINK("https://app.vivvix.com/360/KMI/IntelliDrive/ApplUI/Pages/CreativePages/CustomReportCreativeDetail.aspx?App=23&amp;ReportView=4&amp;Qid=1711245&amp;Row=1775&amp;Col=1","No Title Assigned - #15280721320")</f>
        <v/>
      </c>
      <c r="B1783" s="0" t="s">
        <v>2545</v>
      </c>
      <c r="C1783" s="0" t="s">
        <v>2547</v>
      </c>
      <c r="D1783" s="0" t="s">
        <v>2547</v>
      </c>
      <c r="E1783" s="0" t="s">
        <v>13</v>
      </c>
      <c r="F1783" s="0" t="s">
        <v>14</v>
      </c>
      <c r="G1783" s="0" t="s">
        <v>22</v>
      </c>
      <c r="H1783" s="5">
        <v>9342.603500</v>
      </c>
    </row>
    <row r="1784" spans="1:9">
      <c r="A1784" s="22" t="str">
        <f>HYPERLINK("https://app.vivvix.com/360/KMI/IntelliDrive/ApplUI/Pages/CreativePages/CustomReportCreativeDetail.aspx?App=23&amp;ReportView=4&amp;Qid=1711245&amp;Row=1776&amp;Col=1","No Title Assigned - #15280732131")</f>
        <v/>
      </c>
      <c r="B1784" s="0" t="s">
        <v>2548</v>
      </c>
      <c r="C1784" s="0" t="s">
        <v>2549</v>
      </c>
      <c r="D1784" s="0" t="s">
        <v>2130</v>
      </c>
      <c r="E1784" s="0" t="s">
        <v>13</v>
      </c>
      <c r="F1784" s="0" t="s">
        <v>28</v>
      </c>
      <c r="G1784" s="0" t="s">
        <v>453</v>
      </c>
      <c r="H1784" s="5">
        <v>153.614400</v>
      </c>
    </row>
    <row r="1785" spans="1:9">
      <c r="A1785" s="22" t="str">
        <f>HYPERLINK("https://app.vivvix.com/360/KMI/IntelliDrive/ApplUI/Pages/CreativePages/CustomReportCreativeDetail.aspx?App=23&amp;ReportView=4&amp;Qid=1711245&amp;Row=1777&amp;Col=1","No Title Assigned - #15280732809")</f>
        <v/>
      </c>
      <c r="B1785" s="0" t="s">
        <v>2550</v>
      </c>
      <c r="E1785" s="0" t="s">
        <v>13</v>
      </c>
      <c r="F1785" s="0" t="s">
        <v>17</v>
      </c>
      <c r="G1785" s="0" t="s">
        <v>446</v>
      </c>
      <c r="H1785" s="5">
        <v>204.800000</v>
      </c>
    </row>
    <row r="1786" spans="1:9">
      <c r="A1786" s="22" t="str">
        <f>HYPERLINK("https://app.vivvix.com/360/KMI/IntelliDrive/ApplUI/Pages/CreativePages/CustomReportCreativeDetail.aspx?App=23&amp;ReportView=4&amp;Qid=1711245&amp;Row=1778&amp;Col=1","No Title Assigned - #15280735156")</f>
        <v/>
      </c>
      <c r="B1786" s="0" t="s">
        <v>2551</v>
      </c>
      <c r="C1786" s="0" t="s">
        <v>2552</v>
      </c>
      <c r="D1786" s="0" t="s">
        <v>2257</v>
      </c>
      <c r="E1786" s="0" t="s">
        <v>13</v>
      </c>
      <c r="F1786" s="0" t="s">
        <v>106</v>
      </c>
      <c r="G1786" s="0" t="s">
        <v>107</v>
      </c>
      <c r="H1786" s="5">
        <v>23994.444900</v>
      </c>
    </row>
    <row r="1787" spans="1:9">
      <c r="A1787" s="22" t="str">
        <f>HYPERLINK("https://app.vivvix.com/360/KMI/IntelliDrive/ApplUI/Pages/CreativePages/CustomReportCreativeDetail.aspx?App=23&amp;ReportView=4&amp;Qid=1711245&amp;Row=1779&amp;Col=1","No Title Assigned - #15280739466")</f>
        <v/>
      </c>
      <c r="B1787" s="0" t="s">
        <v>2553</v>
      </c>
      <c r="C1787" s="0" t="s">
        <v>2554</v>
      </c>
      <c r="D1787" s="0" t="s">
        <v>2554</v>
      </c>
      <c r="E1787" s="0" t="s">
        <v>13</v>
      </c>
      <c r="F1787" s="0" t="s">
        <v>14</v>
      </c>
      <c r="G1787" s="0" t="s">
        <v>15</v>
      </c>
      <c r="H1787" s="5">
        <v>22379.275800</v>
      </c>
    </row>
    <row r="1788" spans="1:9">
      <c r="A1788" s="22" t="str">
        <f>HYPERLINK("https://app.vivvix.com/360/KMI/IntelliDrive/ApplUI/Pages/CreativePages/CustomReportCreativeDetail.aspx?App=23&amp;ReportView=4&amp;Qid=1711245&amp;Row=1780&amp;Col=1","No Title Assigned - #15280760014")</f>
        <v/>
      </c>
      <c r="B1788" s="0" t="s">
        <v>2555</v>
      </c>
      <c r="E1788" s="0" t="s">
        <v>13</v>
      </c>
      <c r="F1788" s="0" t="s">
        <v>13</v>
      </c>
      <c r="G1788" s="0" t="s">
        <v>54</v>
      </c>
      <c r="H1788" s="5">
        <v>149.140200</v>
      </c>
    </row>
    <row r="1789" spans="1:9">
      <c r="A1789" s="22" t="str">
        <f>HYPERLINK("https://app.vivvix.com/360/KMI/IntelliDrive/ApplUI/Pages/CreativePages/CustomReportCreativeDetail.aspx?App=23&amp;ReportView=4&amp;Qid=1711245&amp;Row=1781&amp;Col=1","No Title Assigned - #15280771118")</f>
        <v/>
      </c>
      <c r="B1789" s="0" t="s">
        <v>2556</v>
      </c>
      <c r="E1789" s="0" t="s">
        <v>13</v>
      </c>
      <c r="F1789" s="0" t="s">
        <v>13</v>
      </c>
      <c r="G1789" s="0" t="s">
        <v>54</v>
      </c>
      <c r="H1789" s="5">
        <v>50.919200</v>
      </c>
    </row>
    <row r="1790" spans="1:9">
      <c r="A1790" s="22" t="str">
        <f>HYPERLINK("https://app.vivvix.com/360/KMI/IntelliDrive/ApplUI/Pages/CreativePages/CustomReportCreativeDetail.aspx?App=23&amp;ReportView=4&amp;Qid=1711245&amp;Row=1782&amp;Col=1","No Title Assigned - #15280787241")</f>
        <v/>
      </c>
      <c r="B1790" s="0" t="s">
        <v>2557</v>
      </c>
      <c r="C1790" s="0" t="s">
        <v>2558</v>
      </c>
      <c r="D1790" s="0" t="s">
        <v>2558</v>
      </c>
      <c r="E1790" s="0" t="s">
        <v>13</v>
      </c>
      <c r="F1790" s="0" t="s">
        <v>14</v>
      </c>
      <c r="G1790" s="0" t="s">
        <v>15</v>
      </c>
      <c r="H1790" s="5">
        <v>128.558500</v>
      </c>
    </row>
    <row r="1791" spans="1:9">
      <c r="A1791" s="22" t="str">
        <f>HYPERLINK("https://app.vivvix.com/360/KMI/IntelliDrive/ApplUI/Pages/CreativePages/CustomReportCreativeDetail.aspx?App=23&amp;ReportView=4&amp;Qid=1711245&amp;Row=1783&amp;Col=1","No Title Assigned - #15280822112")</f>
        <v/>
      </c>
      <c r="B1791" s="0" t="s">
        <v>2559</v>
      </c>
      <c r="E1791" s="0" t="s">
        <v>13</v>
      </c>
      <c r="F1791" s="0" t="s">
        <v>13</v>
      </c>
      <c r="G1791" s="0" t="s">
        <v>54</v>
      </c>
      <c r="H1791" s="5">
        <v>862.595000</v>
      </c>
    </row>
    <row r="1792" spans="1:9">
      <c r="A1792" s="22" t="str">
        <f>HYPERLINK("https://app.vivvix.com/360/KMI/IntelliDrive/ApplUI/Pages/CreativePages/CustomReportCreativeDetail.aspx?App=23&amp;ReportView=4&amp;Qid=1711245&amp;Row=1784&amp;Col=1","No Title Assigned - #15280823422")</f>
        <v/>
      </c>
      <c r="B1792" s="0" t="s">
        <v>2560</v>
      </c>
      <c r="E1792" s="0" t="s">
        <v>13</v>
      </c>
      <c r="F1792" s="0" t="s">
        <v>13</v>
      </c>
      <c r="G1792" s="0" t="s">
        <v>54</v>
      </c>
      <c r="H1792" s="5">
        <v>26352.925700</v>
      </c>
    </row>
    <row r="1793" spans="1:9">
      <c r="A1793" s="22" t="str">
        <f>HYPERLINK("https://app.vivvix.com/360/KMI/IntelliDrive/ApplUI/Pages/CreativePages/CustomReportCreativeDetail.aspx?App=23&amp;ReportView=4&amp;Qid=1711245&amp;Row=1785&amp;Col=1","No Title Assigned - #15280823430")</f>
        <v/>
      </c>
      <c r="B1793" s="0" t="s">
        <v>2561</v>
      </c>
      <c r="E1793" s="0" t="s">
        <v>13</v>
      </c>
      <c r="F1793" s="0" t="s">
        <v>13</v>
      </c>
      <c r="G1793" s="0" t="s">
        <v>54</v>
      </c>
      <c r="H1793" s="5">
        <v>2668.340800</v>
      </c>
    </row>
    <row r="1794" spans="1:9">
      <c r="A1794" s="22" t="str">
        <f>HYPERLINK("https://app.vivvix.com/360/KMI/IntelliDrive/ApplUI/Pages/CreativePages/CustomReportCreativeDetail.aspx?App=23&amp;ReportView=4&amp;Qid=1711245&amp;Row=1786&amp;Col=1","No Title Assigned - #15280823476")</f>
        <v/>
      </c>
      <c r="B1794" s="0" t="s">
        <v>2562</v>
      </c>
      <c r="E1794" s="0" t="s">
        <v>13</v>
      </c>
      <c r="F1794" s="0" t="s">
        <v>13</v>
      </c>
      <c r="G1794" s="0" t="s">
        <v>54</v>
      </c>
      <c r="H1794" s="5">
        <v>57958.317300</v>
      </c>
    </row>
    <row r="1795" spans="1:9">
      <c r="A1795" s="22" t="str">
        <f>HYPERLINK("https://app.vivvix.com/360/KMI/IntelliDrive/ApplUI/Pages/CreativePages/CustomReportCreativeDetail.aspx?App=23&amp;ReportView=4&amp;Qid=1711245&amp;Row=1787&amp;Col=1","No Title Assigned - #15280823739")</f>
        <v/>
      </c>
      <c r="B1795" s="0" t="s">
        <v>2563</v>
      </c>
      <c r="E1795" s="0" t="s">
        <v>13</v>
      </c>
      <c r="F1795" s="0" t="s">
        <v>13</v>
      </c>
      <c r="G1795" s="0" t="s">
        <v>54</v>
      </c>
      <c r="H1795" s="5">
        <v>25.459600</v>
      </c>
    </row>
    <row r="1796" spans="1:9">
      <c r="A1796" s="22" t="str">
        <f>HYPERLINK("https://app.vivvix.com/360/KMI/IntelliDrive/ApplUI/Pages/CreativePages/CustomReportCreativeDetail.aspx?App=23&amp;ReportView=4&amp;Qid=1711245&amp;Row=1788&amp;Col=1","No Title Assigned - #15280823870")</f>
        <v/>
      </c>
      <c r="B1796" s="0" t="s">
        <v>2564</v>
      </c>
      <c r="E1796" s="0" t="s">
        <v>13</v>
      </c>
      <c r="F1796" s="0" t="s">
        <v>13</v>
      </c>
      <c r="G1796" s="0" t="s">
        <v>54</v>
      </c>
      <c r="H1796" s="5">
        <v>16379.949800</v>
      </c>
    </row>
    <row r="1797" spans="1:9">
      <c r="A1797" s="22" t="str">
        <f>HYPERLINK("https://app.vivvix.com/360/KMI/IntelliDrive/ApplUI/Pages/CreativePages/CustomReportCreativeDetail.aspx?App=23&amp;ReportView=4&amp;Qid=1711245&amp;Row=1789&amp;Col=1","No Title Assigned - #15280825336")</f>
        <v/>
      </c>
      <c r="B1797" s="0" t="s">
        <v>2565</v>
      </c>
      <c r="E1797" s="0" t="s">
        <v>13</v>
      </c>
      <c r="F1797" s="0" t="s">
        <v>13</v>
      </c>
      <c r="G1797" s="0" t="s">
        <v>54</v>
      </c>
      <c r="H1797" s="5">
        <v>101479.775000</v>
      </c>
    </row>
    <row r="1798" spans="1:9">
      <c r="A1798" s="22" t="str">
        <f>HYPERLINK("https://app.vivvix.com/360/KMI/IntelliDrive/ApplUI/Pages/CreativePages/CustomReportCreativeDetail.aspx?App=23&amp;ReportView=4&amp;Qid=1711245&amp;Row=1790&amp;Col=1","No Title Assigned - #15280825841")</f>
        <v/>
      </c>
      <c r="B1798" s="0" t="s">
        <v>2566</v>
      </c>
      <c r="E1798" s="0" t="s">
        <v>13</v>
      </c>
      <c r="F1798" s="0" t="s">
        <v>13</v>
      </c>
      <c r="G1798" s="0" t="s">
        <v>54</v>
      </c>
      <c r="H1798" s="5">
        <v>2771.286900</v>
      </c>
    </row>
    <row r="1799" spans="1:9">
      <c r="A1799" s="22" t="str">
        <f>HYPERLINK("https://app.vivvix.com/360/KMI/IntelliDrive/ApplUI/Pages/CreativePages/CustomReportCreativeDetail.aspx?App=23&amp;ReportView=4&amp;Qid=1711245&amp;Row=1791&amp;Col=1","No Title Assigned - #15280825867")</f>
        <v/>
      </c>
      <c r="B1799" s="0" t="s">
        <v>2567</v>
      </c>
      <c r="E1799" s="0" t="s">
        <v>13</v>
      </c>
      <c r="F1799" s="0" t="s">
        <v>13</v>
      </c>
      <c r="G1799" s="0" t="s">
        <v>54</v>
      </c>
      <c r="H1799" s="5">
        <v>25.459600</v>
      </c>
    </row>
    <row r="1800" spans="1:9">
      <c r="A1800" s="22" t="str">
        <f>HYPERLINK("https://app.vivvix.com/360/KMI/IntelliDrive/ApplUI/Pages/CreativePages/CustomReportCreativeDetail.aspx?App=23&amp;ReportView=4&amp;Qid=1711245&amp;Row=1792&amp;Col=1","No Title Assigned - #15280831385")</f>
        <v/>
      </c>
      <c r="B1800" s="0" t="s">
        <v>2568</v>
      </c>
      <c r="C1800" s="0" t="s">
        <v>2569</v>
      </c>
      <c r="D1800" s="0" t="s">
        <v>2569</v>
      </c>
      <c r="E1800" s="0" t="s">
        <v>13</v>
      </c>
      <c r="F1800" s="0" t="s">
        <v>13</v>
      </c>
      <c r="G1800" s="0" t="s">
        <v>78</v>
      </c>
      <c r="H1800" s="5">
        <v>9846.494900</v>
      </c>
    </row>
    <row r="1801" spans="1:9">
      <c r="A1801" s="22" t="str">
        <f>HYPERLINK("https://app.vivvix.com/360/KMI/IntelliDrive/ApplUI/Pages/CreativePages/CustomReportCreativeDetail.aspx?App=23&amp;ReportView=4&amp;Qid=1711245&amp;Row=1793&amp;Col=1","No Title Assigned - #15280831867")</f>
        <v/>
      </c>
      <c r="B1801" s="0" t="s">
        <v>2570</v>
      </c>
      <c r="E1801" s="0" t="s">
        <v>13</v>
      </c>
      <c r="F1801" s="0" t="s">
        <v>13</v>
      </c>
      <c r="G1801" s="0" t="s">
        <v>54</v>
      </c>
      <c r="H1801" s="5">
        <v>1704.453600</v>
      </c>
    </row>
    <row r="1802" spans="1:9">
      <c r="A1802" s="22" t="str">
        <f>HYPERLINK("https://app.vivvix.com/360/KMI/IntelliDrive/ApplUI/Pages/CreativePages/CustomReportCreativeDetail.aspx?App=23&amp;ReportView=4&amp;Qid=1711245&amp;Row=1794&amp;Col=1","No Title Assigned - #15280831977")</f>
        <v/>
      </c>
      <c r="B1802" s="0" t="s">
        <v>2571</v>
      </c>
      <c r="E1802" s="0" t="s">
        <v>13</v>
      </c>
      <c r="F1802" s="0" t="s">
        <v>13</v>
      </c>
      <c r="G1802" s="0" t="s">
        <v>54</v>
      </c>
      <c r="H1802" s="5">
        <v>8114.042800</v>
      </c>
    </row>
    <row r="1803" spans="1:9">
      <c r="A1803" s="22" t="str">
        <f>HYPERLINK("https://app.vivvix.com/360/KMI/IntelliDrive/ApplUI/Pages/CreativePages/CustomReportCreativeDetail.aspx?App=23&amp;ReportView=4&amp;Qid=1711245&amp;Row=1795&amp;Col=1","No Title Assigned - #15280838044")</f>
        <v/>
      </c>
      <c r="B1803" s="0" t="s">
        <v>2572</v>
      </c>
      <c r="E1803" s="0" t="s">
        <v>13</v>
      </c>
      <c r="F1803" s="0" t="s">
        <v>13</v>
      </c>
      <c r="G1803" s="0" t="s">
        <v>54</v>
      </c>
      <c r="H1803" s="5">
        <v>3461.381800</v>
      </c>
    </row>
    <row r="1804" spans="1:9">
      <c r="A1804" s="22" t="str">
        <f>HYPERLINK("https://app.vivvix.com/360/KMI/IntelliDrive/ApplUI/Pages/CreativePages/CustomReportCreativeDetail.aspx?App=23&amp;ReportView=4&amp;Qid=1711245&amp;Row=1796&amp;Col=1","No Title Assigned - #15280877018")</f>
        <v/>
      </c>
      <c r="B1804" s="0" t="s">
        <v>2573</v>
      </c>
      <c r="E1804" s="0" t="s">
        <v>13</v>
      </c>
      <c r="F1804" s="0" t="s">
        <v>13</v>
      </c>
      <c r="G1804" s="0" t="s">
        <v>54</v>
      </c>
      <c r="H1804" s="5">
        <v>1096.016200</v>
      </c>
    </row>
    <row r="1805" spans="1:9">
      <c r="A1805" s="22" t="str">
        <f>HYPERLINK("https://app.vivvix.com/360/KMI/IntelliDrive/ApplUI/Pages/CreativePages/CustomReportCreativeDetail.aspx?App=23&amp;ReportView=4&amp;Qid=1711245&amp;Row=1797&amp;Col=1","No Title Assigned - #15280885514")</f>
        <v/>
      </c>
      <c r="B1805" s="0" t="s">
        <v>2574</v>
      </c>
      <c r="C1805" s="0" t="s">
        <v>2575</v>
      </c>
      <c r="D1805" s="0" t="s">
        <v>1972</v>
      </c>
      <c r="E1805" s="0" t="s">
        <v>13</v>
      </c>
      <c r="F1805" s="0" t="s">
        <v>14</v>
      </c>
      <c r="G1805" s="0" t="s">
        <v>15</v>
      </c>
      <c r="H1805" s="5">
        <v>5346.423400</v>
      </c>
    </row>
    <row r="1806" spans="1:9">
      <c r="A1806" s="22" t="str">
        <f>HYPERLINK("https://app.vivvix.com/360/KMI/IntelliDrive/ApplUI/Pages/CreativePages/CustomReportCreativeDetail.aspx?App=23&amp;ReportView=4&amp;Qid=1711245&amp;Row=1798&amp;Col=1","No Title Assigned - #15280886807")</f>
        <v/>
      </c>
      <c r="B1806" s="0" t="s">
        <v>2576</v>
      </c>
      <c r="C1806" s="0" t="s">
        <v>2577</v>
      </c>
      <c r="D1806" s="0" t="s">
        <v>2158</v>
      </c>
      <c r="E1806" s="0" t="s">
        <v>13</v>
      </c>
      <c r="F1806" s="0" t="s">
        <v>17</v>
      </c>
      <c r="G1806" s="0" t="s">
        <v>446</v>
      </c>
      <c r="H1806" s="5">
        <v>15913.535700</v>
      </c>
    </row>
    <row r="1807" spans="1:9">
      <c r="A1807" s="22" t="str">
        <f>HYPERLINK("https://app.vivvix.com/360/KMI/IntelliDrive/ApplUI/Pages/CreativePages/CustomReportCreativeDetail.aspx?App=23&amp;ReportView=4&amp;Qid=1711245&amp;Row=1799&amp;Col=1","No Title Assigned - #15280890856")</f>
        <v/>
      </c>
      <c r="B1807" s="0" t="s">
        <v>2578</v>
      </c>
      <c r="E1807" s="0" t="s">
        <v>13</v>
      </c>
      <c r="F1807" s="0" t="s">
        <v>13</v>
      </c>
      <c r="G1807" s="0" t="s">
        <v>54</v>
      </c>
      <c r="H1807" s="5">
        <v>343.193100</v>
      </c>
    </row>
    <row r="1808" spans="1:9">
      <c r="A1808" s="22" t="str">
        <f>HYPERLINK("https://app.vivvix.com/360/KMI/IntelliDrive/ApplUI/Pages/CreativePages/CustomReportCreativeDetail.aspx?App=23&amp;ReportView=4&amp;Qid=1711245&amp;Row=1800&amp;Col=1","No Title Assigned - #15280891506")</f>
        <v/>
      </c>
      <c r="B1808" s="0" t="s">
        <v>2579</v>
      </c>
      <c r="E1808" s="0" t="s">
        <v>13</v>
      </c>
      <c r="F1808" s="0" t="s">
        <v>13</v>
      </c>
      <c r="G1808" s="0" t="s">
        <v>54</v>
      </c>
      <c r="H1808" s="5">
        <v>3406.345200</v>
      </c>
    </row>
    <row r="1809" spans="1:9">
      <c r="A1809" s="22" t="str">
        <f>HYPERLINK("https://app.vivvix.com/360/KMI/IntelliDrive/ApplUI/Pages/CreativePages/CustomReportCreativeDetail.aspx?App=23&amp;ReportView=4&amp;Qid=1711245&amp;Row=1801&amp;Col=1","No Title Assigned - #15280913184")</f>
        <v/>
      </c>
      <c r="B1809" s="0" t="s">
        <v>2580</v>
      </c>
      <c r="E1809" s="0" t="s">
        <v>13</v>
      </c>
      <c r="F1809" s="0" t="s">
        <v>13</v>
      </c>
      <c r="G1809" s="0" t="s">
        <v>54</v>
      </c>
      <c r="H1809" s="5">
        <v>598.516000</v>
      </c>
    </row>
    <row r="1810" spans="1:9">
      <c r="A1810" s="22" t="str">
        <f>HYPERLINK("https://app.vivvix.com/360/KMI/IntelliDrive/ApplUI/Pages/CreativePages/CustomReportCreativeDetail.aspx?App=23&amp;ReportView=4&amp;Qid=1711245&amp;Row=1802&amp;Col=1","No Title Assigned - #15280913314")</f>
        <v/>
      </c>
      <c r="B1810" s="0" t="s">
        <v>2581</v>
      </c>
      <c r="E1810" s="0" t="s">
        <v>13</v>
      </c>
      <c r="F1810" s="0" t="s">
        <v>13</v>
      </c>
      <c r="G1810" s="0" t="s">
        <v>54</v>
      </c>
      <c r="H1810" s="5">
        <v>174.599800</v>
      </c>
    </row>
    <row r="1811" spans="1:9">
      <c r="A1811" s="22" t="str">
        <f>HYPERLINK("https://app.vivvix.com/360/KMI/IntelliDrive/ApplUI/Pages/CreativePages/CustomReportCreativeDetail.aspx?App=23&amp;ReportView=4&amp;Qid=1711245&amp;Row=1803&amp;Col=1","No Title Assigned - #15280914727")</f>
        <v/>
      </c>
      <c r="B1811" s="0" t="s">
        <v>2582</v>
      </c>
      <c r="E1811" s="0" t="s">
        <v>13</v>
      </c>
      <c r="F1811" s="0" t="s">
        <v>13</v>
      </c>
      <c r="G1811" s="0" t="s">
        <v>54</v>
      </c>
      <c r="H1811" s="5">
        <v>5569.338500</v>
      </c>
    </row>
    <row r="1812" spans="1:9">
      <c r="A1812" s="22" t="str">
        <f>HYPERLINK("https://app.vivvix.com/360/KMI/IntelliDrive/ApplUI/Pages/CreativePages/CustomReportCreativeDetail.aspx?App=23&amp;ReportView=4&amp;Qid=1711245&amp;Row=1804&amp;Col=1","No Title Assigned - #15280915374")</f>
        <v/>
      </c>
      <c r="B1812" s="0" t="s">
        <v>2583</v>
      </c>
      <c r="C1812" s="0" t="s">
        <v>2584</v>
      </c>
      <c r="D1812" s="0" t="s">
        <v>2158</v>
      </c>
      <c r="E1812" s="0" t="s">
        <v>13</v>
      </c>
      <c r="F1812" s="0" t="s">
        <v>17</v>
      </c>
      <c r="G1812" s="0" t="s">
        <v>446</v>
      </c>
      <c r="H1812" s="5">
        <v>12533.043400</v>
      </c>
    </row>
    <row r="1813" spans="1:9">
      <c r="A1813" s="22" t="str">
        <f>HYPERLINK("https://app.vivvix.com/360/KMI/IntelliDrive/ApplUI/Pages/CreativePages/CustomReportCreativeDetail.aspx?App=23&amp;ReportView=4&amp;Qid=1711245&amp;Row=1805&amp;Col=1","No Title Assigned - #15280915681")</f>
        <v/>
      </c>
      <c r="B1813" s="0" t="s">
        <v>2585</v>
      </c>
      <c r="E1813" s="0" t="s">
        <v>13</v>
      </c>
      <c r="F1813" s="0" t="s">
        <v>13</v>
      </c>
      <c r="G1813" s="0" t="s">
        <v>54</v>
      </c>
      <c r="H1813" s="5">
        <v>10769.427300</v>
      </c>
    </row>
    <row r="1814" spans="1:9">
      <c r="A1814" s="22" t="str">
        <f>HYPERLINK("https://app.vivvix.com/360/KMI/IntelliDrive/ApplUI/Pages/CreativePages/CustomReportCreativeDetail.aspx?App=23&amp;ReportView=4&amp;Qid=1711245&amp;Row=1806&amp;Col=1","No Title Assigned - #15280916719")</f>
        <v/>
      </c>
      <c r="B1814" s="0" t="s">
        <v>2586</v>
      </c>
      <c r="C1814" s="0" t="s">
        <v>2587</v>
      </c>
      <c r="D1814" s="0" t="s">
        <v>1972</v>
      </c>
      <c r="E1814" s="0" t="s">
        <v>13</v>
      </c>
      <c r="F1814" s="0" t="s">
        <v>14</v>
      </c>
      <c r="G1814" s="0" t="s">
        <v>15</v>
      </c>
      <c r="H1814" s="5">
        <v>10476.281700</v>
      </c>
    </row>
    <row r="1815" spans="1:9">
      <c r="A1815" s="22" t="str">
        <f>HYPERLINK("https://app.vivvix.com/360/KMI/IntelliDrive/ApplUI/Pages/CreativePages/CustomReportCreativeDetail.aspx?App=23&amp;ReportView=4&amp;Qid=1711245&amp;Row=1807&amp;Col=1","No Title Assigned - #15280918150")</f>
        <v/>
      </c>
      <c r="B1815" s="0" t="s">
        <v>2588</v>
      </c>
      <c r="C1815" s="0" t="s">
        <v>2589</v>
      </c>
      <c r="D1815" s="0" t="s">
        <v>2589</v>
      </c>
      <c r="E1815" s="0" t="s">
        <v>13</v>
      </c>
      <c r="F1815" s="0" t="s">
        <v>14</v>
      </c>
      <c r="G1815" s="0" t="s">
        <v>15</v>
      </c>
      <c r="H1815" s="5">
        <v>763.986400</v>
      </c>
    </row>
    <row r="1816" spans="1:9">
      <c r="A1816" s="22" t="str">
        <f>HYPERLINK("https://app.vivvix.com/360/KMI/IntelliDrive/ApplUI/Pages/CreativePages/CustomReportCreativeDetail.aspx?App=23&amp;ReportView=4&amp;Qid=1711245&amp;Row=1808&amp;Col=1","No Title Assigned - #15280922197")</f>
        <v/>
      </c>
      <c r="B1816" s="0" t="s">
        <v>2590</v>
      </c>
      <c r="E1816" s="0" t="s">
        <v>13</v>
      </c>
      <c r="F1816" s="0" t="s">
        <v>13</v>
      </c>
      <c r="G1816" s="0" t="s">
        <v>54</v>
      </c>
      <c r="H1816" s="5">
        <v>149.140200</v>
      </c>
    </row>
    <row r="1817" spans="1:9">
      <c r="A1817" s="22" t="str">
        <f>HYPERLINK("https://app.vivvix.com/360/KMI/IntelliDrive/ApplUI/Pages/CreativePages/CustomReportCreativeDetail.aspx?App=23&amp;ReportView=4&amp;Qid=1711245&amp;Row=1809&amp;Col=1","No Title Assigned - #15280922902")</f>
        <v/>
      </c>
      <c r="B1817" s="0" t="s">
        <v>2591</v>
      </c>
      <c r="C1817" s="0" t="s">
        <v>2592</v>
      </c>
      <c r="D1817" s="0" t="s">
        <v>1972</v>
      </c>
      <c r="E1817" s="0" t="s">
        <v>13</v>
      </c>
      <c r="F1817" s="0" t="s">
        <v>14</v>
      </c>
      <c r="G1817" s="0" t="s">
        <v>15</v>
      </c>
      <c r="H1817" s="5">
        <v>12667.449300</v>
      </c>
    </row>
    <row r="1818" spans="1:9">
      <c r="A1818" s="22" t="str">
        <f>HYPERLINK("https://app.vivvix.com/360/KMI/IntelliDrive/ApplUI/Pages/CreativePages/CustomReportCreativeDetail.aspx?App=23&amp;ReportView=4&amp;Qid=1711245&amp;Row=1810&amp;Col=1","No Title Assigned - #15280958926")</f>
        <v/>
      </c>
      <c r="B1818" s="0" t="s">
        <v>2593</v>
      </c>
      <c r="C1818" s="0" t="s">
        <v>2594</v>
      </c>
      <c r="D1818" s="0" t="s">
        <v>2594</v>
      </c>
      <c r="E1818" s="0" t="s">
        <v>13</v>
      </c>
      <c r="F1818" s="0" t="s">
        <v>128</v>
      </c>
      <c r="G1818" s="0" t="s">
        <v>456</v>
      </c>
      <c r="H1818" s="5">
        <v>14551.759800</v>
      </c>
    </row>
    <row r="1819" spans="1:9">
      <c r="A1819" s="22" t="str">
        <f>HYPERLINK("https://app.vivvix.com/360/KMI/IntelliDrive/ApplUI/Pages/CreativePages/CustomReportCreativeDetail.aspx?App=23&amp;ReportView=4&amp;Qid=1711245&amp;Row=1811&amp;Col=1","No Title Assigned - #15280959691")</f>
        <v/>
      </c>
      <c r="B1819" s="0" t="s">
        <v>2595</v>
      </c>
      <c r="C1819" s="0" t="s">
        <v>2596</v>
      </c>
      <c r="D1819" s="0" t="s">
        <v>1963</v>
      </c>
      <c r="E1819" s="0" t="s">
        <v>13</v>
      </c>
      <c r="F1819" s="0" t="s">
        <v>530</v>
      </c>
      <c r="G1819" s="0" t="s">
        <v>531</v>
      </c>
      <c r="H1819" s="5">
        <v>727.566600</v>
      </c>
    </row>
    <row r="1820" spans="1:9">
      <c r="A1820" s="22" t="str">
        <f>HYPERLINK("https://app.vivvix.com/360/KMI/IntelliDrive/ApplUI/Pages/CreativePages/CustomReportCreativeDetail.aspx?App=23&amp;ReportView=4&amp;Qid=1711245&amp;Row=1812&amp;Col=1","No Title Assigned - #15280961737")</f>
        <v/>
      </c>
      <c r="B1820" s="0" t="s">
        <v>2597</v>
      </c>
      <c r="C1820" s="0" t="s">
        <v>2598</v>
      </c>
      <c r="D1820" s="0" t="s">
        <v>1963</v>
      </c>
      <c r="E1820" s="0" t="s">
        <v>13</v>
      </c>
      <c r="F1820" s="0" t="s">
        <v>530</v>
      </c>
      <c r="G1820" s="0" t="s">
        <v>531</v>
      </c>
      <c r="H1820" s="5">
        <v>3288.475600</v>
      </c>
    </row>
    <row r="1821" spans="1:9">
      <c r="A1821" s="22" t="str">
        <f>HYPERLINK("https://app.vivvix.com/360/KMI/IntelliDrive/ApplUI/Pages/CreativePages/CustomReportCreativeDetail.aspx?App=23&amp;ReportView=4&amp;Qid=1711245&amp;Row=1813&amp;Col=1","No Title Assigned - #15280985216")</f>
        <v/>
      </c>
      <c r="B1821" s="0" t="s">
        <v>2599</v>
      </c>
      <c r="E1821" s="0" t="s">
        <v>13</v>
      </c>
      <c r="F1821" s="0" t="s">
        <v>13</v>
      </c>
      <c r="G1821" s="0" t="s">
        <v>54</v>
      </c>
      <c r="H1821" s="5">
        <v>104.618200</v>
      </c>
    </row>
    <row r="1822" spans="1:9">
      <c r="A1822" s="22" t="str">
        <f>HYPERLINK("https://app.vivvix.com/360/KMI/IntelliDrive/ApplUI/Pages/CreativePages/CustomReportCreativeDetail.aspx?App=23&amp;ReportView=4&amp;Qid=1711245&amp;Row=1814&amp;Col=1","No Title Assigned - #15281005000")</f>
        <v/>
      </c>
      <c r="B1822" s="0" t="s">
        <v>2600</v>
      </c>
      <c r="C1822" s="0" t="s">
        <v>2601</v>
      </c>
      <c r="D1822" s="0" t="s">
        <v>2601</v>
      </c>
      <c r="E1822" s="0" t="s">
        <v>13</v>
      </c>
      <c r="F1822" s="0" t="s">
        <v>14</v>
      </c>
      <c r="G1822" s="0" t="s">
        <v>15</v>
      </c>
      <c r="H1822" s="5">
        <v>143.446800</v>
      </c>
    </row>
    <row r="1823" spans="1:9">
      <c r="A1823" s="22" t="str">
        <f>HYPERLINK("https://app.vivvix.com/360/KMI/IntelliDrive/ApplUI/Pages/CreativePages/CustomReportCreativeDetail.aspx?App=23&amp;ReportView=4&amp;Qid=1711245&amp;Row=1815&amp;Col=1","No Title Assigned - #15281005042")</f>
        <v/>
      </c>
      <c r="B1823" s="0" t="s">
        <v>2602</v>
      </c>
      <c r="C1823" s="0" t="s">
        <v>2603</v>
      </c>
      <c r="D1823" s="0" t="s">
        <v>2507</v>
      </c>
      <c r="E1823" s="0" t="s">
        <v>13</v>
      </c>
      <c r="F1823" s="0" t="s">
        <v>106</v>
      </c>
      <c r="G1823" s="0" t="s">
        <v>107</v>
      </c>
      <c r="H1823" s="5">
        <v>614.784300</v>
      </c>
    </row>
    <row r="1824" spans="1:9">
      <c r="A1824" s="22" t="str">
        <f>HYPERLINK("https://app.vivvix.com/360/KMI/IntelliDrive/ApplUI/Pages/CreativePages/CustomReportCreativeDetail.aspx?App=23&amp;ReportView=4&amp;Qid=1711245&amp;Row=1816&amp;Col=1","No Title Assigned - #15281022892")</f>
        <v/>
      </c>
      <c r="B1824" s="0" t="s">
        <v>2604</v>
      </c>
      <c r="E1824" s="0" t="s">
        <v>13</v>
      </c>
      <c r="F1824" s="0" t="s">
        <v>13</v>
      </c>
      <c r="G1824" s="0" t="s">
        <v>54</v>
      </c>
      <c r="H1824" s="5">
        <v>4271.072800</v>
      </c>
    </row>
    <row r="1825" spans="1:9">
      <c r="A1825" s="22" t="str">
        <f>HYPERLINK("https://app.vivvix.com/360/KMI/IntelliDrive/ApplUI/Pages/CreativePages/CustomReportCreativeDetail.aspx?App=23&amp;ReportView=4&amp;Qid=1711245&amp;Row=1817&amp;Col=1","No Title Assigned - #15281029862")</f>
        <v/>
      </c>
      <c r="B1825" s="0" t="s">
        <v>2605</v>
      </c>
      <c r="E1825" s="0" t="s">
        <v>13</v>
      </c>
      <c r="F1825" s="0" t="s">
        <v>13</v>
      </c>
      <c r="G1825" s="0" t="s">
        <v>54</v>
      </c>
      <c r="H1825" s="5">
        <v>2546.626700</v>
      </c>
    </row>
    <row r="1826" spans="1:9">
      <c r="A1826" s="22" t="str">
        <f>HYPERLINK("https://app.vivvix.com/360/KMI/IntelliDrive/ApplUI/Pages/CreativePages/CustomReportCreativeDetail.aspx?App=23&amp;ReportView=4&amp;Qid=1711245&amp;Row=1818&amp;Col=1","No Title Assigned - #15281030591")</f>
        <v/>
      </c>
      <c r="B1826" s="0" t="s">
        <v>2606</v>
      </c>
      <c r="E1826" s="0" t="s">
        <v>13</v>
      </c>
      <c r="F1826" s="0" t="s">
        <v>13</v>
      </c>
      <c r="G1826" s="0" t="s">
        <v>54</v>
      </c>
      <c r="H1826" s="5">
        <v>610.801500</v>
      </c>
    </row>
    <row r="1827" spans="1:9">
      <c r="A1827" s="22" t="str">
        <f>HYPERLINK("https://app.vivvix.com/360/KMI/IntelliDrive/ApplUI/Pages/CreativePages/CustomReportCreativeDetail.aspx?App=23&amp;ReportView=4&amp;Qid=1711245&amp;Row=1819&amp;Col=1","No Title Assigned - #15281052679")</f>
        <v/>
      </c>
      <c r="B1827" s="0" t="s">
        <v>2607</v>
      </c>
      <c r="E1827" s="0" t="s">
        <v>13</v>
      </c>
      <c r="F1827" s="0" t="s">
        <v>13</v>
      </c>
      <c r="G1827" s="0" t="s">
        <v>54</v>
      </c>
      <c r="H1827" s="5">
        <v>860.685100</v>
      </c>
    </row>
    <row r="1828" spans="1:9">
      <c r="A1828" s="22" t="str">
        <f>HYPERLINK("https://app.vivvix.com/360/KMI/IntelliDrive/ApplUI/Pages/CreativePages/CustomReportCreativeDetail.aspx?App=23&amp;ReportView=4&amp;Qid=1711245&amp;Row=1820&amp;Col=1","No Title Assigned - #15281072302")</f>
        <v/>
      </c>
      <c r="B1828" s="0" t="s">
        <v>2608</v>
      </c>
      <c r="E1828" s="0" t="s">
        <v>13</v>
      </c>
      <c r="F1828" s="0" t="s">
        <v>13</v>
      </c>
      <c r="G1828" s="0" t="s">
        <v>54</v>
      </c>
      <c r="H1828" s="5">
        <v>9366.226800</v>
      </c>
    </row>
    <row r="1829" spans="1:9">
      <c r="A1829" s="22" t="str">
        <f>HYPERLINK("https://app.vivvix.com/360/KMI/IntelliDrive/ApplUI/Pages/CreativePages/CustomReportCreativeDetail.aspx?App=23&amp;ReportView=4&amp;Qid=1711245&amp;Row=1821&amp;Col=1","No Title Assigned - #15281077793")</f>
        <v/>
      </c>
      <c r="B1829" s="0" t="s">
        <v>2609</v>
      </c>
      <c r="E1829" s="0" t="s">
        <v>13</v>
      </c>
      <c r="F1829" s="0" t="s">
        <v>13</v>
      </c>
      <c r="G1829" s="0" t="s">
        <v>54</v>
      </c>
      <c r="H1829" s="5">
        <v>190.091200</v>
      </c>
    </row>
    <row r="1830" spans="1:9">
      <c r="A1830" s="22" t="str">
        <f>HYPERLINK("https://app.vivvix.com/360/KMI/IntelliDrive/ApplUI/Pages/CreativePages/CustomReportCreativeDetail.aspx?App=23&amp;ReportView=4&amp;Qid=1711245&amp;Row=1822&amp;Col=1","No Title Assigned - #15281148281")</f>
        <v/>
      </c>
      <c r="B1830" s="0" t="s">
        <v>2610</v>
      </c>
      <c r="C1830" s="0" t="s">
        <v>2611</v>
      </c>
      <c r="D1830" s="0" t="s">
        <v>2611</v>
      </c>
      <c r="E1830" s="0" t="s">
        <v>13</v>
      </c>
      <c r="F1830" s="0" t="s">
        <v>17</v>
      </c>
      <c r="G1830" s="0" t="s">
        <v>446</v>
      </c>
      <c r="H1830" s="5">
        <v>12235.950600</v>
      </c>
    </row>
    <row r="1831" spans="1:9">
      <c r="A1831" s="22" t="str">
        <f>HYPERLINK("https://app.vivvix.com/360/KMI/IntelliDrive/ApplUI/Pages/CreativePages/CustomReportCreativeDetail.aspx?App=23&amp;ReportView=4&amp;Qid=1711245&amp;Row=1823&amp;Col=1","No Title Assigned - #15281180844")</f>
        <v/>
      </c>
      <c r="B1831" s="0" t="s">
        <v>2612</v>
      </c>
      <c r="C1831" s="0" t="s">
        <v>2613</v>
      </c>
      <c r="D1831" s="0" t="s">
        <v>2613</v>
      </c>
      <c r="E1831" s="0" t="s">
        <v>13</v>
      </c>
      <c r="F1831" s="0" t="s">
        <v>14</v>
      </c>
      <c r="G1831" s="0" t="s">
        <v>15</v>
      </c>
      <c r="H1831" s="5">
        <v>775.233400</v>
      </c>
    </row>
    <row r="1832" spans="1:9">
      <c r="A1832" s="22" t="str">
        <f>HYPERLINK("https://app.vivvix.com/360/KMI/IntelliDrive/ApplUI/Pages/CreativePages/CustomReportCreativeDetail.aspx?App=23&amp;ReportView=4&amp;Qid=1711245&amp;Row=1824&amp;Col=1","No Title Assigned - #15281182110")</f>
        <v/>
      </c>
      <c r="B1832" s="0" t="s">
        <v>2614</v>
      </c>
      <c r="C1832" s="0" t="s">
        <v>2615</v>
      </c>
      <c r="D1832" s="0" t="s">
        <v>2615</v>
      </c>
      <c r="E1832" s="0" t="s">
        <v>13</v>
      </c>
      <c r="F1832" s="0" t="s">
        <v>13</v>
      </c>
      <c r="G1832" s="0" t="s">
        <v>35</v>
      </c>
      <c r="H1832" s="5">
        <v>758.172000</v>
      </c>
    </row>
    <row r="1833" spans="1:9">
      <c r="A1833" s="22" t="str">
        <f>HYPERLINK("https://app.vivvix.com/360/KMI/IntelliDrive/ApplUI/Pages/CreativePages/CustomReportCreativeDetail.aspx?App=23&amp;ReportView=4&amp;Qid=1711245&amp;Row=1825&amp;Col=1","No Title Assigned - #15281186276")</f>
        <v/>
      </c>
      <c r="B1833" s="0" t="s">
        <v>2616</v>
      </c>
      <c r="E1833" s="0" t="s">
        <v>13</v>
      </c>
      <c r="F1833" s="0" t="s">
        <v>13</v>
      </c>
      <c r="G1833" s="0" t="s">
        <v>54</v>
      </c>
      <c r="H1833" s="5">
        <v>320.336700</v>
      </c>
    </row>
    <row r="1834" spans="1:9">
      <c r="A1834" s="22" t="str">
        <f>HYPERLINK("https://app.vivvix.com/360/KMI/IntelliDrive/ApplUI/Pages/CreativePages/CustomReportCreativeDetail.aspx?App=23&amp;ReportView=4&amp;Qid=1711245&amp;Row=1826&amp;Col=1","No Title Assigned - #15281186643")</f>
        <v/>
      </c>
      <c r="B1834" s="0" t="s">
        <v>2617</v>
      </c>
      <c r="C1834" s="0" t="s">
        <v>2618</v>
      </c>
      <c r="D1834" s="0" t="s">
        <v>1779</v>
      </c>
      <c r="E1834" s="0" t="s">
        <v>13</v>
      </c>
      <c r="F1834" s="0" t="s">
        <v>14</v>
      </c>
      <c r="G1834" s="0" t="s">
        <v>15</v>
      </c>
      <c r="H1834" s="5">
        <v>1125.063300</v>
      </c>
    </row>
    <row r="1835" spans="1:9">
      <c r="A1835" s="22" t="str">
        <f>HYPERLINK("https://app.vivvix.com/360/KMI/IntelliDrive/ApplUI/Pages/CreativePages/CustomReportCreativeDetail.aspx?App=23&amp;ReportView=4&amp;Qid=1711245&amp;Row=1827&amp;Col=1","No Title Assigned - #15281198809")</f>
        <v/>
      </c>
      <c r="B1835" s="0" t="s">
        <v>2619</v>
      </c>
      <c r="E1835" s="0" t="s">
        <v>13</v>
      </c>
      <c r="F1835" s="0" t="s">
        <v>13</v>
      </c>
      <c r="G1835" s="0" t="s">
        <v>54</v>
      </c>
      <c r="H1835" s="5">
        <v>1002.350500</v>
      </c>
    </row>
    <row r="1836" spans="1:9">
      <c r="A1836" s="22" t="str">
        <f>HYPERLINK("https://app.vivvix.com/360/KMI/IntelliDrive/ApplUI/Pages/CreativePages/CustomReportCreativeDetail.aspx?App=23&amp;ReportView=4&amp;Qid=1711245&amp;Row=1828&amp;Col=1","No Title Assigned - #15281215359")</f>
        <v/>
      </c>
      <c r="B1836" s="0" t="s">
        <v>2620</v>
      </c>
      <c r="C1836" s="0" t="s">
        <v>2621</v>
      </c>
      <c r="D1836" s="0" t="s">
        <v>2425</v>
      </c>
      <c r="E1836" s="0" t="s">
        <v>13</v>
      </c>
      <c r="F1836" s="0" t="s">
        <v>14</v>
      </c>
      <c r="G1836" s="0" t="s">
        <v>15</v>
      </c>
      <c r="H1836" s="5">
        <v>482.689800</v>
      </c>
    </row>
    <row r="1837" spans="1:9">
      <c r="A1837" s="22" t="str">
        <f>HYPERLINK("https://app.vivvix.com/360/KMI/IntelliDrive/ApplUI/Pages/CreativePages/CustomReportCreativeDetail.aspx?App=23&amp;ReportView=4&amp;Qid=1711245&amp;Row=1829&amp;Col=1","No Title Assigned - #15281215375")</f>
        <v/>
      </c>
      <c r="B1837" s="0" t="s">
        <v>2622</v>
      </c>
      <c r="C1837" s="0" t="s">
        <v>2623</v>
      </c>
      <c r="D1837" s="0" t="s">
        <v>2623</v>
      </c>
      <c r="E1837" s="0" t="s">
        <v>13</v>
      </c>
      <c r="F1837" s="0" t="s">
        <v>14</v>
      </c>
      <c r="G1837" s="0" t="s">
        <v>15</v>
      </c>
      <c r="H1837" s="5">
        <v>2424.333200</v>
      </c>
    </row>
    <row r="1838" spans="1:9">
      <c r="A1838" s="22" t="str">
        <f>HYPERLINK("https://app.vivvix.com/360/KMI/IntelliDrive/ApplUI/Pages/CreativePages/CustomReportCreativeDetail.aspx?App=23&amp;ReportView=4&amp;Qid=1711245&amp;Row=1830&amp;Col=1","No Title Assigned - #15281215480")</f>
        <v/>
      </c>
      <c r="B1838" s="0" t="s">
        <v>2624</v>
      </c>
      <c r="C1838" s="0" t="s">
        <v>2625</v>
      </c>
      <c r="D1838" s="0" t="s">
        <v>1872</v>
      </c>
      <c r="E1838" s="0" t="s">
        <v>13</v>
      </c>
      <c r="F1838" s="0" t="s">
        <v>14</v>
      </c>
      <c r="G1838" s="0" t="s">
        <v>15</v>
      </c>
      <c r="H1838" s="5">
        <v>1178.370600</v>
      </c>
    </row>
    <row r="1839" spans="1:9">
      <c r="A1839" s="22" t="str">
        <f>HYPERLINK("https://app.vivvix.com/360/KMI/IntelliDrive/ApplUI/Pages/CreativePages/CustomReportCreativeDetail.aspx?App=23&amp;ReportView=4&amp;Qid=1711245&amp;Row=1831&amp;Col=1","No Title Assigned - #15281219187")</f>
        <v/>
      </c>
      <c r="B1839" s="0" t="s">
        <v>2626</v>
      </c>
      <c r="C1839" s="0" t="s">
        <v>2627</v>
      </c>
      <c r="D1839" s="0" t="s">
        <v>2627</v>
      </c>
      <c r="E1839" s="0" t="s">
        <v>13</v>
      </c>
      <c r="F1839" s="0" t="s">
        <v>14</v>
      </c>
      <c r="G1839" s="0" t="s">
        <v>15</v>
      </c>
      <c r="H1839" s="5">
        <v>1055.729900</v>
      </c>
    </row>
    <row r="1840" spans="1:9">
      <c r="A1840" s="22" t="str">
        <f>HYPERLINK("https://app.vivvix.com/360/KMI/IntelliDrive/ApplUI/Pages/CreativePages/CustomReportCreativeDetail.aspx?App=23&amp;ReportView=4&amp;Qid=1711245&amp;Row=1832&amp;Col=1","No Title Assigned - #15281222516")</f>
        <v/>
      </c>
      <c r="B1840" s="0" t="s">
        <v>2628</v>
      </c>
      <c r="C1840" s="0" t="s">
        <v>2629</v>
      </c>
      <c r="D1840" s="0" t="s">
        <v>1693</v>
      </c>
      <c r="E1840" s="0" t="s">
        <v>13</v>
      </c>
      <c r="F1840" s="0" t="s">
        <v>17</v>
      </c>
      <c r="G1840" s="0" t="s">
        <v>446</v>
      </c>
      <c r="H1840" s="5">
        <v>597.384700</v>
      </c>
    </row>
    <row r="1841" spans="1:9">
      <c r="A1841" s="22" t="str">
        <f>HYPERLINK("https://app.vivvix.com/360/KMI/IntelliDrive/ApplUI/Pages/CreativePages/CustomReportCreativeDetail.aspx?App=23&amp;ReportView=4&amp;Qid=1711245&amp;Row=1833&amp;Col=1","No Title Assigned - #15281223683")</f>
        <v/>
      </c>
      <c r="B1841" s="0" t="s">
        <v>2630</v>
      </c>
      <c r="E1841" s="0" t="s">
        <v>13</v>
      </c>
      <c r="F1841" s="0" t="s">
        <v>13</v>
      </c>
      <c r="G1841" s="0" t="s">
        <v>54</v>
      </c>
      <c r="H1841" s="5">
        <v>186.425800</v>
      </c>
    </row>
    <row r="1842" spans="1:9">
      <c r="A1842" s="22" t="str">
        <f>HYPERLINK("https://app.vivvix.com/360/KMI/IntelliDrive/ApplUI/Pages/CreativePages/CustomReportCreativeDetail.aspx?App=23&amp;ReportView=4&amp;Qid=1711245&amp;Row=1834&amp;Col=1","No Title Assigned - #15281223696")</f>
        <v/>
      </c>
      <c r="B1842" s="0" t="s">
        <v>2631</v>
      </c>
      <c r="C1842" s="0" t="s">
        <v>2632</v>
      </c>
      <c r="D1842" s="0" t="s">
        <v>2343</v>
      </c>
      <c r="E1842" s="0" t="s">
        <v>13</v>
      </c>
      <c r="F1842" s="0" t="s">
        <v>540</v>
      </c>
      <c r="G1842" s="0" t="s">
        <v>541</v>
      </c>
      <c r="H1842" s="5">
        <v>2033.867100</v>
      </c>
    </row>
    <row r="1843" spans="1:9">
      <c r="A1843" s="22" t="str">
        <f>HYPERLINK("https://app.vivvix.com/360/KMI/IntelliDrive/ApplUI/Pages/CreativePages/CustomReportCreativeDetail.aspx?App=23&amp;ReportView=4&amp;Qid=1711245&amp;Row=1835&amp;Col=1","No Title Assigned - #15281223798")</f>
        <v/>
      </c>
      <c r="B1843" s="0" t="s">
        <v>2633</v>
      </c>
      <c r="C1843" s="0" t="s">
        <v>2634</v>
      </c>
      <c r="D1843" s="0" t="s">
        <v>2634</v>
      </c>
      <c r="E1843" s="0" t="s">
        <v>13</v>
      </c>
      <c r="F1843" s="0" t="s">
        <v>17</v>
      </c>
      <c r="G1843" s="0" t="s">
        <v>446</v>
      </c>
      <c r="H1843" s="5">
        <v>1560.496800</v>
      </c>
    </row>
    <row r="1844" spans="1:9">
      <c r="A1844" s="22" t="str">
        <f>HYPERLINK("https://app.vivvix.com/360/KMI/IntelliDrive/ApplUI/Pages/CreativePages/CustomReportCreativeDetail.aspx?App=23&amp;ReportView=4&amp;Qid=1711245&amp;Row=1836&amp;Col=1","No Title Assigned - #15281226181")</f>
        <v/>
      </c>
      <c r="B1844" s="0" t="s">
        <v>2635</v>
      </c>
      <c r="C1844" s="0" t="s">
        <v>2636</v>
      </c>
      <c r="D1844" s="0" t="s">
        <v>2636</v>
      </c>
      <c r="E1844" s="0" t="s">
        <v>13</v>
      </c>
      <c r="F1844" s="0" t="s">
        <v>540</v>
      </c>
      <c r="G1844" s="0" t="s">
        <v>541</v>
      </c>
      <c r="H1844" s="5">
        <v>279.638700</v>
      </c>
    </row>
    <row r="1845" spans="1:9">
      <c r="A1845" s="22" t="str">
        <f>HYPERLINK("https://app.vivvix.com/360/KMI/IntelliDrive/ApplUI/Pages/CreativePages/CustomReportCreativeDetail.aspx?App=23&amp;ReportView=4&amp;Qid=1711245&amp;Row=1837&amp;Col=1","No Title Assigned - #15281239506")</f>
        <v/>
      </c>
      <c r="B1845" s="0" t="s">
        <v>2637</v>
      </c>
      <c r="E1845" s="0" t="s">
        <v>13</v>
      </c>
      <c r="F1845" s="0" t="s">
        <v>13</v>
      </c>
      <c r="G1845" s="0" t="s">
        <v>54</v>
      </c>
      <c r="H1845" s="5">
        <v>206.997700</v>
      </c>
    </row>
    <row r="1846" spans="1:9">
      <c r="A1846" s="22" t="str">
        <f>HYPERLINK("https://app.vivvix.com/360/KMI/IntelliDrive/ApplUI/Pages/CreativePages/CustomReportCreativeDetail.aspx?App=23&amp;ReportView=4&amp;Qid=1711245&amp;Row=1838&amp;Col=1","No Title Assigned - #15281245031")</f>
        <v/>
      </c>
      <c r="B1846" s="0" t="s">
        <v>2638</v>
      </c>
      <c r="E1846" s="0" t="s">
        <v>13</v>
      </c>
      <c r="F1846" s="0" t="s">
        <v>13</v>
      </c>
      <c r="G1846" s="0" t="s">
        <v>54</v>
      </c>
      <c r="H1846" s="5">
        <v>1335.557500</v>
      </c>
    </row>
    <row r="1847" spans="1:9">
      <c r="A1847" s="22" t="str">
        <f>HYPERLINK("https://app.vivvix.com/360/KMI/IntelliDrive/ApplUI/Pages/CreativePages/CustomReportCreativeDetail.aspx?App=23&amp;ReportView=4&amp;Qid=1711245&amp;Row=1839&amp;Col=1","No Title Assigned - #15281245236")</f>
        <v/>
      </c>
      <c r="B1847" s="0" t="s">
        <v>2639</v>
      </c>
      <c r="E1847" s="0" t="s">
        <v>13</v>
      </c>
      <c r="F1847" s="0" t="s">
        <v>13</v>
      </c>
      <c r="G1847" s="0" t="s">
        <v>54</v>
      </c>
      <c r="H1847" s="5">
        <v>1335.177100</v>
      </c>
    </row>
    <row r="1848" spans="1:9">
      <c r="A1848" s="22" t="str">
        <f>HYPERLINK("https://app.vivvix.com/360/KMI/IntelliDrive/ApplUI/Pages/CreativePages/CustomReportCreativeDetail.aspx?App=23&amp;ReportView=4&amp;Qid=1711245&amp;Row=1840&amp;Col=1","No Title Assigned - #15281247310")</f>
        <v/>
      </c>
      <c r="B1848" s="0" t="s">
        <v>2640</v>
      </c>
      <c r="E1848" s="0" t="s">
        <v>13</v>
      </c>
      <c r="F1848" s="0" t="s">
        <v>13</v>
      </c>
      <c r="G1848" s="0" t="s">
        <v>54</v>
      </c>
      <c r="H1848" s="5">
        <v>2389.017000</v>
      </c>
    </row>
    <row r="1849" spans="1:9">
      <c r="A1849" s="22" t="str">
        <f>HYPERLINK("https://app.vivvix.com/360/KMI/IntelliDrive/ApplUI/Pages/CreativePages/CustomReportCreativeDetail.aspx?App=23&amp;ReportView=4&amp;Qid=1711245&amp;Row=1841&amp;Col=1","No Title Assigned - #15281247310")</f>
        <v/>
      </c>
      <c r="B1849" s="0" t="s">
        <v>2640</v>
      </c>
      <c r="E1849" s="0" t="s">
        <v>13</v>
      </c>
      <c r="F1849" s="0" t="s">
        <v>13</v>
      </c>
      <c r="G1849" s="0" t="s">
        <v>54</v>
      </c>
      <c r="H1849" s="5">
        <v>14729.809600</v>
      </c>
    </row>
    <row r="1850" spans="1:9">
      <c r="A1850" s="22" t="str">
        <f>HYPERLINK("https://app.vivvix.com/360/KMI/IntelliDrive/ApplUI/Pages/CreativePages/CustomReportCreativeDetail.aspx?App=23&amp;ReportView=4&amp;Qid=1711245&amp;Row=1842&amp;Col=1","No Title Assigned - #15281273717")</f>
        <v/>
      </c>
      <c r="B1850" s="0" t="s">
        <v>2641</v>
      </c>
      <c r="C1850" s="0" t="s">
        <v>2642</v>
      </c>
      <c r="D1850" s="0" t="s">
        <v>2158</v>
      </c>
      <c r="E1850" s="0" t="s">
        <v>13</v>
      </c>
      <c r="F1850" s="0" t="s">
        <v>17</v>
      </c>
      <c r="G1850" s="0" t="s">
        <v>446</v>
      </c>
      <c r="H1850" s="5">
        <v>887.555900</v>
      </c>
    </row>
    <row r="1851" spans="1:9">
      <c r="A1851" s="22" t="str">
        <f>HYPERLINK("https://app.vivvix.com/360/KMI/IntelliDrive/ApplUI/Pages/CreativePages/CustomReportCreativeDetail.aspx?App=23&amp;ReportView=4&amp;Qid=1711245&amp;Row=1843&amp;Col=1","No Title Assigned - #15281275559")</f>
        <v/>
      </c>
      <c r="B1851" s="0" t="s">
        <v>2643</v>
      </c>
      <c r="C1851" s="0" t="s">
        <v>2644</v>
      </c>
      <c r="D1851" s="0" t="s">
        <v>2554</v>
      </c>
      <c r="E1851" s="0" t="s">
        <v>13</v>
      </c>
      <c r="F1851" s="0" t="s">
        <v>14</v>
      </c>
      <c r="G1851" s="0" t="s">
        <v>15</v>
      </c>
      <c r="H1851" s="5">
        <v>155.105800</v>
      </c>
    </row>
    <row r="1852" spans="1:9">
      <c r="A1852" s="22" t="str">
        <f>HYPERLINK("https://app.vivvix.com/360/KMI/IntelliDrive/ApplUI/Pages/CreativePages/CustomReportCreativeDetail.aspx?App=23&amp;ReportView=4&amp;Qid=1711245&amp;Row=1844&amp;Col=1","No Title Assigned - #15281282884")</f>
        <v/>
      </c>
      <c r="B1852" s="0" t="s">
        <v>2645</v>
      </c>
      <c r="E1852" s="0" t="s">
        <v>13</v>
      </c>
      <c r="F1852" s="0" t="s">
        <v>13</v>
      </c>
      <c r="G1852" s="0" t="s">
        <v>54</v>
      </c>
      <c r="H1852" s="5">
        <v>320.336700</v>
      </c>
    </row>
    <row r="1853" spans="1:9">
      <c r="A1853" s="22" t="str">
        <f>HYPERLINK("https://app.vivvix.com/360/KMI/IntelliDrive/ApplUI/Pages/CreativePages/CustomReportCreativeDetail.aspx?App=23&amp;ReportView=4&amp;Qid=1711245&amp;Row=1845&amp;Col=1","No Title Assigned - #15281315941")</f>
        <v/>
      </c>
      <c r="B1853" s="0" t="s">
        <v>2646</v>
      </c>
      <c r="E1853" s="0" t="s">
        <v>13</v>
      </c>
      <c r="F1853" s="0" t="s">
        <v>13</v>
      </c>
      <c r="G1853" s="0" t="s">
        <v>54</v>
      </c>
      <c r="H1853" s="5">
        <v>5183.053200</v>
      </c>
    </row>
    <row r="1854" spans="1:9">
      <c r="A1854" s="22" t="str">
        <f>HYPERLINK("https://app.vivvix.com/360/KMI/IntelliDrive/ApplUI/Pages/CreativePages/CustomReportCreativeDetail.aspx?App=23&amp;ReportView=4&amp;Qid=1711245&amp;Row=1846&amp;Col=1","No Title Assigned - #15281319362")</f>
        <v/>
      </c>
      <c r="B1854" s="0" t="s">
        <v>2647</v>
      </c>
      <c r="E1854" s="0" t="s">
        <v>13</v>
      </c>
      <c r="F1854" s="0" t="s">
        <v>13</v>
      </c>
      <c r="G1854" s="0" t="s">
        <v>54</v>
      </c>
      <c r="H1854" s="5">
        <v>844.328000</v>
      </c>
    </row>
    <row r="1855" spans="1:9">
      <c r="A1855" s="22" t="str">
        <f>HYPERLINK("https://app.vivvix.com/360/KMI/IntelliDrive/ApplUI/Pages/CreativePages/CustomReportCreativeDetail.aspx?App=23&amp;ReportView=4&amp;Qid=1711245&amp;Row=1847&amp;Col=1","No Title Assigned - #15281321828")</f>
        <v/>
      </c>
      <c r="B1855" s="0" t="s">
        <v>2648</v>
      </c>
      <c r="E1855" s="0" t="s">
        <v>13</v>
      </c>
      <c r="F1855" s="0" t="s">
        <v>13</v>
      </c>
      <c r="G1855" s="0" t="s">
        <v>54</v>
      </c>
      <c r="H1855" s="5">
        <v>4018.956800</v>
      </c>
    </row>
    <row r="1856" spans="1:9">
      <c r="A1856" s="22" t="str">
        <f>HYPERLINK("https://app.vivvix.com/360/KMI/IntelliDrive/ApplUI/Pages/CreativePages/CustomReportCreativeDetail.aspx?App=23&amp;ReportView=4&amp;Qid=1711245&amp;Row=1848&amp;Col=1","No Title Assigned - #15281361859")</f>
        <v/>
      </c>
      <c r="B1856" s="0" t="s">
        <v>2649</v>
      </c>
      <c r="C1856" s="0" t="s">
        <v>2650</v>
      </c>
      <c r="D1856" s="0" t="s">
        <v>2650</v>
      </c>
      <c r="E1856" s="0" t="s">
        <v>13</v>
      </c>
      <c r="F1856" s="0" t="s">
        <v>13</v>
      </c>
      <c r="G1856" s="0" t="s">
        <v>35</v>
      </c>
      <c r="H1856" s="5">
        <v>9132.582200</v>
      </c>
    </row>
    <row r="1857" spans="1:9">
      <c r="A1857" s="22" t="str">
        <f>HYPERLINK("https://app.vivvix.com/360/KMI/IntelliDrive/ApplUI/Pages/CreativePages/CustomReportCreativeDetail.aspx?App=23&amp;ReportView=4&amp;Qid=1711245&amp;Row=1849&amp;Col=1","No Title Assigned - #15281371802")</f>
        <v/>
      </c>
      <c r="B1857" s="0" t="s">
        <v>2651</v>
      </c>
      <c r="E1857" s="0" t="s">
        <v>13</v>
      </c>
      <c r="F1857" s="0" t="s">
        <v>13</v>
      </c>
      <c r="G1857" s="0" t="s">
        <v>54</v>
      </c>
      <c r="H1857" s="5">
        <v>145.331400</v>
      </c>
    </row>
    <row r="1858" spans="1:9">
      <c r="A1858" s="22" t="str">
        <f>HYPERLINK("https://app.vivvix.com/360/KMI/IntelliDrive/ApplUI/Pages/CreativePages/CustomReportCreativeDetail.aspx?App=23&amp;ReportView=4&amp;Qid=1711245&amp;Row=1850&amp;Col=1","No Title Assigned - #15281394773")</f>
        <v/>
      </c>
      <c r="B1858" s="0" t="s">
        <v>2652</v>
      </c>
      <c r="E1858" s="0" t="s">
        <v>13</v>
      </c>
      <c r="F1858" s="0" t="s">
        <v>13</v>
      </c>
      <c r="G1858" s="0" t="s">
        <v>54</v>
      </c>
      <c r="H1858" s="5">
        <v>330.016900</v>
      </c>
    </row>
    <row r="1859" spans="1:9">
      <c r="A1859" s="22" t="str">
        <f>HYPERLINK("https://app.vivvix.com/360/KMI/IntelliDrive/ApplUI/Pages/CreativePages/CustomReportCreativeDetail.aspx?App=23&amp;ReportView=4&amp;Qid=1711245&amp;Row=1851&amp;Col=1","No Title Assigned - #15281396395")</f>
        <v/>
      </c>
      <c r="B1859" s="0" t="s">
        <v>2653</v>
      </c>
      <c r="E1859" s="0" t="s">
        <v>13</v>
      </c>
      <c r="F1859" s="0" t="s">
        <v>13</v>
      </c>
      <c r="G1859" s="0" t="s">
        <v>54</v>
      </c>
      <c r="H1859" s="5">
        <v>702.507100</v>
      </c>
    </row>
    <row r="1860" spans="1:9">
      <c r="A1860" s="22" t="str">
        <f>HYPERLINK("https://app.vivvix.com/360/KMI/IntelliDrive/ApplUI/Pages/CreativePages/CustomReportCreativeDetail.aspx?App=23&amp;ReportView=4&amp;Qid=1711245&amp;Row=1852&amp;Col=1","No Title Assigned - #15281403640")</f>
        <v/>
      </c>
      <c r="B1860" s="0" t="s">
        <v>2654</v>
      </c>
      <c r="E1860" s="0" t="s">
        <v>13</v>
      </c>
      <c r="F1860" s="0" t="s">
        <v>13</v>
      </c>
      <c r="G1860" s="0" t="s">
        <v>54</v>
      </c>
      <c r="H1860" s="5">
        <v>8494.868400</v>
      </c>
    </row>
    <row r="1861" spans="1:9">
      <c r="A1861" s="22" t="str">
        <f>HYPERLINK("https://app.vivvix.com/360/KMI/IntelliDrive/ApplUI/Pages/CreativePages/CustomReportCreativeDetail.aspx?App=23&amp;ReportView=4&amp;Qid=1711245&amp;Row=1853&amp;Col=1","No Title Assigned - #15281403770")</f>
        <v/>
      </c>
      <c r="B1861" s="0" t="s">
        <v>2655</v>
      </c>
      <c r="C1861" s="0" t="s">
        <v>2656</v>
      </c>
      <c r="D1861" s="0" t="s">
        <v>2656</v>
      </c>
      <c r="E1861" s="0" t="s">
        <v>13</v>
      </c>
      <c r="F1861" s="0" t="s">
        <v>128</v>
      </c>
      <c r="G1861" s="0" t="s">
        <v>456</v>
      </c>
      <c r="H1861" s="5">
        <v>812.075200</v>
      </c>
    </row>
    <row r="1862" spans="1:9">
      <c r="A1862" s="22" t="str">
        <f>HYPERLINK("https://app.vivvix.com/360/KMI/IntelliDrive/ApplUI/Pages/CreativePages/CustomReportCreativeDetail.aspx?App=23&amp;ReportView=4&amp;Qid=1711245&amp;Row=1854&amp;Col=1","No Title Assigned - #15281412389")</f>
        <v/>
      </c>
      <c r="B1862" s="0" t="s">
        <v>2657</v>
      </c>
      <c r="C1862" s="0" t="s">
        <v>2658</v>
      </c>
      <c r="D1862" s="0" t="s">
        <v>2658</v>
      </c>
      <c r="E1862" s="0" t="s">
        <v>13</v>
      </c>
      <c r="F1862" s="0" t="s">
        <v>14</v>
      </c>
      <c r="G1862" s="0" t="s">
        <v>15</v>
      </c>
      <c r="H1862" s="5">
        <v>70184.859000</v>
      </c>
    </row>
    <row r="1863" spans="1:9">
      <c r="A1863" s="22" t="str">
        <f>HYPERLINK("https://app.vivvix.com/360/KMI/IntelliDrive/ApplUI/Pages/CreativePages/CustomReportCreativeDetail.aspx?App=23&amp;ReportView=4&amp;Qid=1711245&amp;Row=1855&amp;Col=1","No Title Assigned - #15281417055")</f>
        <v/>
      </c>
      <c r="B1863" s="0" t="s">
        <v>2659</v>
      </c>
      <c r="E1863" s="0" t="s">
        <v>13</v>
      </c>
      <c r="F1863" s="0" t="s">
        <v>13</v>
      </c>
      <c r="G1863" s="0" t="s">
        <v>54</v>
      </c>
      <c r="H1863" s="5">
        <v>4117.604800</v>
      </c>
    </row>
    <row r="1864" spans="1:9">
      <c r="A1864" s="22" t="str">
        <f>HYPERLINK("https://app.vivvix.com/360/KMI/IntelliDrive/ApplUI/Pages/CreativePages/CustomReportCreativeDetail.aspx?App=23&amp;ReportView=4&amp;Qid=1711245&amp;Row=1856&amp;Col=1","No Title Assigned - #15281419780")</f>
        <v/>
      </c>
      <c r="B1864" s="0" t="s">
        <v>2660</v>
      </c>
      <c r="E1864" s="0" t="s">
        <v>13</v>
      </c>
      <c r="F1864" s="0" t="s">
        <v>13</v>
      </c>
      <c r="G1864" s="0" t="s">
        <v>54</v>
      </c>
      <c r="H1864" s="5">
        <v>5164.747000</v>
      </c>
    </row>
    <row r="1865" spans="1:9">
      <c r="A1865" s="22" t="str">
        <f>HYPERLINK("https://app.vivvix.com/360/KMI/IntelliDrive/ApplUI/Pages/CreativePages/CustomReportCreativeDetail.aspx?App=23&amp;ReportView=4&amp;Qid=1711245&amp;Row=1857&amp;Col=1","No Title Assigned - #15281419940")</f>
        <v/>
      </c>
      <c r="B1865" s="0" t="s">
        <v>2661</v>
      </c>
      <c r="C1865" s="0" t="s">
        <v>2662</v>
      </c>
      <c r="D1865" s="0" t="s">
        <v>2662</v>
      </c>
      <c r="E1865" s="0" t="s">
        <v>13</v>
      </c>
      <c r="F1865" s="0" t="s">
        <v>540</v>
      </c>
      <c r="G1865" s="0" t="s">
        <v>541</v>
      </c>
      <c r="H1865" s="5">
        <v>436.173800</v>
      </c>
    </row>
    <row r="1866" spans="1:9">
      <c r="A1866" s="22" t="str">
        <f>HYPERLINK("https://app.vivvix.com/360/KMI/IntelliDrive/ApplUI/Pages/CreativePages/CustomReportCreativeDetail.aspx?App=23&amp;ReportView=4&amp;Qid=1711245&amp;Row=1858&amp;Col=1","No Title Assigned - #15281420087")</f>
        <v/>
      </c>
      <c r="B1866" s="0" t="s">
        <v>2663</v>
      </c>
      <c r="E1866" s="0" t="s">
        <v>13</v>
      </c>
      <c r="F1866" s="0" t="s">
        <v>13</v>
      </c>
      <c r="G1866" s="0" t="s">
        <v>54</v>
      </c>
      <c r="H1866" s="5">
        <v>2763.997300</v>
      </c>
    </row>
    <row r="1867" spans="1:9">
      <c r="A1867" s="22" t="str">
        <f>HYPERLINK("https://app.vivvix.com/360/KMI/IntelliDrive/ApplUI/Pages/CreativePages/CustomReportCreativeDetail.aspx?App=23&amp;ReportView=4&amp;Qid=1711245&amp;Row=1859&amp;Col=1","No Title Assigned - #15281424309")</f>
        <v/>
      </c>
      <c r="B1867" s="0" t="s">
        <v>2664</v>
      </c>
      <c r="E1867" s="0" t="s">
        <v>13</v>
      </c>
      <c r="F1867" s="0" t="s">
        <v>13</v>
      </c>
      <c r="G1867" s="0" t="s">
        <v>54</v>
      </c>
      <c r="H1867" s="5">
        <v>233.036000</v>
      </c>
    </row>
    <row r="1868" spans="1:9">
      <c r="A1868" s="22" t="str">
        <f>HYPERLINK("https://app.vivvix.com/360/KMI/IntelliDrive/ApplUI/Pages/CreativePages/CustomReportCreativeDetail.aspx?App=23&amp;ReportView=4&amp;Qid=1711245&amp;Row=1860&amp;Col=1","No Title Assigned - #15281454698")</f>
        <v/>
      </c>
      <c r="B1868" s="0" t="s">
        <v>2665</v>
      </c>
      <c r="C1868" s="0" t="s">
        <v>2666</v>
      </c>
      <c r="D1868" s="0" t="s">
        <v>2666</v>
      </c>
      <c r="E1868" s="0" t="s">
        <v>13</v>
      </c>
      <c r="F1868" s="0" t="s">
        <v>13</v>
      </c>
      <c r="G1868" s="0" t="s">
        <v>78</v>
      </c>
      <c r="H1868" s="5">
        <v>1249.625400</v>
      </c>
    </row>
    <row r="1869" spans="1:9">
      <c r="A1869" s="22" t="str">
        <f>HYPERLINK("https://app.vivvix.com/360/KMI/IntelliDrive/ApplUI/Pages/CreativePages/CustomReportCreativeDetail.aspx?App=23&amp;ReportView=4&amp;Qid=1711245&amp;Row=1861&amp;Col=1","No Title Assigned - #15281462072")</f>
        <v/>
      </c>
      <c r="B1869" s="0" t="s">
        <v>2667</v>
      </c>
      <c r="C1869" s="0" t="s">
        <v>2668</v>
      </c>
      <c r="D1869" s="0" t="s">
        <v>2668</v>
      </c>
      <c r="E1869" s="0" t="s">
        <v>13</v>
      </c>
      <c r="F1869" s="0" t="s">
        <v>13</v>
      </c>
      <c r="G1869" s="0" t="s">
        <v>78</v>
      </c>
      <c r="H1869" s="5">
        <v>4974.978000</v>
      </c>
    </row>
    <row r="1870" spans="1:9">
      <c r="A1870" s="22" t="str">
        <f>HYPERLINK("https://app.vivvix.com/360/KMI/IntelliDrive/ApplUI/Pages/CreativePages/CustomReportCreativeDetail.aspx?App=23&amp;ReportView=4&amp;Qid=1711245&amp;Row=1862&amp;Col=1","No Title Assigned - #15281466802")</f>
        <v/>
      </c>
      <c r="B1870" s="0" t="s">
        <v>2669</v>
      </c>
      <c r="C1870" s="0" t="s">
        <v>2670</v>
      </c>
      <c r="D1870" s="0" t="s">
        <v>2670</v>
      </c>
      <c r="E1870" s="0" t="s">
        <v>13</v>
      </c>
      <c r="F1870" s="0" t="s">
        <v>14</v>
      </c>
      <c r="G1870" s="0" t="s">
        <v>15</v>
      </c>
      <c r="H1870" s="5">
        <v>305.702400</v>
      </c>
    </row>
    <row r="1871" spans="1:9">
      <c r="A1871" s="22" t="str">
        <f>HYPERLINK("https://app.vivvix.com/360/KMI/IntelliDrive/ApplUI/Pages/CreativePages/CustomReportCreativeDetail.aspx?App=23&amp;ReportView=4&amp;Qid=1711245&amp;Row=1863&amp;Col=1","No Title Assigned - #15281474637")</f>
        <v/>
      </c>
      <c r="B1871" s="0" t="s">
        <v>2671</v>
      </c>
      <c r="E1871" s="0" t="s">
        <v>13</v>
      </c>
      <c r="F1871" s="0" t="s">
        <v>13</v>
      </c>
      <c r="G1871" s="0" t="s">
        <v>54</v>
      </c>
      <c r="H1871" s="5">
        <v>468.521000</v>
      </c>
    </row>
    <row r="1872" spans="1:9">
      <c r="A1872" s="22" t="str">
        <f>HYPERLINK("https://app.vivvix.com/360/KMI/IntelliDrive/ApplUI/Pages/CreativePages/CustomReportCreativeDetail.aspx?App=23&amp;ReportView=4&amp;Qid=1711245&amp;Row=1864&amp;Col=1","No Title Assigned - #15281489171")</f>
        <v/>
      </c>
      <c r="B1872" s="0" t="s">
        <v>2672</v>
      </c>
      <c r="E1872" s="0" t="s">
        <v>13</v>
      </c>
      <c r="F1872" s="0" t="s">
        <v>13</v>
      </c>
      <c r="G1872" s="0" t="s">
        <v>54</v>
      </c>
      <c r="H1872" s="5">
        <v>531.375400</v>
      </c>
    </row>
    <row r="1873" spans="1:9">
      <c r="A1873" s="22" t="str">
        <f>HYPERLINK("https://app.vivvix.com/360/KMI/IntelliDrive/ApplUI/Pages/CreativePages/CustomReportCreativeDetail.aspx?App=23&amp;ReportView=4&amp;Qid=1711245&amp;Row=1865&amp;Col=1","No Title Assigned - #15281508410")</f>
        <v/>
      </c>
      <c r="B1873" s="0" t="s">
        <v>2673</v>
      </c>
      <c r="C1873" s="0" t="s">
        <v>2674</v>
      </c>
      <c r="D1873" s="0" t="s">
        <v>2674</v>
      </c>
      <c r="E1873" s="0" t="s">
        <v>13</v>
      </c>
      <c r="F1873" s="0" t="s">
        <v>14</v>
      </c>
      <c r="G1873" s="0" t="s">
        <v>15</v>
      </c>
      <c r="H1873" s="5">
        <v>1781.624600</v>
      </c>
    </row>
    <row r="1874" spans="1:9">
      <c r="A1874" s="22" t="str">
        <f>HYPERLINK("https://app.vivvix.com/360/KMI/IntelliDrive/ApplUI/Pages/CreativePages/CustomReportCreativeDetail.aspx?App=23&amp;ReportView=4&amp;Qid=1711245&amp;Row=1866&amp;Col=1","No Title Assigned - #15281521314")</f>
        <v/>
      </c>
      <c r="B1874" s="0" t="s">
        <v>2675</v>
      </c>
      <c r="E1874" s="0" t="s">
        <v>13</v>
      </c>
      <c r="F1874" s="0" t="s">
        <v>13</v>
      </c>
      <c r="G1874" s="0" t="s">
        <v>54</v>
      </c>
      <c r="H1874" s="5">
        <v>2582.373500</v>
      </c>
    </row>
    <row r="1875" spans="1:9">
      <c r="A1875" s="22" t="str">
        <f>HYPERLINK("https://app.vivvix.com/360/KMI/IntelliDrive/ApplUI/Pages/CreativePages/CustomReportCreativeDetail.aspx?App=23&amp;ReportView=4&amp;Qid=1711245&amp;Row=1867&amp;Col=1","No Title Assigned - #15281555503")</f>
        <v/>
      </c>
      <c r="B1875" s="0" t="s">
        <v>2676</v>
      </c>
      <c r="C1875" s="0" t="s">
        <v>2677</v>
      </c>
      <c r="D1875" s="0" t="s">
        <v>2677</v>
      </c>
      <c r="E1875" s="0" t="s">
        <v>13</v>
      </c>
      <c r="F1875" s="0" t="s">
        <v>14</v>
      </c>
      <c r="G1875" s="0" t="s">
        <v>15</v>
      </c>
      <c r="H1875" s="5">
        <v>35176.183300</v>
      </c>
    </row>
    <row r="1876" spans="1:9">
      <c r="A1876" s="22" t="str">
        <f>HYPERLINK("https://app.vivvix.com/360/KMI/IntelliDrive/ApplUI/Pages/CreativePages/CustomReportCreativeDetail.aspx?App=23&amp;ReportView=4&amp;Qid=1711245&amp;Row=1868&amp;Col=1","No Title Assigned - #15281561516")</f>
        <v/>
      </c>
      <c r="B1876" s="0" t="s">
        <v>2678</v>
      </c>
      <c r="E1876" s="0" t="s">
        <v>13</v>
      </c>
      <c r="F1876" s="0" t="s">
        <v>13</v>
      </c>
      <c r="G1876" s="0" t="s">
        <v>54</v>
      </c>
      <c r="H1876" s="5">
        <v>44200.745900</v>
      </c>
    </row>
    <row r="1877" spans="1:9">
      <c r="A1877" s="22" t="str">
        <f>HYPERLINK("https://app.vivvix.com/360/KMI/IntelliDrive/ApplUI/Pages/CreativePages/CustomReportCreativeDetail.aspx?App=23&amp;ReportView=4&amp;Qid=1711245&amp;Row=1869&amp;Col=1","No Title Assigned - #15281566330")</f>
        <v/>
      </c>
      <c r="B1877" s="0" t="s">
        <v>2679</v>
      </c>
      <c r="E1877" s="0" t="s">
        <v>13</v>
      </c>
      <c r="F1877" s="0" t="s">
        <v>13</v>
      </c>
      <c r="G1877" s="0" t="s">
        <v>54</v>
      </c>
      <c r="H1877" s="5">
        <v>363.886300</v>
      </c>
    </row>
    <row r="1878" spans="1:9">
      <c r="A1878" s="22" t="str">
        <f>HYPERLINK("https://app.vivvix.com/360/KMI/IntelliDrive/ApplUI/Pages/CreativePages/CustomReportCreativeDetail.aspx?App=23&amp;ReportView=4&amp;Qid=1711245&amp;Row=1870&amp;Col=1","No Title Assigned - #15281569115")</f>
        <v/>
      </c>
      <c r="B1878" s="0" t="s">
        <v>2680</v>
      </c>
      <c r="E1878" s="0" t="s">
        <v>13</v>
      </c>
      <c r="F1878" s="0" t="s">
        <v>13</v>
      </c>
      <c r="G1878" s="0" t="s">
        <v>54</v>
      </c>
      <c r="H1878" s="5">
        <v>17822.705800</v>
      </c>
    </row>
    <row r="1879" spans="1:9">
      <c r="A1879" s="22" t="str">
        <f>HYPERLINK("https://app.vivvix.com/360/KMI/IntelliDrive/ApplUI/Pages/CreativePages/CustomReportCreativeDetail.aspx?App=23&amp;ReportView=4&amp;Qid=1711245&amp;Row=1871&amp;Col=1","No Title Assigned - #15281578401")</f>
        <v/>
      </c>
      <c r="B1879" s="0" t="s">
        <v>2681</v>
      </c>
      <c r="E1879" s="0" t="s">
        <v>13</v>
      </c>
      <c r="F1879" s="0" t="s">
        <v>13</v>
      </c>
      <c r="G1879" s="0" t="s">
        <v>54</v>
      </c>
      <c r="H1879" s="5">
        <v>26275.667400</v>
      </c>
    </row>
    <row r="1880" spans="1:9">
      <c r="A1880" s="22" t="str">
        <f>HYPERLINK("https://app.vivvix.com/360/KMI/IntelliDrive/ApplUI/Pages/CreativePages/CustomReportCreativeDetail.aspx?App=23&amp;ReportView=4&amp;Qid=1711245&amp;Row=1872&amp;Col=1","No Title Assigned - #15281580506")</f>
        <v/>
      </c>
      <c r="B1880" s="0" t="s">
        <v>2682</v>
      </c>
      <c r="E1880" s="0" t="s">
        <v>13</v>
      </c>
      <c r="F1880" s="0" t="s">
        <v>13</v>
      </c>
      <c r="G1880" s="0" t="s">
        <v>54</v>
      </c>
      <c r="H1880" s="5">
        <v>1578.125000</v>
      </c>
    </row>
    <row r="1881" spans="1:9">
      <c r="A1881" s="22" t="str">
        <f>HYPERLINK("https://app.vivvix.com/360/KMI/IntelliDrive/ApplUI/Pages/CreativePages/CustomReportCreativeDetail.aspx?App=23&amp;ReportView=4&amp;Qid=1711245&amp;Row=1873&amp;Col=1","No Title Assigned - #15281582061")</f>
        <v/>
      </c>
      <c r="B1881" s="0" t="s">
        <v>2683</v>
      </c>
      <c r="E1881" s="0" t="s">
        <v>13</v>
      </c>
      <c r="F1881" s="0" t="s">
        <v>13</v>
      </c>
      <c r="G1881" s="0" t="s">
        <v>54</v>
      </c>
      <c r="H1881" s="5">
        <v>2402.100900</v>
      </c>
    </row>
    <row r="1882" spans="1:9">
      <c r="A1882" s="22" t="str">
        <f>HYPERLINK("https://app.vivvix.com/360/KMI/IntelliDrive/ApplUI/Pages/CreativePages/CustomReportCreativeDetail.aspx?App=23&amp;ReportView=4&amp;Qid=1711245&amp;Row=1874&amp;Col=1","No Title Assigned - #15281582789")</f>
        <v/>
      </c>
      <c r="B1882" s="0" t="s">
        <v>2684</v>
      </c>
      <c r="E1882" s="0" t="s">
        <v>13</v>
      </c>
      <c r="F1882" s="0" t="s">
        <v>13</v>
      </c>
      <c r="G1882" s="0" t="s">
        <v>54</v>
      </c>
      <c r="H1882" s="5">
        <v>15470.229600</v>
      </c>
    </row>
    <row r="1883" spans="1:9">
      <c r="A1883" s="22" t="str">
        <f>HYPERLINK("https://app.vivvix.com/360/KMI/IntelliDrive/ApplUI/Pages/CreativePages/CustomReportCreativeDetail.aspx?App=23&amp;ReportView=4&amp;Qid=1711245&amp;Row=1875&amp;Col=1","No Title Assigned - #15281603434")</f>
        <v/>
      </c>
      <c r="B1883" s="0" t="s">
        <v>2685</v>
      </c>
      <c r="E1883" s="0" t="s">
        <v>13</v>
      </c>
      <c r="F1883" s="0" t="s">
        <v>13</v>
      </c>
      <c r="G1883" s="0" t="s">
        <v>54</v>
      </c>
      <c r="H1883" s="5">
        <v>151.851100</v>
      </c>
    </row>
    <row r="1884" spans="1:9">
      <c r="A1884" s="22" t="str">
        <f>HYPERLINK("https://app.vivvix.com/360/KMI/IntelliDrive/ApplUI/Pages/CreativePages/CustomReportCreativeDetail.aspx?App=23&amp;ReportView=4&amp;Qid=1711245&amp;Row=1876&amp;Col=1","No Title Assigned - #15281609852")</f>
        <v/>
      </c>
      <c r="B1884" s="0" t="s">
        <v>2686</v>
      </c>
      <c r="E1884" s="0" t="s">
        <v>13</v>
      </c>
      <c r="F1884" s="0" t="s">
        <v>13</v>
      </c>
      <c r="G1884" s="0" t="s">
        <v>54</v>
      </c>
      <c r="H1884" s="5">
        <v>23120.216900</v>
      </c>
    </row>
    <row r="1885" spans="1:9">
      <c r="A1885" s="22" t="str">
        <f>HYPERLINK("https://app.vivvix.com/360/KMI/IntelliDrive/ApplUI/Pages/CreativePages/CustomReportCreativeDetail.aspx?App=23&amp;ReportView=4&amp;Qid=1711245&amp;Row=1877&amp;Col=1","No Title Assigned - #15281609853")</f>
        <v/>
      </c>
      <c r="B1885" s="0" t="s">
        <v>2687</v>
      </c>
      <c r="E1885" s="0" t="s">
        <v>13</v>
      </c>
      <c r="F1885" s="0" t="s">
        <v>13</v>
      </c>
      <c r="G1885" s="0" t="s">
        <v>54</v>
      </c>
      <c r="H1885" s="5">
        <v>36531.106600</v>
      </c>
    </row>
    <row r="1886" spans="1:9">
      <c r="A1886" s="22" t="str">
        <f>HYPERLINK("https://app.vivvix.com/360/KMI/IntelliDrive/ApplUI/Pages/CreativePages/CustomReportCreativeDetail.aspx?App=23&amp;ReportView=4&amp;Qid=1711245&amp;Row=1878&amp;Col=1","No Title Assigned - #15281661360")</f>
        <v/>
      </c>
      <c r="B1886" s="0" t="s">
        <v>2688</v>
      </c>
      <c r="E1886" s="0" t="s">
        <v>13</v>
      </c>
      <c r="F1886" s="0" t="s">
        <v>13</v>
      </c>
      <c r="G1886" s="0" t="s">
        <v>54</v>
      </c>
      <c r="H1886" s="5">
        <v>802.017800</v>
      </c>
    </row>
    <row r="1887" spans="1:9">
      <c r="A1887" s="22" t="str">
        <f>HYPERLINK("https://app.vivvix.com/360/KMI/IntelliDrive/ApplUI/Pages/CreativePages/CustomReportCreativeDetail.aspx?App=23&amp;ReportView=4&amp;Qid=1711245&amp;Row=1879&amp;Col=1","No Title Assigned - #15281676445")</f>
        <v/>
      </c>
      <c r="B1887" s="0" t="s">
        <v>2689</v>
      </c>
      <c r="E1887" s="0" t="s">
        <v>13</v>
      </c>
      <c r="F1887" s="0" t="s">
        <v>13</v>
      </c>
      <c r="G1887" s="0" t="s">
        <v>54</v>
      </c>
      <c r="H1887" s="5">
        <v>2444.926500</v>
      </c>
    </row>
    <row r="1888" spans="1:9">
      <c r="A1888" s="22" t="str">
        <f>HYPERLINK("https://app.vivvix.com/360/KMI/IntelliDrive/ApplUI/Pages/CreativePages/CustomReportCreativeDetail.aspx?App=23&amp;ReportView=4&amp;Qid=1711245&amp;Row=1880&amp;Col=1","No Title Assigned - #15281679533")</f>
        <v/>
      </c>
      <c r="B1888" s="0" t="s">
        <v>2690</v>
      </c>
      <c r="E1888" s="0" t="s">
        <v>13</v>
      </c>
      <c r="F1888" s="0" t="s">
        <v>13</v>
      </c>
      <c r="G1888" s="0" t="s">
        <v>54</v>
      </c>
      <c r="H1888" s="5">
        <v>215.833000</v>
      </c>
    </row>
    <row r="1889" spans="1:9">
      <c r="A1889" s="22" t="str">
        <f>HYPERLINK("https://app.vivvix.com/360/KMI/IntelliDrive/ApplUI/Pages/CreativePages/CustomReportCreativeDetail.aspx?App=23&amp;ReportView=4&amp;Qid=1711245&amp;Row=1881&amp;Col=1","No Title Assigned - #15281679551")</f>
        <v/>
      </c>
      <c r="B1889" s="0" t="s">
        <v>2691</v>
      </c>
      <c r="E1889" s="0" t="s">
        <v>13</v>
      </c>
      <c r="F1889" s="0" t="s">
        <v>13</v>
      </c>
      <c r="G1889" s="0" t="s">
        <v>54</v>
      </c>
      <c r="H1889" s="5">
        <v>215.833000</v>
      </c>
    </row>
    <row r="1890" spans="1:9">
      <c r="A1890" s="22" t="str">
        <f>HYPERLINK("https://app.vivvix.com/360/KMI/IntelliDrive/ApplUI/Pages/CreativePages/CustomReportCreativeDetail.aspx?App=23&amp;ReportView=4&amp;Qid=1711245&amp;Row=1882&amp;Col=1","No Title Assigned - #15281681398")</f>
        <v/>
      </c>
      <c r="B1890" s="0" t="s">
        <v>2692</v>
      </c>
      <c r="E1890" s="0" t="s">
        <v>13</v>
      </c>
      <c r="F1890" s="0" t="s">
        <v>13</v>
      </c>
      <c r="G1890" s="0" t="s">
        <v>54</v>
      </c>
      <c r="H1890" s="5">
        <v>151.851100</v>
      </c>
    </row>
    <row r="1891" spans="1:9">
      <c r="A1891" s="22" t="str">
        <f>HYPERLINK("https://app.vivvix.com/360/KMI/IntelliDrive/ApplUI/Pages/CreativePages/CustomReportCreativeDetail.aspx?App=23&amp;ReportView=4&amp;Qid=1711245&amp;Row=1883&amp;Col=1","No Title Assigned - #15281710443")</f>
        <v/>
      </c>
      <c r="B1891" s="0" t="s">
        <v>2693</v>
      </c>
      <c r="E1891" s="0" t="s">
        <v>13</v>
      </c>
      <c r="F1891" s="0" t="s">
        <v>13</v>
      </c>
      <c r="G1891" s="0" t="s">
        <v>54</v>
      </c>
      <c r="H1891" s="5">
        <v>7916.035700</v>
      </c>
    </row>
    <row r="1892" spans="1:9">
      <c r="A1892" s="22" t="str">
        <f>HYPERLINK("https://app.vivvix.com/360/KMI/IntelliDrive/ApplUI/Pages/CreativePages/CustomReportCreativeDetail.aspx?App=23&amp;ReportView=4&amp;Qid=1711245&amp;Row=1884&amp;Col=1","No Title Assigned - #15281713744")</f>
        <v/>
      </c>
      <c r="B1892" s="0" t="s">
        <v>2694</v>
      </c>
      <c r="E1892" s="0" t="s">
        <v>13</v>
      </c>
      <c r="F1892" s="0" t="s">
        <v>13</v>
      </c>
      <c r="G1892" s="0" t="s">
        <v>54</v>
      </c>
      <c r="H1892" s="5">
        <v>10753.301900</v>
      </c>
    </row>
    <row r="1893" spans="1:9">
      <c r="A1893" s="22" t="str">
        <f>HYPERLINK("https://app.vivvix.com/360/KMI/IntelliDrive/ApplUI/Pages/CreativePages/CustomReportCreativeDetail.aspx?App=23&amp;ReportView=4&amp;Qid=1711245&amp;Row=1885&amp;Col=1","No Title Assigned - #15281717444")</f>
        <v/>
      </c>
      <c r="B1893" s="0" t="s">
        <v>2695</v>
      </c>
      <c r="E1893" s="0" t="s">
        <v>13</v>
      </c>
      <c r="F1893" s="0" t="s">
        <v>13</v>
      </c>
      <c r="G1893" s="0" t="s">
        <v>54</v>
      </c>
      <c r="H1893" s="5">
        <v>641.390700</v>
      </c>
    </row>
    <row r="1894" spans="1:9">
      <c r="A1894" s="22" t="str">
        <f>HYPERLINK("https://app.vivvix.com/360/KMI/IntelliDrive/ApplUI/Pages/CreativePages/CustomReportCreativeDetail.aspx?App=23&amp;ReportView=4&amp;Qid=1711245&amp;Row=1886&amp;Col=1","No Title Assigned - #15281728121")</f>
        <v/>
      </c>
      <c r="B1894" s="0" t="s">
        <v>2696</v>
      </c>
      <c r="E1894" s="0" t="s">
        <v>13</v>
      </c>
      <c r="F1894" s="0" t="s">
        <v>13</v>
      </c>
      <c r="G1894" s="0" t="s">
        <v>54</v>
      </c>
      <c r="H1894" s="5">
        <v>6282.015500</v>
      </c>
    </row>
    <row r="1895" spans="1:9">
      <c r="A1895" s="22" t="str">
        <f>HYPERLINK("https://app.vivvix.com/360/KMI/IntelliDrive/ApplUI/Pages/CreativePages/CustomReportCreativeDetail.aspx?App=23&amp;ReportView=4&amp;Qid=1711245&amp;Row=1887&amp;Col=1","No Title Assigned - #15281760288")</f>
        <v/>
      </c>
      <c r="B1895" s="0" t="s">
        <v>2697</v>
      </c>
      <c r="E1895" s="0" t="s">
        <v>13</v>
      </c>
      <c r="F1895" s="0" t="s">
        <v>13</v>
      </c>
      <c r="G1895" s="0" t="s">
        <v>54</v>
      </c>
      <c r="H1895" s="5">
        <v>180.668700</v>
      </c>
    </row>
    <row r="1896" spans="1:9">
      <c r="A1896" s="22" t="str">
        <f>HYPERLINK("https://app.vivvix.com/360/KMI/IntelliDrive/ApplUI/Pages/CreativePages/CustomReportCreativeDetail.aspx?App=23&amp;ReportView=4&amp;Qid=1711245&amp;Row=1888&amp;Col=1","No Title Assigned - #15281768694")</f>
        <v/>
      </c>
      <c r="B1896" s="0" t="s">
        <v>2698</v>
      </c>
      <c r="E1896" s="0" t="s">
        <v>13</v>
      </c>
      <c r="F1896" s="0" t="s">
        <v>13</v>
      </c>
      <c r="G1896" s="0" t="s">
        <v>54</v>
      </c>
      <c r="H1896" s="5">
        <v>191.877400</v>
      </c>
    </row>
    <row r="1897" spans="1:9">
      <c r="A1897" s="22" t="str">
        <f>HYPERLINK("https://app.vivvix.com/360/KMI/IntelliDrive/ApplUI/Pages/CreativePages/CustomReportCreativeDetail.aspx?App=23&amp;ReportView=4&amp;Qid=1711245&amp;Row=1889&amp;Col=1","No Title Assigned - #15281771346")</f>
        <v/>
      </c>
      <c r="B1897" s="0" t="s">
        <v>2699</v>
      </c>
      <c r="C1897" s="0" t="s">
        <v>2700</v>
      </c>
      <c r="D1897" s="0" t="s">
        <v>2700</v>
      </c>
      <c r="E1897" s="0" t="s">
        <v>13</v>
      </c>
      <c r="F1897" s="0" t="s">
        <v>14</v>
      </c>
      <c r="G1897" s="0" t="s">
        <v>15</v>
      </c>
      <c r="H1897" s="5">
        <v>6055.672700</v>
      </c>
    </row>
    <row r="1898" spans="1:9">
      <c r="A1898" s="22" t="str">
        <f>HYPERLINK("https://app.vivvix.com/360/KMI/IntelliDrive/ApplUI/Pages/CreativePages/CustomReportCreativeDetail.aspx?App=23&amp;ReportView=4&amp;Qid=1711245&amp;Row=1890&amp;Col=1","No Title Assigned - #15281817710")</f>
        <v/>
      </c>
      <c r="B1898" s="0" t="s">
        <v>2701</v>
      </c>
      <c r="E1898" s="0" t="s">
        <v>13</v>
      </c>
      <c r="F1898" s="0" t="s">
        <v>13</v>
      </c>
      <c r="G1898" s="0" t="s">
        <v>54</v>
      </c>
      <c r="H1898" s="5">
        <v>1270.123100</v>
      </c>
    </row>
    <row r="1899" spans="1:9">
      <c r="A1899" s="22" t="str">
        <f>HYPERLINK("https://app.vivvix.com/360/KMI/IntelliDrive/ApplUI/Pages/CreativePages/CustomReportCreativeDetail.aspx?App=23&amp;ReportView=4&amp;Qid=1711245&amp;Row=1891&amp;Col=1","No Title Assigned - #15281817718")</f>
        <v/>
      </c>
      <c r="B1899" s="0" t="s">
        <v>2702</v>
      </c>
      <c r="E1899" s="0" t="s">
        <v>13</v>
      </c>
      <c r="F1899" s="0" t="s">
        <v>13</v>
      </c>
      <c r="G1899" s="0" t="s">
        <v>54</v>
      </c>
      <c r="H1899" s="5">
        <v>944.961400</v>
      </c>
    </row>
    <row r="1900" spans="1:9">
      <c r="A1900" s="22" t="str">
        <f>HYPERLINK("https://app.vivvix.com/360/KMI/IntelliDrive/ApplUI/Pages/CreativePages/CustomReportCreativeDetail.aspx?App=23&amp;ReportView=4&amp;Qid=1711245&amp;Row=1892&amp;Col=1","No Title Assigned - #15281818570")</f>
        <v/>
      </c>
      <c r="B1900" s="0" t="s">
        <v>2703</v>
      </c>
      <c r="E1900" s="0" t="s">
        <v>13</v>
      </c>
      <c r="F1900" s="0" t="s">
        <v>13</v>
      </c>
      <c r="G1900" s="0" t="s">
        <v>54</v>
      </c>
      <c r="H1900" s="5">
        <v>702.215900</v>
      </c>
    </row>
    <row r="1901" spans="1:9">
      <c r="A1901" s="22" t="str">
        <f>HYPERLINK("https://app.vivvix.com/360/KMI/IntelliDrive/ApplUI/Pages/CreativePages/CustomReportCreativeDetail.aspx?App=23&amp;ReportView=4&amp;Qid=1711245&amp;Row=1893&amp;Col=1","No Title Assigned - #15281818583")</f>
        <v/>
      </c>
      <c r="B1901" s="0" t="s">
        <v>2704</v>
      </c>
      <c r="E1901" s="0" t="s">
        <v>13</v>
      </c>
      <c r="F1901" s="0" t="s">
        <v>13</v>
      </c>
      <c r="G1901" s="0" t="s">
        <v>54</v>
      </c>
      <c r="H1901" s="5">
        <v>258.653200</v>
      </c>
    </row>
    <row r="1902" spans="1:9">
      <c r="A1902" s="22" t="str">
        <f>HYPERLINK("https://app.vivvix.com/360/KMI/IntelliDrive/ApplUI/Pages/CreativePages/CustomReportCreativeDetail.aspx?App=23&amp;ReportView=4&amp;Qid=1711245&amp;Row=1894&amp;Col=1","No Title Assigned - #15281867143")</f>
        <v/>
      </c>
      <c r="B1902" s="0" t="s">
        <v>2705</v>
      </c>
      <c r="C1902" s="0" t="s">
        <v>2706</v>
      </c>
      <c r="D1902" s="0" t="s">
        <v>2706</v>
      </c>
      <c r="E1902" s="0" t="s">
        <v>13</v>
      </c>
      <c r="F1902" s="0" t="s">
        <v>13</v>
      </c>
      <c r="G1902" s="0" t="s">
        <v>35</v>
      </c>
      <c r="H1902" s="5">
        <v>10641.961400</v>
      </c>
    </row>
    <row r="1903" spans="1:9">
      <c r="A1903" s="22" t="str">
        <f>HYPERLINK("https://app.vivvix.com/360/KMI/IntelliDrive/ApplUI/Pages/CreativePages/CustomReportCreativeDetail.aspx?App=23&amp;ReportView=4&amp;Qid=1711245&amp;Row=1895&amp;Col=1","No Title Assigned - #15281867819")</f>
        <v/>
      </c>
      <c r="B1903" s="0" t="s">
        <v>2707</v>
      </c>
      <c r="E1903" s="0" t="s">
        <v>13</v>
      </c>
      <c r="F1903" s="0" t="s">
        <v>13</v>
      </c>
      <c r="G1903" s="0" t="s">
        <v>54</v>
      </c>
      <c r="H1903" s="5">
        <v>120.872800</v>
      </c>
    </row>
    <row r="1904" spans="1:9">
      <c r="A1904" s="22" t="str">
        <f>HYPERLINK("https://app.vivvix.com/360/KMI/IntelliDrive/ApplUI/Pages/CreativePages/CustomReportCreativeDetail.aspx?App=23&amp;ReportView=4&amp;Qid=1711245&amp;Row=1896&amp;Col=1","No Title Assigned - #15281874721")</f>
        <v/>
      </c>
      <c r="B1904" s="0" t="s">
        <v>2708</v>
      </c>
      <c r="E1904" s="0" t="s">
        <v>13</v>
      </c>
      <c r="F1904" s="0" t="s">
        <v>13</v>
      </c>
      <c r="G1904" s="0" t="s">
        <v>54</v>
      </c>
      <c r="H1904" s="5">
        <v>4492.758500</v>
      </c>
    </row>
    <row r="1905" spans="1:9">
      <c r="A1905" s="22" t="str">
        <f>HYPERLINK("https://app.vivvix.com/360/KMI/IntelliDrive/ApplUI/Pages/CreativePages/CustomReportCreativeDetail.aspx?App=23&amp;ReportView=4&amp;Qid=1711245&amp;Row=1897&amp;Col=1","No Title Assigned - #15281880856")</f>
        <v/>
      </c>
      <c r="B1905" s="0" t="s">
        <v>2709</v>
      </c>
      <c r="E1905" s="0" t="s">
        <v>13</v>
      </c>
      <c r="F1905" s="0" t="s">
        <v>13</v>
      </c>
      <c r="G1905" s="0" t="s">
        <v>54</v>
      </c>
      <c r="H1905" s="5">
        <v>18377.483900</v>
      </c>
    </row>
    <row r="1906" spans="1:9">
      <c r="A1906" s="22" t="str">
        <f>HYPERLINK("https://app.vivvix.com/360/KMI/IntelliDrive/ApplUI/Pages/CreativePages/CustomReportCreativeDetail.aspx?App=23&amp;ReportView=4&amp;Qid=1711245&amp;Row=1898&amp;Col=1","No Title Assigned - #15281903416")</f>
        <v/>
      </c>
      <c r="B1906" s="0" t="s">
        <v>2710</v>
      </c>
      <c r="C1906" s="0" t="s">
        <v>2711</v>
      </c>
      <c r="D1906" s="0" t="s">
        <v>1660</v>
      </c>
      <c r="E1906" s="0" t="s">
        <v>13</v>
      </c>
      <c r="F1906" s="0" t="s">
        <v>128</v>
      </c>
      <c r="G1906" s="0" t="s">
        <v>456</v>
      </c>
      <c r="H1906" s="5">
        <v>606.489200</v>
      </c>
    </row>
    <row r="1907" spans="1:9">
      <c r="A1907" s="22" t="str">
        <f>HYPERLINK("https://app.vivvix.com/360/KMI/IntelliDrive/ApplUI/Pages/CreativePages/CustomReportCreativeDetail.aspx?App=23&amp;ReportView=4&amp;Qid=1711245&amp;Row=1899&amp;Col=1","No Title Assigned - #15281918233")</f>
        <v/>
      </c>
      <c r="B1907" s="0" t="s">
        <v>2712</v>
      </c>
      <c r="C1907" s="0" t="s">
        <v>2713</v>
      </c>
      <c r="D1907" s="0" t="s">
        <v>2713</v>
      </c>
      <c r="E1907" s="0" t="s">
        <v>13</v>
      </c>
      <c r="F1907" s="0" t="s">
        <v>13</v>
      </c>
      <c r="G1907" s="0" t="s">
        <v>35</v>
      </c>
      <c r="H1907" s="5">
        <v>3651.708100</v>
      </c>
    </row>
    <row r="1908" spans="1:9">
      <c r="A1908" s="22" t="str">
        <f>HYPERLINK("https://app.vivvix.com/360/KMI/IntelliDrive/ApplUI/Pages/CreativePages/CustomReportCreativeDetail.aspx?App=23&amp;ReportView=4&amp;Qid=1711245&amp;Row=1900&amp;Col=1","No Title Assigned - #15281927227")</f>
        <v/>
      </c>
      <c r="B1908" s="0" t="s">
        <v>2714</v>
      </c>
      <c r="E1908" s="0" t="s">
        <v>13</v>
      </c>
      <c r="F1908" s="0" t="s">
        <v>13</v>
      </c>
      <c r="G1908" s="0" t="s">
        <v>54</v>
      </c>
      <c r="H1908" s="5">
        <v>1773.672700</v>
      </c>
    </row>
    <row r="1909" spans="1:9">
      <c r="A1909" s="22" t="str">
        <f>HYPERLINK("https://app.vivvix.com/360/KMI/IntelliDrive/ApplUI/Pages/CreativePages/CustomReportCreativeDetail.aspx?App=23&amp;ReportView=4&amp;Qid=1711245&amp;Row=1901&amp;Col=1","No Title Assigned - #15281927593")</f>
        <v/>
      </c>
      <c r="B1909" s="0" t="s">
        <v>2715</v>
      </c>
      <c r="E1909" s="0" t="s">
        <v>13</v>
      </c>
      <c r="F1909" s="0" t="s">
        <v>13</v>
      </c>
      <c r="G1909" s="0" t="s">
        <v>54</v>
      </c>
      <c r="H1909" s="5">
        <v>3794.540600</v>
      </c>
    </row>
    <row r="1910" spans="1:9">
      <c r="A1910" s="22" t="str">
        <f>HYPERLINK("https://app.vivvix.com/360/KMI/IntelliDrive/ApplUI/Pages/CreativePages/CustomReportCreativeDetail.aspx?App=23&amp;ReportView=4&amp;Qid=1711245&amp;Row=1902&amp;Col=1","No Title Assigned - #15281968425")</f>
        <v/>
      </c>
      <c r="B1910" s="0" t="s">
        <v>2716</v>
      </c>
      <c r="E1910" s="0" t="s">
        <v>13</v>
      </c>
      <c r="F1910" s="0" t="s">
        <v>13</v>
      </c>
      <c r="G1910" s="0" t="s">
        <v>54</v>
      </c>
      <c r="H1910" s="5">
        <v>23584.665400</v>
      </c>
    </row>
    <row r="1911" spans="1:9">
      <c r="A1911" s="22" t="str">
        <f>HYPERLINK("https://app.vivvix.com/360/KMI/IntelliDrive/ApplUI/Pages/CreativePages/CustomReportCreativeDetail.aspx?App=23&amp;ReportView=4&amp;Qid=1711245&amp;Row=1903&amp;Col=1","No Title Assigned - #15281977282")</f>
        <v/>
      </c>
      <c r="B1911" s="0" t="s">
        <v>2717</v>
      </c>
      <c r="E1911" s="0" t="s">
        <v>13</v>
      </c>
      <c r="F1911" s="0" t="s">
        <v>13</v>
      </c>
      <c r="G1911" s="0" t="s">
        <v>54</v>
      </c>
      <c r="H1911" s="5">
        <v>13772.456000</v>
      </c>
    </row>
    <row r="1912" spans="1:9">
      <c r="A1912" s="22" t="str">
        <f>HYPERLINK("https://app.vivvix.com/360/KMI/IntelliDrive/ApplUI/Pages/CreativePages/CustomReportCreativeDetail.aspx?App=23&amp;ReportView=4&amp;Qid=1711245&amp;Row=1904&amp;Col=1","No Title Assigned - #15282005518")</f>
        <v/>
      </c>
      <c r="B1912" s="0" t="s">
        <v>2718</v>
      </c>
      <c r="E1912" s="0" t="s">
        <v>13</v>
      </c>
      <c r="F1912" s="0" t="s">
        <v>13</v>
      </c>
      <c r="G1912" s="0" t="s">
        <v>54</v>
      </c>
      <c r="H1912" s="5">
        <v>228.004100</v>
      </c>
    </row>
    <row r="1913" spans="1:9">
      <c r="A1913" s="22" t="str">
        <f>HYPERLINK("https://app.vivvix.com/360/KMI/IntelliDrive/ApplUI/Pages/CreativePages/CustomReportCreativeDetail.aspx?App=23&amp;ReportView=4&amp;Qid=1711245&amp;Row=1905&amp;Col=1","No Title Assigned - #15282028710")</f>
        <v/>
      </c>
      <c r="B1913" s="0" t="s">
        <v>2719</v>
      </c>
      <c r="C1913" s="0" t="s">
        <v>2720</v>
      </c>
      <c r="D1913" s="0" t="s">
        <v>2720</v>
      </c>
      <c r="E1913" s="0" t="s">
        <v>13</v>
      </c>
      <c r="F1913" s="0" t="s">
        <v>14</v>
      </c>
      <c r="G1913" s="0" t="s">
        <v>15</v>
      </c>
      <c r="H1913" s="5">
        <v>41584.175200</v>
      </c>
    </row>
    <row r="1914" spans="1:9">
      <c r="A1914" s="22" t="str">
        <f>HYPERLINK("https://app.vivvix.com/360/KMI/IntelliDrive/ApplUI/Pages/CreativePages/CustomReportCreativeDetail.aspx?App=23&amp;ReportView=4&amp;Qid=1711245&amp;Row=1906&amp;Col=1","No Title Assigned - #15282041313")</f>
        <v/>
      </c>
      <c r="B1914" s="0" t="s">
        <v>2721</v>
      </c>
      <c r="C1914" s="0" t="s">
        <v>2722</v>
      </c>
      <c r="D1914" s="0" t="s">
        <v>2722</v>
      </c>
      <c r="E1914" s="0" t="s">
        <v>13</v>
      </c>
      <c r="F1914" s="0" t="s">
        <v>530</v>
      </c>
      <c r="G1914" s="0" t="s">
        <v>531</v>
      </c>
      <c r="H1914" s="5">
        <v>671.074200</v>
      </c>
    </row>
    <row r="1915" spans="1:9">
      <c r="A1915" s="22" t="str">
        <f>HYPERLINK("https://app.vivvix.com/360/KMI/IntelliDrive/ApplUI/Pages/CreativePages/CustomReportCreativeDetail.aspx?App=23&amp;ReportView=4&amp;Qid=1711245&amp;Row=1907&amp;Col=1","No Title Assigned - #15282043225")</f>
        <v/>
      </c>
      <c r="B1915" s="0" t="s">
        <v>2723</v>
      </c>
      <c r="E1915" s="0" t="s">
        <v>13</v>
      </c>
      <c r="F1915" s="0" t="s">
        <v>13</v>
      </c>
      <c r="G1915" s="0" t="s">
        <v>54</v>
      </c>
      <c r="H1915" s="5">
        <v>501.813000</v>
      </c>
    </row>
    <row r="1916" spans="1:9">
      <c r="A1916" s="22" t="str">
        <f>HYPERLINK("https://app.vivvix.com/360/KMI/IntelliDrive/ApplUI/Pages/CreativePages/CustomReportCreativeDetail.aspx?App=23&amp;ReportView=4&amp;Qid=1711245&amp;Row=1908&amp;Col=1","No Title Assigned - #15282044292")</f>
        <v/>
      </c>
      <c r="B1916" s="0" t="s">
        <v>2724</v>
      </c>
      <c r="C1916" s="0" t="s">
        <v>2725</v>
      </c>
      <c r="D1916" s="0" t="s">
        <v>2725</v>
      </c>
      <c r="E1916" s="0" t="s">
        <v>13</v>
      </c>
      <c r="F1916" s="0" t="s">
        <v>14</v>
      </c>
      <c r="G1916" s="0" t="s">
        <v>15</v>
      </c>
      <c r="H1916" s="5">
        <v>516.261100</v>
      </c>
    </row>
    <row r="1917" spans="1:9">
      <c r="A1917" s="22" t="str">
        <f>HYPERLINK("https://app.vivvix.com/360/KMI/IntelliDrive/ApplUI/Pages/CreativePages/CustomReportCreativeDetail.aspx?App=23&amp;ReportView=4&amp;Qid=1711245&amp;Row=1909&amp;Col=1","No Title Assigned - #15282044556")</f>
        <v/>
      </c>
      <c r="B1917" s="0" t="s">
        <v>2726</v>
      </c>
      <c r="E1917" s="0" t="s">
        <v>13</v>
      </c>
      <c r="F1917" s="0" t="s">
        <v>13</v>
      </c>
      <c r="G1917" s="0" t="s">
        <v>54</v>
      </c>
      <c r="H1917" s="5">
        <v>124.772500</v>
      </c>
    </row>
    <row r="1918" spans="1:9">
      <c r="A1918" s="22" t="str">
        <f>HYPERLINK("https://app.vivvix.com/360/KMI/IntelliDrive/ApplUI/Pages/CreativePages/CustomReportCreativeDetail.aspx?App=23&amp;ReportView=4&amp;Qid=1711245&amp;Row=1910&amp;Col=1","No Title Assigned - #15282053653")</f>
        <v/>
      </c>
      <c r="B1918" s="0" t="s">
        <v>2727</v>
      </c>
      <c r="E1918" s="0" t="s">
        <v>13</v>
      </c>
      <c r="F1918" s="0" t="s">
        <v>13</v>
      </c>
      <c r="G1918" s="0" t="s">
        <v>54</v>
      </c>
      <c r="H1918" s="5">
        <v>120.872800</v>
      </c>
    </row>
    <row r="1919" spans="1:9">
      <c r="A1919" s="22" t="str">
        <f>HYPERLINK("https://app.vivvix.com/360/KMI/IntelliDrive/ApplUI/Pages/CreativePages/CustomReportCreativeDetail.aspx?App=23&amp;ReportView=4&amp;Qid=1711245&amp;Row=1911&amp;Col=1","No Title Assigned - #15282073228")</f>
        <v/>
      </c>
      <c r="B1919" s="0" t="s">
        <v>2728</v>
      </c>
      <c r="C1919" s="0" t="s">
        <v>2729</v>
      </c>
      <c r="D1919" s="0" t="s">
        <v>2729</v>
      </c>
      <c r="E1919" s="0" t="s">
        <v>13</v>
      </c>
      <c r="F1919" s="0" t="s">
        <v>540</v>
      </c>
      <c r="G1919" s="0" t="s">
        <v>541</v>
      </c>
      <c r="H1919" s="5">
        <v>5788.123800</v>
      </c>
    </row>
    <row r="1920" spans="1:9">
      <c r="A1920" s="22" t="str">
        <f>HYPERLINK("https://app.vivvix.com/360/KMI/IntelliDrive/ApplUI/Pages/CreativePages/CustomReportCreativeDetail.aspx?App=23&amp;ReportView=4&amp;Qid=1711245&amp;Row=1912&amp;Col=1","No Title Assigned - #15282080721")</f>
        <v/>
      </c>
      <c r="B1920" s="0" t="s">
        <v>2730</v>
      </c>
      <c r="C1920" s="0" t="s">
        <v>2731</v>
      </c>
      <c r="D1920" s="0" t="s">
        <v>2731</v>
      </c>
      <c r="E1920" s="0" t="s">
        <v>13</v>
      </c>
      <c r="F1920" s="0" t="s">
        <v>14</v>
      </c>
      <c r="G1920" s="0" t="s">
        <v>15</v>
      </c>
      <c r="H1920" s="5">
        <v>9413.852100</v>
      </c>
    </row>
    <row r="1921" spans="1:9">
      <c r="A1921" s="22" t="str">
        <f>HYPERLINK("https://app.vivvix.com/360/KMI/IntelliDrive/ApplUI/Pages/CreativePages/CustomReportCreativeDetail.aspx?App=23&amp;ReportView=4&amp;Qid=1711245&amp;Row=1913&amp;Col=1","No Title Assigned - #15282095157")</f>
        <v/>
      </c>
      <c r="B1921" s="0" t="s">
        <v>2732</v>
      </c>
      <c r="E1921" s="0" t="s">
        <v>13</v>
      </c>
      <c r="F1921" s="0" t="s">
        <v>13</v>
      </c>
      <c r="G1921" s="0" t="s">
        <v>54</v>
      </c>
      <c r="H1921" s="5">
        <v>2582.373500</v>
      </c>
    </row>
    <row r="1922" spans="1:9">
      <c r="A1922" s="22" t="str">
        <f>HYPERLINK("https://app.vivvix.com/360/KMI/IntelliDrive/ApplUI/Pages/CreativePages/CustomReportCreativeDetail.aspx?App=23&amp;ReportView=4&amp;Qid=1711245&amp;Row=1914&amp;Col=1","No Title Assigned - #15282139631")</f>
        <v/>
      </c>
      <c r="B1922" s="0" t="s">
        <v>2733</v>
      </c>
      <c r="C1922" s="0" t="s">
        <v>2734</v>
      </c>
      <c r="D1922" s="0" t="s">
        <v>2734</v>
      </c>
      <c r="E1922" s="0" t="s">
        <v>13</v>
      </c>
      <c r="F1922" s="0" t="s">
        <v>540</v>
      </c>
      <c r="G1922" s="0" t="s">
        <v>541</v>
      </c>
      <c r="H1922" s="5">
        <v>6680.470700</v>
      </c>
    </row>
    <row r="1923" spans="1:9">
      <c r="A1923" s="22" t="str">
        <f>HYPERLINK("https://app.vivvix.com/360/KMI/IntelliDrive/ApplUI/Pages/CreativePages/CustomReportCreativeDetail.aspx?App=23&amp;ReportView=4&amp;Qid=1711245&amp;Row=1915&amp;Col=1","No Title Assigned - #15282144659")</f>
        <v/>
      </c>
      <c r="B1923" s="0" t="s">
        <v>2735</v>
      </c>
      <c r="C1923" s="0" t="s">
        <v>2736</v>
      </c>
      <c r="D1923" s="0" t="s">
        <v>2736</v>
      </c>
      <c r="E1923" s="0" t="s">
        <v>13</v>
      </c>
      <c r="F1923" s="0" t="s">
        <v>28</v>
      </c>
      <c r="G1923" s="0" t="s">
        <v>453</v>
      </c>
      <c r="H1923" s="5">
        <v>399.644600</v>
      </c>
    </row>
    <row r="1924" spans="1:9">
      <c r="A1924" s="22" t="str">
        <f>HYPERLINK("https://app.vivvix.com/360/KMI/IntelliDrive/ApplUI/Pages/CreativePages/CustomReportCreativeDetail.aspx?App=23&amp;ReportView=4&amp;Qid=1711245&amp;Row=1916&amp;Col=1","No Title Assigned - #15282145340")</f>
        <v/>
      </c>
      <c r="B1924" s="0" t="s">
        <v>2737</v>
      </c>
      <c r="C1924" s="0" t="s">
        <v>2738</v>
      </c>
      <c r="D1924" s="0" t="s">
        <v>1771</v>
      </c>
      <c r="E1924" s="0" t="s">
        <v>13</v>
      </c>
      <c r="F1924" s="0" t="s">
        <v>14</v>
      </c>
      <c r="G1924" s="0" t="s">
        <v>15</v>
      </c>
      <c r="H1924" s="5">
        <v>10884.826300</v>
      </c>
    </row>
    <row r="1925" spans="1:9">
      <c r="A1925" s="22" t="str">
        <f>HYPERLINK("https://app.vivvix.com/360/KMI/IntelliDrive/ApplUI/Pages/CreativePages/CustomReportCreativeDetail.aspx?App=23&amp;ReportView=4&amp;Qid=1711245&amp;Row=1917&amp;Col=1","No Title Assigned - #15282159435")</f>
        <v/>
      </c>
      <c r="B1925" s="0" t="s">
        <v>2739</v>
      </c>
      <c r="E1925" s="0" t="s">
        <v>13</v>
      </c>
      <c r="F1925" s="0" t="s">
        <v>13</v>
      </c>
      <c r="G1925" s="0" t="s">
        <v>54</v>
      </c>
      <c r="H1925" s="5">
        <v>480.854600</v>
      </c>
    </row>
    <row r="1926" spans="1:9">
      <c r="A1926" s="22" t="str">
        <f>HYPERLINK("https://app.vivvix.com/360/KMI/IntelliDrive/ApplUI/Pages/CreativePages/CustomReportCreativeDetail.aspx?App=23&amp;ReportView=4&amp;Qid=1711245&amp;Row=1918&amp;Col=1","No Title Assigned - #15282172542")</f>
        <v/>
      </c>
      <c r="B1926" s="0" t="s">
        <v>2740</v>
      </c>
      <c r="C1926" s="0" t="s">
        <v>2741</v>
      </c>
      <c r="D1926" s="0" t="s">
        <v>2741</v>
      </c>
      <c r="E1926" s="0" t="s">
        <v>13</v>
      </c>
      <c r="F1926" s="0" t="s">
        <v>540</v>
      </c>
      <c r="G1926" s="0" t="s">
        <v>541</v>
      </c>
      <c r="H1926" s="5">
        <v>4200.361400</v>
      </c>
    </row>
    <row r="1927" spans="1:9">
      <c r="A1927" s="22" t="str">
        <f>HYPERLINK("https://app.vivvix.com/360/KMI/IntelliDrive/ApplUI/Pages/CreativePages/CustomReportCreativeDetail.aspx?App=23&amp;ReportView=4&amp;Qid=1711245&amp;Row=1919&amp;Col=1","No Title Assigned - #15282177210")</f>
        <v/>
      </c>
      <c r="B1927" s="0" t="s">
        <v>2742</v>
      </c>
      <c r="E1927" s="0" t="s">
        <v>13</v>
      </c>
      <c r="F1927" s="0" t="s">
        <v>13</v>
      </c>
      <c r="G1927" s="0" t="s">
        <v>54</v>
      </c>
      <c r="H1927" s="5">
        <v>527.481700</v>
      </c>
    </row>
    <row r="1928" spans="1:9">
      <c r="A1928" s="22" t="str">
        <f>HYPERLINK("https://app.vivvix.com/360/KMI/IntelliDrive/ApplUI/Pages/CreativePages/CustomReportCreativeDetail.aspx?App=23&amp;ReportView=4&amp;Qid=1711245&amp;Row=1920&amp;Col=1","No Title Assigned - #15282186359")</f>
        <v/>
      </c>
      <c r="B1928" s="0" t="s">
        <v>2743</v>
      </c>
      <c r="C1928" s="0" t="s">
        <v>2744</v>
      </c>
      <c r="D1928" s="0" t="s">
        <v>2744</v>
      </c>
      <c r="E1928" s="0" t="s">
        <v>13</v>
      </c>
      <c r="F1928" s="0" t="s">
        <v>540</v>
      </c>
      <c r="G1928" s="0" t="s">
        <v>541</v>
      </c>
      <c r="H1928" s="5">
        <v>1991.145900</v>
      </c>
    </row>
    <row r="1929" spans="1:9">
      <c r="A1929" s="22" t="str">
        <f>HYPERLINK("https://app.vivvix.com/360/KMI/IntelliDrive/ApplUI/Pages/CreativePages/CustomReportCreativeDetail.aspx?App=23&amp;ReportView=4&amp;Qid=1711245&amp;Row=1921&amp;Col=1","No Title Assigned - #15282195574")</f>
        <v/>
      </c>
      <c r="B1929" s="0" t="s">
        <v>2745</v>
      </c>
      <c r="E1929" s="0" t="s">
        <v>13</v>
      </c>
      <c r="F1929" s="0" t="s">
        <v>13</v>
      </c>
      <c r="G1929" s="0" t="s">
        <v>54</v>
      </c>
      <c r="H1929" s="5">
        <v>181.623800</v>
      </c>
    </row>
    <row r="1930" spans="1:9">
      <c r="A1930" s="22" t="str">
        <f>HYPERLINK("https://app.vivvix.com/360/KMI/IntelliDrive/ApplUI/Pages/CreativePages/CustomReportCreativeDetail.aspx?App=23&amp;ReportView=4&amp;Qid=1711245&amp;Row=1922&amp;Col=1","No Title Assigned - #15282222584")</f>
        <v/>
      </c>
      <c r="B1930" s="0" t="s">
        <v>2746</v>
      </c>
      <c r="E1930" s="0" t="s">
        <v>13</v>
      </c>
      <c r="F1930" s="0" t="s">
        <v>13</v>
      </c>
      <c r="G1930" s="0" t="s">
        <v>54</v>
      </c>
      <c r="H1930" s="5">
        <v>181.623800</v>
      </c>
    </row>
    <row r="1931" spans="1:9">
      <c r="A1931" s="22" t="str">
        <f>HYPERLINK("https://app.vivvix.com/360/KMI/IntelliDrive/ApplUI/Pages/CreativePages/CustomReportCreativeDetail.aspx?App=23&amp;ReportView=4&amp;Qid=1711245&amp;Row=1923&amp;Col=1","No Title Assigned - #15282232817")</f>
        <v/>
      </c>
      <c r="B1931" s="0" t="s">
        <v>2747</v>
      </c>
      <c r="C1931" s="0" t="s">
        <v>2748</v>
      </c>
      <c r="D1931" s="0" t="s">
        <v>2748</v>
      </c>
      <c r="E1931" s="0" t="s">
        <v>13</v>
      </c>
      <c r="F1931" s="0" t="s">
        <v>14</v>
      </c>
      <c r="G1931" s="0" t="s">
        <v>15</v>
      </c>
      <c r="H1931" s="5">
        <v>5638.434300</v>
      </c>
    </row>
    <row r="1932" spans="1:9">
      <c r="A1932" s="22" t="str">
        <f>HYPERLINK("https://app.vivvix.com/360/KMI/IntelliDrive/ApplUI/Pages/CreativePages/CustomReportCreativeDetail.aspx?App=23&amp;ReportView=4&amp;Qid=1711245&amp;Row=1924&amp;Col=1","No Title Assigned - #15282241126")</f>
        <v/>
      </c>
      <c r="B1932" s="0" t="s">
        <v>2749</v>
      </c>
      <c r="E1932" s="0" t="s">
        <v>13</v>
      </c>
      <c r="F1932" s="0" t="s">
        <v>13</v>
      </c>
      <c r="G1932" s="0" t="s">
        <v>54</v>
      </c>
      <c r="H1932" s="5">
        <v>20392.626100</v>
      </c>
    </row>
    <row r="1933" spans="1:9">
      <c r="A1933" s="22" t="str">
        <f>HYPERLINK("https://app.vivvix.com/360/KMI/IntelliDrive/ApplUI/Pages/CreativePages/CustomReportCreativeDetail.aspx?App=23&amp;ReportView=4&amp;Qid=1711245&amp;Row=1925&amp;Col=1","No Title Assigned - #15282241249")</f>
        <v/>
      </c>
      <c r="B1933" s="0" t="s">
        <v>2750</v>
      </c>
      <c r="E1933" s="0" t="s">
        <v>13</v>
      </c>
      <c r="F1933" s="0" t="s">
        <v>13</v>
      </c>
      <c r="G1933" s="0" t="s">
        <v>54</v>
      </c>
      <c r="H1933" s="5">
        <v>2582.373500</v>
      </c>
    </row>
    <row r="1934" spans="1:9">
      <c r="A1934" s="22" t="str">
        <f>HYPERLINK("https://app.vivvix.com/360/KMI/IntelliDrive/ApplUI/Pages/CreativePages/CustomReportCreativeDetail.aspx?App=23&amp;ReportView=4&amp;Qid=1711245&amp;Row=1926&amp;Col=1","No Title Assigned - #15282246329")</f>
        <v/>
      </c>
      <c r="B1934" s="0" t="s">
        <v>2751</v>
      </c>
      <c r="E1934" s="0" t="s">
        <v>13</v>
      </c>
      <c r="F1934" s="0" t="s">
        <v>13</v>
      </c>
      <c r="G1934" s="0" t="s">
        <v>54</v>
      </c>
      <c r="H1934" s="5">
        <v>781.822600</v>
      </c>
    </row>
    <row r="1935" spans="1:9">
      <c r="A1935" s="22" t="str">
        <f>HYPERLINK("https://app.vivvix.com/360/KMI/IntelliDrive/ApplUI/Pages/CreativePages/CustomReportCreativeDetail.aspx?App=23&amp;ReportView=4&amp;Qid=1711245&amp;Row=1927&amp;Col=1","No Title Assigned - #15282246527")</f>
        <v/>
      </c>
      <c r="B1935" s="0" t="s">
        <v>2752</v>
      </c>
      <c r="E1935" s="0" t="s">
        <v>13</v>
      </c>
      <c r="F1935" s="0" t="s">
        <v>13</v>
      </c>
      <c r="G1935" s="0" t="s">
        <v>54</v>
      </c>
      <c r="H1935" s="5">
        <v>3893.173500</v>
      </c>
    </row>
    <row r="1936" spans="1:9">
      <c r="A1936" s="22" t="str">
        <f>HYPERLINK("https://app.vivvix.com/360/KMI/IntelliDrive/ApplUI/Pages/CreativePages/CustomReportCreativeDetail.aspx?App=23&amp;ReportView=4&amp;Qid=1711245&amp;Row=1928&amp;Col=1","No Title Assigned - #15282264556")</f>
        <v/>
      </c>
      <c r="B1936" s="0" t="s">
        <v>2753</v>
      </c>
      <c r="E1936" s="0" t="s">
        <v>13</v>
      </c>
      <c r="F1936" s="0" t="s">
        <v>13</v>
      </c>
      <c r="G1936" s="0" t="s">
        <v>54</v>
      </c>
      <c r="H1936" s="5">
        <v>1130.213300</v>
      </c>
    </row>
    <row r="1937" spans="1:9">
      <c r="A1937" s="22" t="str">
        <f>HYPERLINK("https://app.vivvix.com/360/KMI/IntelliDrive/ApplUI/Pages/CreativePages/CustomReportCreativeDetail.aspx?App=23&amp;ReportView=4&amp;Qid=1711245&amp;Row=1929&amp;Col=1","No Title Assigned - #15282278922")</f>
        <v/>
      </c>
      <c r="B1937" s="0" t="s">
        <v>2754</v>
      </c>
      <c r="E1937" s="0" t="s">
        <v>13</v>
      </c>
      <c r="F1937" s="0" t="s">
        <v>13</v>
      </c>
      <c r="G1937" s="0" t="s">
        <v>54</v>
      </c>
      <c r="H1937" s="5">
        <v>48232.340000</v>
      </c>
    </row>
    <row r="1938" spans="1:9">
      <c r="A1938" s="22" t="str">
        <f>HYPERLINK("https://app.vivvix.com/360/KMI/IntelliDrive/ApplUI/Pages/CreativePages/CustomReportCreativeDetail.aspx?App=23&amp;ReportView=4&amp;Qid=1711245&amp;Row=1930&amp;Col=1","No Title Assigned - #15282283151")</f>
        <v/>
      </c>
      <c r="B1938" s="0" t="s">
        <v>2755</v>
      </c>
      <c r="C1938" s="0" t="s">
        <v>2756</v>
      </c>
      <c r="D1938" s="0" t="s">
        <v>2756</v>
      </c>
      <c r="E1938" s="0" t="s">
        <v>13</v>
      </c>
      <c r="F1938" s="0" t="s">
        <v>540</v>
      </c>
      <c r="G1938" s="0" t="s">
        <v>541</v>
      </c>
      <c r="H1938" s="5">
        <v>5700.886900</v>
      </c>
    </row>
    <row r="1939" spans="1:9">
      <c r="A1939" s="22" t="str">
        <f>HYPERLINK("https://app.vivvix.com/360/KMI/IntelliDrive/ApplUI/Pages/CreativePages/CustomReportCreativeDetail.aspx?App=23&amp;ReportView=4&amp;Qid=1711245&amp;Row=1931&amp;Col=1","No Title Assigned - #15282283323")</f>
        <v/>
      </c>
      <c r="B1939" s="0" t="s">
        <v>2757</v>
      </c>
      <c r="E1939" s="0" t="s">
        <v>13</v>
      </c>
      <c r="F1939" s="0" t="s">
        <v>13</v>
      </c>
      <c r="G1939" s="0" t="s">
        <v>54</v>
      </c>
      <c r="H1939" s="5">
        <v>10.253600</v>
      </c>
    </row>
    <row r="1940" spans="1:9">
      <c r="A1940" s="22" t="str">
        <f>HYPERLINK("https://app.vivvix.com/360/KMI/IntelliDrive/ApplUI/Pages/CreativePages/CustomReportCreativeDetail.aspx?App=23&amp;ReportView=4&amp;Qid=1711245&amp;Row=1932&amp;Col=1","No Title Assigned - #15282283575")</f>
        <v/>
      </c>
      <c r="B1940" s="0" t="s">
        <v>2758</v>
      </c>
      <c r="C1940" s="0" t="s">
        <v>2759</v>
      </c>
      <c r="D1940" s="0" t="s">
        <v>1812</v>
      </c>
      <c r="E1940" s="0" t="s">
        <v>13</v>
      </c>
      <c r="F1940" s="0" t="s">
        <v>530</v>
      </c>
      <c r="G1940" s="0" t="s">
        <v>531</v>
      </c>
      <c r="H1940" s="5">
        <v>178.467900</v>
      </c>
    </row>
    <row r="1941" spans="1:9">
      <c r="A1941" s="22" t="str">
        <f>HYPERLINK("https://app.vivvix.com/360/KMI/IntelliDrive/ApplUI/Pages/CreativePages/CustomReportCreativeDetail.aspx?App=23&amp;ReportView=4&amp;Qid=1711245&amp;Row=1933&amp;Col=1","No Title Assigned - #15282293802")</f>
        <v/>
      </c>
      <c r="B1941" s="0" t="s">
        <v>2760</v>
      </c>
      <c r="E1941" s="0" t="s">
        <v>13</v>
      </c>
      <c r="F1941" s="0" t="s">
        <v>13</v>
      </c>
      <c r="G1941" s="0" t="s">
        <v>54</v>
      </c>
      <c r="H1941" s="5">
        <v>120.872800</v>
      </c>
    </row>
    <row r="1942" spans="1:9">
      <c r="A1942" s="22" t="str">
        <f>HYPERLINK("https://app.vivvix.com/360/KMI/IntelliDrive/ApplUI/Pages/CreativePages/CustomReportCreativeDetail.aspx?App=23&amp;ReportView=4&amp;Qid=1711245&amp;Row=1934&amp;Col=1","No Title Assigned - #15282325609")</f>
        <v/>
      </c>
      <c r="B1942" s="0" t="s">
        <v>2761</v>
      </c>
      <c r="E1942" s="0" t="s">
        <v>13</v>
      </c>
      <c r="F1942" s="0" t="s">
        <v>17</v>
      </c>
      <c r="G1942" s="0" t="s">
        <v>446</v>
      </c>
      <c r="H1942" s="5">
        <v>3585.220500</v>
      </c>
    </row>
    <row r="1943" spans="1:9">
      <c r="A1943" s="22" t="str">
        <f>HYPERLINK("https://app.vivvix.com/360/KMI/IntelliDrive/ApplUI/Pages/CreativePages/CustomReportCreativeDetail.aspx?App=23&amp;ReportView=4&amp;Qid=1711245&amp;Row=1935&amp;Col=1","No Title Assigned - #15282332908")</f>
        <v/>
      </c>
      <c r="B1943" s="0" t="s">
        <v>2762</v>
      </c>
      <c r="C1943" s="0" t="s">
        <v>2763</v>
      </c>
      <c r="D1943" s="0" t="s">
        <v>2763</v>
      </c>
      <c r="E1943" s="0" t="s">
        <v>13</v>
      </c>
      <c r="F1943" s="0" t="s">
        <v>14</v>
      </c>
      <c r="G1943" s="0" t="s">
        <v>15</v>
      </c>
      <c r="H1943" s="5">
        <v>3472.475500</v>
      </c>
    </row>
    <row r="1944" spans="1:9">
      <c r="A1944" s="22" t="str">
        <f>HYPERLINK("https://app.vivvix.com/360/KMI/IntelliDrive/ApplUI/Pages/CreativePages/CustomReportCreativeDetail.aspx?App=23&amp;ReportView=4&amp;Qid=1711245&amp;Row=1936&amp;Col=1","No Title Assigned - #15282335214")</f>
        <v/>
      </c>
      <c r="B1944" s="0" t="s">
        <v>2764</v>
      </c>
      <c r="E1944" s="0" t="s">
        <v>13</v>
      </c>
      <c r="F1944" s="0" t="s">
        <v>13</v>
      </c>
      <c r="G1944" s="0" t="s">
        <v>54</v>
      </c>
      <c r="H1944" s="5">
        <v>14382.849200</v>
      </c>
    </row>
    <row r="1945" spans="1:9">
      <c r="A1945" s="22" t="str">
        <f>HYPERLINK("https://app.vivvix.com/360/KMI/IntelliDrive/ApplUI/Pages/CreativePages/CustomReportCreativeDetail.aspx?App=23&amp;ReportView=4&amp;Qid=1711245&amp;Row=1937&amp;Col=1","No Title Assigned - #15282340091")</f>
        <v/>
      </c>
      <c r="B1945" s="0" t="s">
        <v>2765</v>
      </c>
      <c r="E1945" s="0" t="s">
        <v>13</v>
      </c>
      <c r="F1945" s="0" t="s">
        <v>13</v>
      </c>
      <c r="G1945" s="0" t="s">
        <v>54</v>
      </c>
      <c r="H1945" s="5">
        <v>181.623800</v>
      </c>
    </row>
    <row r="1946" spans="1:9">
      <c r="A1946" s="22" t="str">
        <f>HYPERLINK("https://app.vivvix.com/360/KMI/IntelliDrive/ApplUI/Pages/CreativePages/CustomReportCreativeDetail.aspx?App=23&amp;ReportView=4&amp;Qid=1711245&amp;Row=1938&amp;Col=1","No Title Assigned - #15282341147")</f>
        <v/>
      </c>
      <c r="B1946" s="0" t="s">
        <v>2766</v>
      </c>
      <c r="E1946" s="0" t="s">
        <v>13</v>
      </c>
      <c r="F1946" s="0" t="s">
        <v>13</v>
      </c>
      <c r="G1946" s="0" t="s">
        <v>54</v>
      </c>
      <c r="H1946" s="5">
        <v>11000.718800</v>
      </c>
    </row>
    <row r="1947" spans="1:9">
      <c r="A1947" s="22" t="str">
        <f>HYPERLINK("https://app.vivvix.com/360/KMI/IntelliDrive/ApplUI/Pages/CreativePages/CustomReportCreativeDetail.aspx?App=23&amp;ReportView=4&amp;Qid=1711245&amp;Row=1939&amp;Col=1","No Title Assigned - #15282347072")</f>
        <v/>
      </c>
      <c r="B1947" s="0" t="s">
        <v>2767</v>
      </c>
      <c r="E1947" s="0" t="s">
        <v>13</v>
      </c>
      <c r="F1947" s="0" t="s">
        <v>13</v>
      </c>
      <c r="G1947" s="0" t="s">
        <v>54</v>
      </c>
      <c r="H1947" s="5">
        <v>181.623800</v>
      </c>
    </row>
    <row r="1948" spans="1:9">
      <c r="A1948" s="22" t="str">
        <f>HYPERLINK("https://app.vivvix.com/360/KMI/IntelliDrive/ApplUI/Pages/CreativePages/CustomReportCreativeDetail.aspx?App=23&amp;ReportView=4&amp;Qid=1711245&amp;Row=1940&amp;Col=1","No Title Assigned - #15282347076")</f>
        <v/>
      </c>
      <c r="B1948" s="0" t="s">
        <v>2768</v>
      </c>
      <c r="E1948" s="0" t="s">
        <v>13</v>
      </c>
      <c r="F1948" s="0" t="s">
        <v>13</v>
      </c>
      <c r="G1948" s="0" t="s">
        <v>54</v>
      </c>
      <c r="H1948" s="5">
        <v>607.711100</v>
      </c>
    </row>
    <row r="1949" spans="1:9">
      <c r="A1949" s="22" t="str">
        <f>HYPERLINK("https://app.vivvix.com/360/KMI/IntelliDrive/ApplUI/Pages/CreativePages/CustomReportCreativeDetail.aspx?App=23&amp;ReportView=4&amp;Qid=1711245&amp;Row=1941&amp;Col=1","No Title Assigned - #15282354963")</f>
        <v/>
      </c>
      <c r="B1949" s="0" t="s">
        <v>2769</v>
      </c>
      <c r="C1949" s="0" t="s">
        <v>2770</v>
      </c>
      <c r="D1949" s="0" t="s">
        <v>2770</v>
      </c>
      <c r="E1949" s="0" t="s">
        <v>13</v>
      </c>
      <c r="F1949" s="0" t="s">
        <v>17</v>
      </c>
      <c r="G1949" s="0" t="s">
        <v>446</v>
      </c>
      <c r="H1949" s="5">
        <v>5665.224400</v>
      </c>
    </row>
    <row r="1950" spans="1:9">
      <c r="A1950" s="22" t="str">
        <f>HYPERLINK("https://app.vivvix.com/360/KMI/IntelliDrive/ApplUI/Pages/CreativePages/CustomReportCreativeDetail.aspx?App=23&amp;ReportView=4&amp;Qid=1711245&amp;Row=1942&amp;Col=1","No Title Assigned - #15282356786")</f>
        <v/>
      </c>
      <c r="B1950" s="0" t="s">
        <v>2771</v>
      </c>
      <c r="E1950" s="0" t="s">
        <v>13</v>
      </c>
      <c r="F1950" s="0" t="s">
        <v>13</v>
      </c>
      <c r="G1950" s="0" t="s">
        <v>54</v>
      </c>
      <c r="H1950" s="5">
        <v>2582.373500</v>
      </c>
    </row>
    <row r="1951" spans="1:9">
      <c r="A1951" s="22" t="str">
        <f>HYPERLINK("https://app.vivvix.com/360/KMI/IntelliDrive/ApplUI/Pages/CreativePages/CustomReportCreativeDetail.aspx?App=23&amp;ReportView=4&amp;Qid=1711245&amp;Row=1943&amp;Col=1","No Title Assigned - #15282387978")</f>
        <v/>
      </c>
      <c r="B1951" s="0" t="s">
        <v>2772</v>
      </c>
      <c r="E1951" s="0" t="s">
        <v>13</v>
      </c>
      <c r="F1951" s="0" t="s">
        <v>13</v>
      </c>
      <c r="G1951" s="0" t="s">
        <v>54</v>
      </c>
      <c r="H1951" s="5">
        <v>403.161600</v>
      </c>
    </row>
    <row r="1952" spans="1:9">
      <c r="A1952" s="22" t="str">
        <f>HYPERLINK("https://app.vivvix.com/360/KMI/IntelliDrive/ApplUI/Pages/CreativePages/CustomReportCreativeDetail.aspx?App=23&amp;ReportView=4&amp;Qid=1711245&amp;Row=1944&amp;Col=1","No Title Assigned - #15282393407")</f>
        <v/>
      </c>
      <c r="B1952" s="0" t="s">
        <v>2773</v>
      </c>
      <c r="E1952" s="0" t="s">
        <v>13</v>
      </c>
      <c r="F1952" s="0" t="s">
        <v>13</v>
      </c>
      <c r="G1952" s="0" t="s">
        <v>54</v>
      </c>
      <c r="H1952" s="5">
        <v>6058.385900</v>
      </c>
    </row>
    <row r="1953" spans="1:9">
      <c r="A1953" s="22" t="str">
        <f>HYPERLINK("https://app.vivvix.com/360/KMI/IntelliDrive/ApplUI/Pages/CreativePages/CustomReportCreativeDetail.aspx?App=23&amp;ReportView=4&amp;Qid=1711245&amp;Row=1945&amp;Col=1","No Title Assigned - #15282450122")</f>
        <v/>
      </c>
      <c r="B1953" s="0" t="s">
        <v>2774</v>
      </c>
      <c r="E1953" s="0" t="s">
        <v>13</v>
      </c>
      <c r="F1953" s="0" t="s">
        <v>13</v>
      </c>
      <c r="G1953" s="0" t="s">
        <v>54</v>
      </c>
      <c r="H1953" s="5">
        <v>2582.373500</v>
      </c>
    </row>
    <row r="1954" spans="1:9">
      <c r="A1954" s="22" t="str">
        <f>HYPERLINK("https://app.vivvix.com/360/KMI/IntelliDrive/ApplUI/Pages/CreativePages/CustomReportCreativeDetail.aspx?App=23&amp;ReportView=4&amp;Qid=1711245&amp;Row=1946&amp;Col=1","No Title Assigned - #15282485556")</f>
        <v/>
      </c>
      <c r="B1954" s="0" t="s">
        <v>2775</v>
      </c>
      <c r="E1954" s="0" t="s">
        <v>13</v>
      </c>
      <c r="F1954" s="0" t="s">
        <v>13</v>
      </c>
      <c r="G1954" s="0" t="s">
        <v>54</v>
      </c>
      <c r="H1954" s="5">
        <v>1583.579100</v>
      </c>
    </row>
    <row r="1955" spans="1:9">
      <c r="A1955" s="22" t="str">
        <f>HYPERLINK("https://app.vivvix.com/360/KMI/IntelliDrive/ApplUI/Pages/CreativePages/CustomReportCreativeDetail.aspx?App=23&amp;ReportView=4&amp;Qid=1711245&amp;Row=1947&amp;Col=1","No Title Assigned - #15282499007")</f>
        <v/>
      </c>
      <c r="B1955" s="0" t="s">
        <v>2776</v>
      </c>
      <c r="C1955" s="0" t="s">
        <v>2777</v>
      </c>
      <c r="D1955" s="0" t="s">
        <v>2777</v>
      </c>
      <c r="E1955" s="0" t="s">
        <v>13</v>
      </c>
      <c r="F1955" s="0" t="s">
        <v>14</v>
      </c>
      <c r="G1955" s="0" t="s">
        <v>15</v>
      </c>
      <c r="H1955" s="5">
        <v>6155.744600</v>
      </c>
    </row>
    <row r="1956" spans="1:9">
      <c r="A1956" s="22" t="str">
        <f>HYPERLINK("https://app.vivvix.com/360/KMI/IntelliDrive/ApplUI/Pages/CreativePages/CustomReportCreativeDetail.aspx?App=23&amp;ReportView=4&amp;Qid=1711245&amp;Row=1948&amp;Col=1","No Title Assigned - #15282503810")</f>
        <v/>
      </c>
      <c r="B1956" s="0" t="s">
        <v>2778</v>
      </c>
      <c r="E1956" s="0" t="s">
        <v>13</v>
      </c>
      <c r="F1956" s="0" t="s">
        <v>13</v>
      </c>
      <c r="G1956" s="0" t="s">
        <v>54</v>
      </c>
      <c r="H1956" s="5">
        <v>187.774400</v>
      </c>
    </row>
    <row r="1957" spans="1:9">
      <c r="A1957" s="22" t="str">
        <f>HYPERLINK("https://app.vivvix.com/360/KMI/IntelliDrive/ApplUI/Pages/CreativePages/CustomReportCreativeDetail.aspx?App=23&amp;ReportView=4&amp;Qid=1711245&amp;Row=1949&amp;Col=1","No Title Assigned - #15282544734")</f>
        <v/>
      </c>
      <c r="B1957" s="0" t="s">
        <v>2779</v>
      </c>
      <c r="C1957" s="0" t="s">
        <v>2780</v>
      </c>
      <c r="D1957" s="0" t="s">
        <v>2780</v>
      </c>
      <c r="E1957" s="0" t="s">
        <v>13</v>
      </c>
      <c r="F1957" s="0" t="s">
        <v>14</v>
      </c>
      <c r="G1957" s="0" t="s">
        <v>15</v>
      </c>
      <c r="H1957" s="5">
        <v>455.931000</v>
      </c>
    </row>
    <row r="1958" spans="1:9">
      <c r="A1958" s="22" t="str">
        <f>HYPERLINK("https://app.vivvix.com/360/KMI/IntelliDrive/ApplUI/Pages/CreativePages/CustomReportCreativeDetail.aspx?App=23&amp;ReportView=4&amp;Qid=1711245&amp;Row=1950&amp;Col=1","No Title Assigned - #15282554437")</f>
        <v/>
      </c>
      <c r="B1958" s="0" t="s">
        <v>2781</v>
      </c>
      <c r="E1958" s="0" t="s">
        <v>13</v>
      </c>
      <c r="F1958" s="0" t="s">
        <v>13</v>
      </c>
      <c r="G1958" s="0" t="s">
        <v>54</v>
      </c>
      <c r="H1958" s="5">
        <v>1491.138500</v>
      </c>
    </row>
    <row r="1959" spans="1:9">
      <c r="A1959" s="22" t="str">
        <f>HYPERLINK("https://app.vivvix.com/360/KMI/IntelliDrive/ApplUI/Pages/CreativePages/CustomReportCreativeDetail.aspx?App=23&amp;ReportView=4&amp;Qid=1711245&amp;Row=1951&amp;Col=1","No Title Assigned - #15282605859")</f>
        <v/>
      </c>
      <c r="B1959" s="0" t="s">
        <v>2782</v>
      </c>
      <c r="C1959" s="0" t="s">
        <v>2783</v>
      </c>
      <c r="D1959" s="0" t="s">
        <v>2783</v>
      </c>
      <c r="E1959" s="0" t="s">
        <v>13</v>
      </c>
      <c r="F1959" s="0" t="s">
        <v>17</v>
      </c>
      <c r="G1959" s="0" t="s">
        <v>446</v>
      </c>
      <c r="H1959" s="5">
        <v>287.448200</v>
      </c>
    </row>
    <row r="1960" spans="1:9">
      <c r="A1960" s="22" t="str">
        <f>HYPERLINK("https://app.vivvix.com/360/KMI/IntelliDrive/ApplUI/Pages/CreativePages/CustomReportCreativeDetail.aspx?App=23&amp;ReportView=4&amp;Qid=1711245&amp;Row=1952&amp;Col=1","No Title Assigned - #15282606095")</f>
        <v/>
      </c>
      <c r="B1960" s="0" t="s">
        <v>2784</v>
      </c>
      <c r="E1960" s="0" t="s">
        <v>13</v>
      </c>
      <c r="F1960" s="0" t="s">
        <v>13</v>
      </c>
      <c r="G1960" s="0" t="s">
        <v>54</v>
      </c>
      <c r="H1960" s="5">
        <v>256.867800</v>
      </c>
    </row>
    <row r="1961" spans="1:9">
      <c r="A1961" s="22" t="str">
        <f>HYPERLINK("https://app.vivvix.com/360/KMI/IntelliDrive/ApplUI/Pages/CreativePages/CustomReportCreativeDetail.aspx?App=23&amp;ReportView=4&amp;Qid=1711245&amp;Row=1953&amp;Col=1","No Title Assigned - #15282609690")</f>
        <v/>
      </c>
      <c r="B1961" s="0" t="s">
        <v>2785</v>
      </c>
      <c r="E1961" s="0" t="s">
        <v>13</v>
      </c>
      <c r="F1961" s="0" t="s">
        <v>13</v>
      </c>
      <c r="G1961" s="0" t="s">
        <v>54</v>
      </c>
      <c r="H1961" s="5">
        <v>363.886300</v>
      </c>
    </row>
    <row r="1962" spans="1:9">
      <c r="A1962" s="22" t="str">
        <f>HYPERLINK("https://app.vivvix.com/360/KMI/IntelliDrive/ApplUI/Pages/CreativePages/CustomReportCreativeDetail.aspx?App=23&amp;ReportView=4&amp;Qid=1711245&amp;Row=1954&amp;Col=1","No Title Assigned - #15282612598")</f>
        <v/>
      </c>
      <c r="B1962" s="0" t="s">
        <v>2786</v>
      </c>
      <c r="E1962" s="0" t="s">
        <v>13</v>
      </c>
      <c r="F1962" s="0" t="s">
        <v>13</v>
      </c>
      <c r="G1962" s="0" t="s">
        <v>54</v>
      </c>
      <c r="H1962" s="5">
        <v>1686.713500</v>
      </c>
    </row>
    <row r="1963" spans="1:9">
      <c r="A1963" s="22" t="str">
        <f>HYPERLINK("https://app.vivvix.com/360/KMI/IntelliDrive/ApplUI/Pages/CreativePages/CustomReportCreativeDetail.aspx?App=23&amp;ReportView=4&amp;Qid=1711245&amp;Row=1955&amp;Col=1","No Title Assigned - #15282632090")</f>
        <v/>
      </c>
      <c r="B1963" s="0" t="s">
        <v>2787</v>
      </c>
      <c r="E1963" s="0" t="s">
        <v>13</v>
      </c>
      <c r="F1963" s="0" t="s">
        <v>13</v>
      </c>
      <c r="G1963" s="0" t="s">
        <v>54</v>
      </c>
      <c r="H1963" s="5">
        <v>151.851100</v>
      </c>
    </row>
    <row r="1964" spans="1:9">
      <c r="A1964" s="22" t="str">
        <f>HYPERLINK("https://app.vivvix.com/360/KMI/IntelliDrive/ApplUI/Pages/CreativePages/CustomReportCreativeDetail.aspx?App=23&amp;ReportView=4&amp;Qid=1711245&amp;Row=1956&amp;Col=1","No Title Assigned - #15282679484")</f>
        <v/>
      </c>
      <c r="B1964" s="0" t="s">
        <v>2788</v>
      </c>
      <c r="C1964" s="0" t="s">
        <v>2789</v>
      </c>
      <c r="D1964" s="0" t="s">
        <v>2789</v>
      </c>
      <c r="E1964" s="0" t="s">
        <v>13</v>
      </c>
      <c r="F1964" s="0" t="s">
        <v>14</v>
      </c>
      <c r="G1964" s="0" t="s">
        <v>22</v>
      </c>
      <c r="H1964" s="5">
        <v>3342.545900</v>
      </c>
    </row>
    <row r="1965" spans="1:9">
      <c r="A1965" s="22" t="str">
        <f>HYPERLINK("https://app.vivvix.com/360/KMI/IntelliDrive/ApplUI/Pages/CreativePages/CustomReportCreativeDetail.aspx?App=23&amp;ReportView=4&amp;Qid=1711245&amp;Row=1957&amp;Col=1","No Title Assigned - #15282687240")</f>
        <v/>
      </c>
      <c r="B1965" s="0" t="s">
        <v>2790</v>
      </c>
      <c r="E1965" s="0" t="s">
        <v>13</v>
      </c>
      <c r="F1965" s="0" t="s">
        <v>13</v>
      </c>
      <c r="G1965" s="0" t="s">
        <v>54</v>
      </c>
      <c r="H1965" s="5">
        <v>181.623800</v>
      </c>
    </row>
    <row r="1966" spans="1:9">
      <c r="A1966" s="22" t="str">
        <f>HYPERLINK("https://app.vivvix.com/360/KMI/IntelliDrive/ApplUI/Pages/CreativePages/CustomReportCreativeDetail.aspx?App=23&amp;ReportView=4&amp;Qid=1711245&amp;Row=1958&amp;Col=1","No Title Assigned - #15282689031")</f>
        <v/>
      </c>
      <c r="B1966" s="0" t="s">
        <v>2791</v>
      </c>
      <c r="E1966" s="0" t="s">
        <v>13</v>
      </c>
      <c r="F1966" s="0" t="s">
        <v>13</v>
      </c>
      <c r="G1966" s="0" t="s">
        <v>54</v>
      </c>
      <c r="H1966" s="5">
        <v>204.977300</v>
      </c>
    </row>
    <row r="1967" spans="1:9">
      <c r="A1967" s="22" t="str">
        <f>HYPERLINK("https://app.vivvix.com/360/KMI/IntelliDrive/ApplUI/Pages/CreativePages/CustomReportCreativeDetail.aspx?App=23&amp;ReportView=4&amp;Qid=1711245&amp;Row=1959&amp;Col=1","No Title Assigned - #15282698383")</f>
        <v/>
      </c>
      <c r="B1967" s="0" t="s">
        <v>2792</v>
      </c>
      <c r="E1967" s="0" t="s">
        <v>13</v>
      </c>
      <c r="F1967" s="0" t="s">
        <v>13</v>
      </c>
      <c r="G1967" s="0" t="s">
        <v>54</v>
      </c>
      <c r="H1967" s="5">
        <v>5221.623500</v>
      </c>
    </row>
    <row r="1968" spans="1:9">
      <c r="A1968" s="22" t="str">
        <f>HYPERLINK("https://app.vivvix.com/360/KMI/IntelliDrive/ApplUI/Pages/CreativePages/CustomReportCreativeDetail.aspx?App=23&amp;ReportView=4&amp;Qid=1711245&amp;Row=1960&amp;Col=1","No Title Assigned - #15282701334")</f>
        <v/>
      </c>
      <c r="B1968" s="0" t="s">
        <v>2793</v>
      </c>
      <c r="E1968" s="0" t="s">
        <v>13</v>
      </c>
      <c r="F1968" s="0" t="s">
        <v>13</v>
      </c>
      <c r="G1968" s="0" t="s">
        <v>54</v>
      </c>
      <c r="H1968" s="5">
        <v>151.851100</v>
      </c>
    </row>
    <row r="1969" spans="1:9">
      <c r="A1969" s="22" t="str">
        <f>HYPERLINK("https://app.vivvix.com/360/KMI/IntelliDrive/ApplUI/Pages/CreativePages/CustomReportCreativeDetail.aspx?App=23&amp;ReportView=4&amp;Qid=1711245&amp;Row=1961&amp;Col=1","No Title Assigned - #15282726827")</f>
        <v/>
      </c>
      <c r="B1969" s="0" t="s">
        <v>2794</v>
      </c>
      <c r="C1969" s="0" t="s">
        <v>2795</v>
      </c>
      <c r="D1969" s="0" t="s">
        <v>2795</v>
      </c>
      <c r="E1969" s="0" t="s">
        <v>13</v>
      </c>
      <c r="F1969" s="0" t="s">
        <v>14</v>
      </c>
      <c r="G1969" s="0" t="s">
        <v>15</v>
      </c>
      <c r="H1969" s="5">
        <v>7365.121600</v>
      </c>
    </row>
    <row r="1970" spans="1:9">
      <c r="A1970" s="22" t="str">
        <f>HYPERLINK("https://app.vivvix.com/360/KMI/IntelliDrive/ApplUI/Pages/CreativePages/CustomReportCreativeDetail.aspx?App=23&amp;ReportView=4&amp;Qid=1711245&amp;Row=1962&amp;Col=1","No Title Assigned - #15282756952")</f>
        <v/>
      </c>
      <c r="B1970" s="0" t="s">
        <v>2796</v>
      </c>
      <c r="E1970" s="0" t="s">
        <v>13</v>
      </c>
      <c r="F1970" s="0" t="s">
        <v>13</v>
      </c>
      <c r="G1970" s="0" t="s">
        <v>54</v>
      </c>
      <c r="H1970" s="5">
        <v>1130.450000</v>
      </c>
    </row>
    <row r="1971" spans="1:9">
      <c r="A1971" s="22" t="str">
        <f>HYPERLINK("https://app.vivvix.com/360/KMI/IntelliDrive/ApplUI/Pages/CreativePages/CustomReportCreativeDetail.aspx?App=23&amp;ReportView=4&amp;Qid=1711245&amp;Row=1963&amp;Col=1","No Title Assigned - #15282786858")</f>
        <v/>
      </c>
      <c r="B1971" s="0" t="s">
        <v>2797</v>
      </c>
      <c r="C1971" s="0" t="s">
        <v>2798</v>
      </c>
      <c r="D1971" s="0" t="s">
        <v>2798</v>
      </c>
      <c r="E1971" s="0" t="s">
        <v>13</v>
      </c>
      <c r="F1971" s="0" t="s">
        <v>14</v>
      </c>
      <c r="G1971" s="0" t="s">
        <v>15</v>
      </c>
      <c r="H1971" s="5">
        <v>695.589700</v>
      </c>
    </row>
    <row r="1972" spans="1:9">
      <c r="A1972" s="22" t="str">
        <f>HYPERLINK("https://app.vivvix.com/360/KMI/IntelliDrive/ApplUI/Pages/CreativePages/CustomReportCreativeDetail.aspx?App=23&amp;ReportView=4&amp;Qid=1711245&amp;Row=1964&amp;Col=1","No Title Assigned - #15282789457")</f>
        <v/>
      </c>
      <c r="B1972" s="0" t="s">
        <v>2799</v>
      </c>
      <c r="E1972" s="0" t="s">
        <v>13</v>
      </c>
      <c r="F1972" s="0" t="s">
        <v>13</v>
      </c>
      <c r="G1972" s="0" t="s">
        <v>54</v>
      </c>
      <c r="H1972" s="5">
        <v>124.772500</v>
      </c>
    </row>
    <row r="1973" spans="1:9">
      <c r="A1973" s="22" t="str">
        <f>HYPERLINK("https://app.vivvix.com/360/KMI/IntelliDrive/ApplUI/Pages/CreativePages/CustomReportCreativeDetail.aspx?App=23&amp;ReportView=4&amp;Qid=1711245&amp;Row=1965&amp;Col=1","No Title Assigned - #15282790355")</f>
        <v/>
      </c>
      <c r="B1973" s="0" t="s">
        <v>2800</v>
      </c>
      <c r="E1973" s="0" t="s">
        <v>13</v>
      </c>
      <c r="F1973" s="0" t="s">
        <v>13</v>
      </c>
      <c r="G1973" s="0" t="s">
        <v>54</v>
      </c>
      <c r="H1973" s="5">
        <v>5343.598700</v>
      </c>
    </row>
    <row r="1974" spans="1:9">
      <c r="A1974" s="22" t="str">
        <f>HYPERLINK("https://app.vivvix.com/360/KMI/IntelliDrive/ApplUI/Pages/CreativePages/CustomReportCreativeDetail.aspx?App=23&amp;ReportView=4&amp;Qid=1711245&amp;Row=1966&amp;Col=1","No Title Assigned - #15282803170")</f>
        <v/>
      </c>
      <c r="B1974" s="0" t="s">
        <v>2801</v>
      </c>
      <c r="C1974" s="0" t="s">
        <v>2802</v>
      </c>
      <c r="D1974" s="0" t="s">
        <v>2802</v>
      </c>
      <c r="E1974" s="0" t="s">
        <v>13</v>
      </c>
      <c r="F1974" s="0" t="s">
        <v>540</v>
      </c>
      <c r="G1974" s="0" t="s">
        <v>541</v>
      </c>
      <c r="H1974" s="5">
        <v>3378.932300</v>
      </c>
    </row>
    <row r="1975" spans="1:9">
      <c r="A1975" s="22" t="str">
        <f>HYPERLINK("https://app.vivvix.com/360/KMI/IntelliDrive/ApplUI/Pages/CreativePages/CustomReportCreativeDetail.aspx?App=23&amp;ReportView=4&amp;Qid=1711245&amp;Row=1967&amp;Col=1","No Title Assigned - #15282808625")</f>
        <v/>
      </c>
      <c r="B1975" s="0" t="s">
        <v>2803</v>
      </c>
      <c r="E1975" s="0" t="s">
        <v>13</v>
      </c>
      <c r="F1975" s="0" t="s">
        <v>13</v>
      </c>
      <c r="G1975" s="0" t="s">
        <v>54</v>
      </c>
      <c r="H1975" s="5">
        <v>526.386400</v>
      </c>
    </row>
    <row r="1976" spans="1:9">
      <c r="A1976" s="22" t="str">
        <f>HYPERLINK("https://app.vivvix.com/360/KMI/IntelliDrive/ApplUI/Pages/CreativePages/CustomReportCreativeDetail.aspx?App=23&amp;ReportView=4&amp;Qid=1711245&amp;Row=1968&amp;Col=1","No Title Assigned - #15282885815")</f>
        <v/>
      </c>
      <c r="B1976" s="0" t="s">
        <v>2804</v>
      </c>
      <c r="E1976" s="0" t="s">
        <v>13</v>
      </c>
      <c r="F1976" s="0" t="s">
        <v>13</v>
      </c>
      <c r="G1976" s="0" t="s">
        <v>54</v>
      </c>
      <c r="H1976" s="5">
        <v>6163.787600</v>
      </c>
    </row>
    <row r="1977" spans="1:9">
      <c r="A1977" s="22" t="str">
        <f>HYPERLINK("https://app.vivvix.com/360/KMI/IntelliDrive/ApplUI/Pages/CreativePages/CustomReportCreativeDetail.aspx?App=23&amp;ReportView=4&amp;Qid=1711245&amp;Row=1969&amp;Col=1","No Title Assigned - #15282942230")</f>
        <v/>
      </c>
      <c r="B1977" s="0" t="s">
        <v>2805</v>
      </c>
      <c r="E1977" s="0" t="s">
        <v>13</v>
      </c>
      <c r="F1977" s="0" t="s">
        <v>13</v>
      </c>
      <c r="G1977" s="0" t="s">
        <v>54</v>
      </c>
      <c r="H1977" s="5">
        <v>8131.552700</v>
      </c>
    </row>
    <row r="1978" spans="1:9">
      <c r="A1978" s="22" t="str">
        <f>HYPERLINK("https://app.vivvix.com/360/KMI/IntelliDrive/ApplUI/Pages/CreativePages/CustomReportCreativeDetail.aspx?App=23&amp;ReportView=4&amp;Qid=1711245&amp;Row=1970&amp;Col=1","No Title Assigned - #15282943188")</f>
        <v/>
      </c>
      <c r="B1978" s="0" t="s">
        <v>2806</v>
      </c>
      <c r="C1978" s="0" t="s">
        <v>2807</v>
      </c>
      <c r="D1978" s="0" t="s">
        <v>2807</v>
      </c>
      <c r="E1978" s="0" t="s">
        <v>13</v>
      </c>
      <c r="F1978" s="0" t="s">
        <v>530</v>
      </c>
      <c r="G1978" s="0" t="s">
        <v>531</v>
      </c>
      <c r="H1978" s="5">
        <v>1420.165400</v>
      </c>
    </row>
    <row r="1979" spans="1:9">
      <c r="A1979" s="22" t="str">
        <f>HYPERLINK("https://app.vivvix.com/360/KMI/IntelliDrive/ApplUI/Pages/CreativePages/CustomReportCreativeDetail.aspx?App=23&amp;ReportView=4&amp;Qid=1711245&amp;Row=1971&amp;Col=1","No Title Assigned - #15282960720")</f>
        <v/>
      </c>
      <c r="B1979" s="0" t="s">
        <v>2808</v>
      </c>
      <c r="E1979" s="0" t="s">
        <v>13</v>
      </c>
      <c r="F1979" s="0" t="s">
        <v>13</v>
      </c>
      <c r="G1979" s="0" t="s">
        <v>54</v>
      </c>
      <c r="H1979" s="5">
        <v>204.977300</v>
      </c>
    </row>
    <row r="1980" spans="1:9">
      <c r="A1980" s="22" t="str">
        <f>HYPERLINK("https://app.vivvix.com/360/KMI/IntelliDrive/ApplUI/Pages/CreativePages/CustomReportCreativeDetail.aspx?App=23&amp;ReportView=4&amp;Qid=1711245&amp;Row=1972&amp;Col=1","No Title Assigned - #15282998956")</f>
        <v/>
      </c>
      <c r="B1980" s="0" t="s">
        <v>2809</v>
      </c>
      <c r="C1980" s="0" t="s">
        <v>2810</v>
      </c>
      <c r="D1980" s="0" t="s">
        <v>1835</v>
      </c>
      <c r="E1980" s="0" t="s">
        <v>13</v>
      </c>
      <c r="F1980" s="0" t="s">
        <v>28</v>
      </c>
      <c r="G1980" s="0" t="s">
        <v>453</v>
      </c>
      <c r="H1980" s="5">
        <v>14509.262400</v>
      </c>
    </row>
    <row r="1981" spans="1:9">
      <c r="A1981" s="22" t="str">
        <f>HYPERLINK("https://app.vivvix.com/360/KMI/IntelliDrive/ApplUI/Pages/CreativePages/CustomReportCreativeDetail.aspx?App=23&amp;ReportView=4&amp;Qid=1711245&amp;Row=1973&amp;Col=1","No Title Assigned - #15282999861")</f>
        <v/>
      </c>
      <c r="B1981" s="0" t="s">
        <v>2811</v>
      </c>
      <c r="C1981" s="0" t="s">
        <v>2812</v>
      </c>
      <c r="D1981" s="0" t="s">
        <v>2178</v>
      </c>
      <c r="E1981" s="0" t="s">
        <v>13</v>
      </c>
      <c r="F1981" s="0" t="s">
        <v>128</v>
      </c>
      <c r="G1981" s="0" t="s">
        <v>456</v>
      </c>
      <c r="H1981" s="5">
        <v>11137.275900</v>
      </c>
    </row>
    <row r="1982" spans="1:9">
      <c r="A1982" s="22" t="str">
        <f>HYPERLINK("https://app.vivvix.com/360/KMI/IntelliDrive/ApplUI/Pages/CreativePages/CustomReportCreativeDetail.aspx?App=23&amp;ReportView=4&amp;Qid=1711245&amp;Row=1974&amp;Col=1","No Title Assigned - #15283016411")</f>
        <v/>
      </c>
      <c r="B1982" s="0" t="s">
        <v>2813</v>
      </c>
      <c r="C1982" s="0" t="s">
        <v>2814</v>
      </c>
      <c r="D1982" s="0" t="s">
        <v>2814</v>
      </c>
      <c r="E1982" s="0" t="s">
        <v>13</v>
      </c>
      <c r="F1982" s="0" t="s">
        <v>14</v>
      </c>
      <c r="G1982" s="0" t="s">
        <v>15</v>
      </c>
      <c r="H1982" s="5">
        <v>3225.579300</v>
      </c>
    </row>
    <row r="1983" spans="1:9">
      <c r="A1983" s="22" t="str">
        <f>HYPERLINK("https://app.vivvix.com/360/KMI/IntelliDrive/ApplUI/Pages/CreativePages/CustomReportCreativeDetail.aspx?App=23&amp;ReportView=4&amp;Qid=1711245&amp;Row=1975&amp;Col=1","No Title Assigned - #15283026671")</f>
        <v/>
      </c>
      <c r="B1983" s="0" t="s">
        <v>2815</v>
      </c>
      <c r="E1983" s="0" t="s">
        <v>13</v>
      </c>
      <c r="F1983" s="0" t="s">
        <v>13</v>
      </c>
      <c r="G1983" s="0" t="s">
        <v>54</v>
      </c>
      <c r="H1983" s="5">
        <v>181.623800</v>
      </c>
    </row>
    <row r="1984" spans="1:9">
      <c r="A1984" s="22" t="str">
        <f>HYPERLINK("https://app.vivvix.com/360/KMI/IntelliDrive/ApplUI/Pages/CreativePages/CustomReportCreativeDetail.aspx?App=23&amp;ReportView=4&amp;Qid=1711245&amp;Row=1976&amp;Col=1","No Title Assigned - #15283085971")</f>
        <v/>
      </c>
      <c r="B1984" s="0" t="s">
        <v>2816</v>
      </c>
      <c r="C1984" s="0" t="s">
        <v>2817</v>
      </c>
      <c r="D1984" s="0" t="s">
        <v>2817</v>
      </c>
      <c r="E1984" s="0" t="s">
        <v>13</v>
      </c>
      <c r="F1984" s="0" t="s">
        <v>13</v>
      </c>
      <c r="G1984" s="0" t="s">
        <v>35</v>
      </c>
      <c r="H1984" s="5">
        <v>178.467900</v>
      </c>
    </row>
    <row r="1985" spans="1:9">
      <c r="A1985" s="22" t="str">
        <f>HYPERLINK("https://app.vivvix.com/360/KMI/IntelliDrive/ApplUI/Pages/CreativePages/CustomReportCreativeDetail.aspx?App=23&amp;ReportView=4&amp;Qid=1711245&amp;Row=1977&amp;Col=1","No Title Assigned - #15283088741")</f>
        <v/>
      </c>
      <c r="B1985" s="0" t="s">
        <v>2818</v>
      </c>
      <c r="C1985" s="0" t="s">
        <v>2819</v>
      </c>
      <c r="D1985" s="0" t="s">
        <v>2744</v>
      </c>
      <c r="E1985" s="0" t="s">
        <v>13</v>
      </c>
      <c r="F1985" s="0" t="s">
        <v>540</v>
      </c>
      <c r="G1985" s="0" t="s">
        <v>541</v>
      </c>
      <c r="H1985" s="5">
        <v>178.467900</v>
      </c>
    </row>
    <row r="1986" spans="1:9">
      <c r="A1986" s="22" t="str">
        <f>HYPERLINK("https://app.vivvix.com/360/KMI/IntelliDrive/ApplUI/Pages/CreativePages/CustomReportCreativeDetail.aspx?App=23&amp;ReportView=4&amp;Qid=1711245&amp;Row=1978&amp;Col=1","No Title Assigned - #15283116463")</f>
        <v/>
      </c>
      <c r="B1986" s="0" t="s">
        <v>2820</v>
      </c>
      <c r="E1986" s="0" t="s">
        <v>13</v>
      </c>
      <c r="F1986" s="0" t="s">
        <v>13</v>
      </c>
      <c r="G1986" s="0" t="s">
        <v>54</v>
      </c>
      <c r="H1986" s="5">
        <v>723.076900</v>
      </c>
    </row>
    <row r="1987" spans="1:9">
      <c r="A1987" s="22" t="str">
        <f>HYPERLINK("https://app.vivvix.com/360/KMI/IntelliDrive/ApplUI/Pages/CreativePages/CustomReportCreativeDetail.aspx?App=23&amp;ReportView=4&amp;Qid=1711245&amp;Row=1979&amp;Col=1","No Title Assigned - #15283124160")</f>
        <v/>
      </c>
      <c r="B1987" s="0" t="s">
        <v>2821</v>
      </c>
      <c r="E1987" s="0" t="s">
        <v>13</v>
      </c>
      <c r="F1987" s="0" t="s">
        <v>13</v>
      </c>
      <c r="G1987" s="0" t="s">
        <v>54</v>
      </c>
      <c r="H1987" s="5">
        <v>140.326300</v>
      </c>
    </row>
    <row r="1988" spans="1:9">
      <c r="A1988" s="22" t="str">
        <f>HYPERLINK("https://app.vivvix.com/360/KMI/IntelliDrive/ApplUI/Pages/CreativePages/CustomReportCreativeDetail.aspx?App=23&amp;ReportView=4&amp;Qid=1711245&amp;Row=1980&amp;Col=1","No Title Assigned - #15283216893")</f>
        <v/>
      </c>
      <c r="B1988" s="0" t="s">
        <v>2822</v>
      </c>
      <c r="C1988" s="0" t="s">
        <v>2823</v>
      </c>
      <c r="D1988" s="0" t="s">
        <v>2823</v>
      </c>
      <c r="E1988" s="0" t="s">
        <v>13</v>
      </c>
      <c r="F1988" s="0" t="s">
        <v>128</v>
      </c>
      <c r="G1988" s="0" t="s">
        <v>456</v>
      </c>
      <c r="H1988" s="5">
        <v>1476.548800</v>
      </c>
    </row>
    <row r="1989" spans="1:9">
      <c r="A1989" s="22" t="str">
        <f>HYPERLINK("https://app.vivvix.com/360/KMI/IntelliDrive/ApplUI/Pages/CreativePages/CustomReportCreativeDetail.aspx?App=23&amp;ReportView=4&amp;Qid=1711245&amp;Row=1981&amp;Col=1","No Title Assigned - #15283224328")</f>
        <v/>
      </c>
      <c r="B1989" s="0" t="s">
        <v>2824</v>
      </c>
      <c r="C1989" s="0" t="s">
        <v>2825</v>
      </c>
      <c r="D1989" s="0" t="s">
        <v>2825</v>
      </c>
      <c r="E1989" s="0" t="s">
        <v>13</v>
      </c>
      <c r="F1989" s="0" t="s">
        <v>106</v>
      </c>
      <c r="G1989" s="0" t="s">
        <v>107</v>
      </c>
      <c r="H1989" s="5">
        <v>140229.899000</v>
      </c>
    </row>
    <row r="1990" spans="1:9">
      <c r="A1990" s="22" t="str">
        <f>HYPERLINK("https://app.vivvix.com/360/KMI/IntelliDrive/ApplUI/Pages/CreativePages/CustomReportCreativeDetail.aspx?App=23&amp;ReportView=4&amp;Qid=1711245&amp;Row=1982&amp;Col=1","No Title Assigned - #15283226850")</f>
        <v/>
      </c>
      <c r="B1990" s="0" t="s">
        <v>2826</v>
      </c>
      <c r="C1990" s="0" t="s">
        <v>2827</v>
      </c>
      <c r="D1990" s="0" t="s">
        <v>1693</v>
      </c>
      <c r="E1990" s="0" t="s">
        <v>13</v>
      </c>
      <c r="F1990" s="0" t="s">
        <v>17</v>
      </c>
      <c r="G1990" s="0" t="s">
        <v>446</v>
      </c>
      <c r="H1990" s="5">
        <v>476.864500</v>
      </c>
    </row>
    <row r="1991" spans="1:9">
      <c r="A1991" s="22" t="str">
        <f>HYPERLINK("https://app.vivvix.com/360/KMI/IntelliDrive/ApplUI/Pages/CreativePages/CustomReportCreativeDetail.aspx?App=23&amp;ReportView=4&amp;Qid=1711245&amp;Row=1983&amp;Col=1","No Title Assigned - #15283230119")</f>
        <v/>
      </c>
      <c r="B1991" s="0" t="s">
        <v>2828</v>
      </c>
      <c r="C1991" s="0" t="s">
        <v>2829</v>
      </c>
      <c r="D1991" s="0" t="s">
        <v>2829</v>
      </c>
      <c r="E1991" s="0" t="s">
        <v>13</v>
      </c>
      <c r="F1991" s="0" t="s">
        <v>540</v>
      </c>
      <c r="G1991" s="0" t="s">
        <v>541</v>
      </c>
      <c r="H1991" s="5">
        <v>1946.310100</v>
      </c>
    </row>
    <row r="1992" spans="1:9">
      <c r="A1992" s="22" t="str">
        <f>HYPERLINK("https://app.vivvix.com/360/KMI/IntelliDrive/ApplUI/Pages/CreativePages/CustomReportCreativeDetail.aspx?App=23&amp;ReportView=4&amp;Qid=1711245&amp;Row=1984&amp;Col=1","No Title Assigned - #15283269196")</f>
        <v/>
      </c>
      <c r="B1992" s="0" t="s">
        <v>2830</v>
      </c>
      <c r="C1992" s="0" t="s">
        <v>2831</v>
      </c>
      <c r="D1992" s="0" t="s">
        <v>2255</v>
      </c>
      <c r="E1992" s="0" t="s">
        <v>13</v>
      </c>
      <c r="F1992" s="0" t="s">
        <v>530</v>
      </c>
      <c r="G1992" s="0" t="s">
        <v>531</v>
      </c>
      <c r="H1992" s="5">
        <v>9762.610900</v>
      </c>
    </row>
    <row r="1993" spans="1:9">
      <c r="A1993" s="22" t="str">
        <f>HYPERLINK("https://app.vivvix.com/360/KMI/IntelliDrive/ApplUI/Pages/CreativePages/CustomReportCreativeDetail.aspx?App=23&amp;ReportView=4&amp;Qid=1711245&amp;Row=1985&amp;Col=1","No Title Assigned - #15283282749")</f>
        <v/>
      </c>
      <c r="B1993" s="0" t="s">
        <v>2832</v>
      </c>
      <c r="E1993" s="0" t="s">
        <v>13</v>
      </c>
      <c r="F1993" s="0" t="s">
        <v>13</v>
      </c>
      <c r="G1993" s="0" t="s">
        <v>54</v>
      </c>
      <c r="H1993" s="5">
        <v>162.984100</v>
      </c>
    </row>
    <row r="1994" spans="1:9">
      <c r="A1994" s="22" t="str">
        <f>HYPERLINK("https://app.vivvix.com/360/KMI/IntelliDrive/ApplUI/Pages/CreativePages/CustomReportCreativeDetail.aspx?App=23&amp;ReportView=4&amp;Qid=1711245&amp;Row=1986&amp;Col=1","No Title Assigned - #15283282932")</f>
        <v/>
      </c>
      <c r="B1994" s="0" t="s">
        <v>2833</v>
      </c>
      <c r="E1994" s="0" t="s">
        <v>13</v>
      </c>
      <c r="F1994" s="0" t="s">
        <v>13</v>
      </c>
      <c r="G1994" s="0" t="s">
        <v>54</v>
      </c>
      <c r="H1994" s="5">
        <v>325.968200</v>
      </c>
    </row>
    <row r="1995" spans="1:9">
      <c r="A1995" s="22" t="str">
        <f>HYPERLINK("https://app.vivvix.com/360/KMI/IntelliDrive/ApplUI/Pages/CreativePages/CustomReportCreativeDetail.aspx?App=23&amp;ReportView=4&amp;Qid=1711245&amp;Row=1987&amp;Col=1","No Title Assigned - #15283283703")</f>
        <v/>
      </c>
      <c r="B1995" s="0" t="s">
        <v>2834</v>
      </c>
      <c r="E1995" s="0" t="s">
        <v>13</v>
      </c>
      <c r="F1995" s="0" t="s">
        <v>13</v>
      </c>
      <c r="G1995" s="0" t="s">
        <v>54</v>
      </c>
      <c r="H1995" s="5">
        <v>8081.561400</v>
      </c>
    </row>
    <row r="1996" spans="1:9">
      <c r="A1996" s="22" t="str">
        <f>HYPERLINK("https://app.vivvix.com/360/KMI/IntelliDrive/ApplUI/Pages/CreativePages/CustomReportCreativeDetail.aspx?App=23&amp;ReportView=4&amp;Qid=1711245&amp;Row=1988&amp;Col=1","No Title Assigned - #15283314594")</f>
        <v/>
      </c>
      <c r="B1996" s="0" t="s">
        <v>2835</v>
      </c>
      <c r="C1996" s="0" t="s">
        <v>2836</v>
      </c>
      <c r="D1996" s="0" t="s">
        <v>2836</v>
      </c>
      <c r="E1996" s="0" t="s">
        <v>13</v>
      </c>
      <c r="F1996" s="0" t="s">
        <v>14</v>
      </c>
      <c r="G1996" s="0" t="s">
        <v>15</v>
      </c>
      <c r="H1996" s="5">
        <v>17631.703200</v>
      </c>
    </row>
    <row r="1997" spans="1:9">
      <c r="A1997" s="22" t="str">
        <f>HYPERLINK("https://app.vivvix.com/360/KMI/IntelliDrive/ApplUI/Pages/CreativePages/CustomReportCreativeDetail.aspx?App=23&amp;ReportView=4&amp;Qid=1711245&amp;Row=1989&amp;Col=1","No Title Assigned - #15283314594")</f>
        <v/>
      </c>
      <c r="B1997" s="0" t="s">
        <v>2835</v>
      </c>
      <c r="E1997" s="0" t="s">
        <v>13</v>
      </c>
      <c r="F1997" s="0" t="s">
        <v>14</v>
      </c>
      <c r="G1997" s="0" t="s">
        <v>15</v>
      </c>
      <c r="H1997" s="5">
        <v>493.574000</v>
      </c>
    </row>
    <row r="1998" spans="1:9">
      <c r="A1998" s="22" t="str">
        <f>HYPERLINK("https://app.vivvix.com/360/KMI/IntelliDrive/ApplUI/Pages/CreativePages/CustomReportCreativeDetail.aspx?App=23&amp;ReportView=4&amp;Qid=1711245&amp;Row=1990&amp;Col=1","No Title Assigned - #15283318245")</f>
        <v/>
      </c>
      <c r="B1998" s="0" t="s">
        <v>2837</v>
      </c>
      <c r="C1998" s="0" t="s">
        <v>2838</v>
      </c>
      <c r="D1998" s="0" t="s">
        <v>2838</v>
      </c>
      <c r="E1998" s="0" t="s">
        <v>13</v>
      </c>
      <c r="F1998" s="0" t="s">
        <v>14</v>
      </c>
      <c r="G1998" s="0" t="s">
        <v>15</v>
      </c>
      <c r="H1998" s="5">
        <v>2244.055900</v>
      </c>
    </row>
    <row r="1999" spans="1:9">
      <c r="A1999" s="22" t="str">
        <f>HYPERLINK("https://app.vivvix.com/360/KMI/IntelliDrive/ApplUI/Pages/CreativePages/CustomReportCreativeDetail.aspx?App=23&amp;ReportView=4&amp;Qid=1711245&amp;Row=1991&amp;Col=1","No Title Assigned - #15283321798")</f>
        <v/>
      </c>
      <c r="B1999" s="0" t="s">
        <v>2839</v>
      </c>
      <c r="C1999" s="0" t="s">
        <v>2840</v>
      </c>
      <c r="D1999" s="0" t="s">
        <v>2840</v>
      </c>
      <c r="E1999" s="0" t="s">
        <v>13</v>
      </c>
      <c r="F1999" s="0" t="s">
        <v>540</v>
      </c>
      <c r="G1999" s="0" t="s">
        <v>541</v>
      </c>
      <c r="H1999" s="5">
        <v>291.707500</v>
      </c>
    </row>
    <row r="2000" spans="1:9">
      <c r="A2000" s="22" t="str">
        <f>HYPERLINK("https://app.vivvix.com/360/KMI/IntelliDrive/ApplUI/Pages/CreativePages/CustomReportCreativeDetail.aspx?App=23&amp;ReportView=4&amp;Qid=1711245&amp;Row=1992&amp;Col=1","No Title Assigned - #15283341677")</f>
        <v/>
      </c>
      <c r="B2000" s="0" t="s">
        <v>2841</v>
      </c>
      <c r="E2000" s="0" t="s">
        <v>13</v>
      </c>
      <c r="F2000" s="0" t="s">
        <v>13</v>
      </c>
      <c r="G2000" s="0" t="s">
        <v>54</v>
      </c>
      <c r="H2000" s="5">
        <v>533.811600</v>
      </c>
    </row>
    <row r="2001" spans="1:9">
      <c r="A2001" s="22" t="str">
        <f>HYPERLINK("https://app.vivvix.com/360/KMI/IntelliDrive/ApplUI/Pages/CreativePages/CustomReportCreativeDetail.aspx?App=23&amp;ReportView=4&amp;Qid=1711245&amp;Row=1993&amp;Col=1","No Title Assigned - #15283376863")</f>
        <v/>
      </c>
      <c r="B2001" s="0" t="s">
        <v>2842</v>
      </c>
      <c r="C2001" s="0" t="s">
        <v>2843</v>
      </c>
      <c r="D2001" s="0" t="s">
        <v>2290</v>
      </c>
      <c r="E2001" s="0" t="s">
        <v>13</v>
      </c>
      <c r="F2001" s="0" t="s">
        <v>106</v>
      </c>
      <c r="G2001" s="0" t="s">
        <v>107</v>
      </c>
      <c r="H2001" s="5">
        <v>412.627900</v>
      </c>
    </row>
    <row r="2002" spans="1:9">
      <c r="A2002" s="22" t="str">
        <f>HYPERLINK("https://app.vivvix.com/360/KMI/IntelliDrive/ApplUI/Pages/CreativePages/CustomReportCreativeDetail.aspx?App=23&amp;ReportView=4&amp;Qid=1711245&amp;Row=1994&amp;Col=1","No Title Assigned - #15283395018")</f>
        <v/>
      </c>
      <c r="B2002" s="0" t="s">
        <v>2844</v>
      </c>
      <c r="C2002" s="0" t="s">
        <v>2845</v>
      </c>
      <c r="D2002" s="0" t="s">
        <v>2845</v>
      </c>
      <c r="E2002" s="0" t="s">
        <v>13</v>
      </c>
      <c r="F2002" s="0" t="s">
        <v>540</v>
      </c>
      <c r="G2002" s="0" t="s">
        <v>541</v>
      </c>
      <c r="H2002" s="5">
        <v>1503.610100</v>
      </c>
    </row>
    <row r="2003" spans="1:9">
      <c r="A2003" s="22" t="str">
        <f>HYPERLINK("https://app.vivvix.com/360/KMI/IntelliDrive/ApplUI/Pages/CreativePages/CustomReportCreativeDetail.aspx?App=23&amp;ReportView=4&amp;Qid=1711245&amp;Row=1995&amp;Col=1","No Title Assigned - #15283397547")</f>
        <v/>
      </c>
      <c r="B2003" s="0" t="s">
        <v>2846</v>
      </c>
      <c r="E2003" s="0" t="s">
        <v>13</v>
      </c>
      <c r="F2003" s="0" t="s">
        <v>13</v>
      </c>
      <c r="G2003" s="0" t="s">
        <v>54</v>
      </c>
      <c r="H2003" s="5">
        <v>291.707500</v>
      </c>
    </row>
    <row r="2004" spans="1:9">
      <c r="A2004" s="22" t="str">
        <f>HYPERLINK("https://app.vivvix.com/360/KMI/IntelliDrive/ApplUI/Pages/CreativePages/CustomReportCreativeDetail.aspx?App=23&amp;ReportView=4&amp;Qid=1711245&amp;Row=1996&amp;Col=1","No Title Assigned - #15283403415")</f>
        <v/>
      </c>
      <c r="B2004" s="0" t="s">
        <v>2847</v>
      </c>
      <c r="E2004" s="0" t="s">
        <v>13</v>
      </c>
      <c r="F2004" s="0" t="s">
        <v>13</v>
      </c>
      <c r="G2004" s="0" t="s">
        <v>54</v>
      </c>
      <c r="H2004" s="5">
        <v>6487.479500</v>
      </c>
    </row>
    <row r="2005" spans="1:9">
      <c r="A2005" s="22" t="str">
        <f>HYPERLINK("https://app.vivvix.com/360/KMI/IntelliDrive/ApplUI/Pages/CreativePages/CustomReportCreativeDetail.aspx?App=23&amp;ReportView=4&amp;Qid=1711245&amp;Row=1997&amp;Col=1","No Title Assigned - #15283466590")</f>
        <v/>
      </c>
      <c r="B2005" s="0" t="s">
        <v>2848</v>
      </c>
      <c r="E2005" s="0" t="s">
        <v>13</v>
      </c>
      <c r="F2005" s="0" t="s">
        <v>13</v>
      </c>
      <c r="G2005" s="0" t="s">
        <v>54</v>
      </c>
      <c r="H2005" s="5">
        <v>170.415100</v>
      </c>
    </row>
    <row r="2006" spans="1:9">
      <c r="A2006" s="22" t="str">
        <f>HYPERLINK("https://app.vivvix.com/360/KMI/IntelliDrive/ApplUI/Pages/CreativePages/CustomReportCreativeDetail.aspx?App=23&amp;ReportView=4&amp;Qid=1711245&amp;Row=1998&amp;Col=1","No Title Assigned - #15283476843")</f>
        <v/>
      </c>
      <c r="B2006" s="0" t="s">
        <v>2849</v>
      </c>
      <c r="E2006" s="0" t="s">
        <v>13</v>
      </c>
      <c r="F2006" s="0" t="s">
        <v>13</v>
      </c>
      <c r="G2006" s="0" t="s">
        <v>54</v>
      </c>
      <c r="H2006" s="5">
        <v>21213.835000</v>
      </c>
    </row>
    <row r="2007" spans="1:9">
      <c r="A2007" s="22" t="str">
        <f>HYPERLINK("https://app.vivvix.com/360/KMI/IntelliDrive/ApplUI/Pages/CreativePages/CustomReportCreativeDetail.aspx?App=23&amp;ReportView=4&amp;Qid=1711245&amp;Row=1999&amp;Col=1","No Title Assigned - #15283476843")</f>
        <v/>
      </c>
      <c r="B2007" s="0" t="s">
        <v>2849</v>
      </c>
      <c r="E2007" s="0" t="s">
        <v>13</v>
      </c>
      <c r="F2007" s="0" t="s">
        <v>13</v>
      </c>
      <c r="G2007" s="0" t="s">
        <v>54</v>
      </c>
      <c r="H2007" s="5">
        <v>11419.923000</v>
      </c>
    </row>
    <row r="2008" spans="1:9">
      <c r="A2008" s="22" t="str">
        <f>HYPERLINK("https://app.vivvix.com/360/KMI/IntelliDrive/ApplUI/Pages/CreativePages/CustomReportCreativeDetail.aspx?App=23&amp;ReportView=4&amp;Qid=1711245&amp;Row=2000&amp;Col=1","No Title Assigned - #15283514901")</f>
        <v/>
      </c>
      <c r="B2008" s="0" t="s">
        <v>2850</v>
      </c>
      <c r="C2008" s="0" t="s">
        <v>2851</v>
      </c>
      <c r="D2008" s="0" t="s">
        <v>2852</v>
      </c>
      <c r="E2008" s="0" t="s">
        <v>13</v>
      </c>
      <c r="F2008" s="0" t="s">
        <v>14</v>
      </c>
      <c r="G2008" s="0" t="s">
        <v>62</v>
      </c>
      <c r="H2008" s="5">
        <v>339964.167600</v>
      </c>
    </row>
    <row r="2009" spans="1:9">
      <c r="A2009" s="22" t="str">
        <f>HYPERLINK("https://app.vivvix.com/360/KMI/IntelliDrive/ApplUI/Pages/CreativePages/CustomReportCreativeDetail.aspx?App=23&amp;ReportView=4&amp;Qid=1711245&amp;Row=2001&amp;Col=1","No Title Assigned - #15283514951")</f>
        <v/>
      </c>
      <c r="B2009" s="0" t="s">
        <v>2853</v>
      </c>
      <c r="E2009" s="0" t="s">
        <v>13</v>
      </c>
      <c r="F2009" s="0" t="s">
        <v>13</v>
      </c>
      <c r="G2009" s="0" t="s">
        <v>54</v>
      </c>
      <c r="H2009" s="5">
        <v>1650.380400</v>
      </c>
    </row>
    <row r="2010" spans="1:9">
      <c r="A2010" s="22" t="str">
        <f>HYPERLINK("https://app.vivvix.com/360/KMI/IntelliDrive/ApplUI/Pages/CreativePages/CustomReportCreativeDetail.aspx?App=23&amp;ReportView=4&amp;Qid=1711245&amp;Row=2002&amp;Col=1","No Title Assigned - #15283520246")</f>
        <v/>
      </c>
      <c r="B2010" s="0" t="s">
        <v>2854</v>
      </c>
      <c r="E2010" s="0" t="s">
        <v>13</v>
      </c>
      <c r="F2010" s="0" t="s">
        <v>13</v>
      </c>
      <c r="G2010" s="0" t="s">
        <v>54</v>
      </c>
      <c r="H2010" s="5">
        <v>12240.413100</v>
      </c>
    </row>
    <row r="2011" spans="1:9">
      <c r="A2011" s="22" t="str">
        <f>HYPERLINK("https://app.vivvix.com/360/KMI/IntelliDrive/ApplUI/Pages/CreativePages/CustomReportCreativeDetail.aspx?App=23&amp;ReportView=4&amp;Qid=1711245&amp;Row=2003&amp;Col=1","No Title Assigned - #15283531901")</f>
        <v/>
      </c>
      <c r="B2011" s="0" t="s">
        <v>2855</v>
      </c>
      <c r="E2011" s="0" t="s">
        <v>13</v>
      </c>
      <c r="F2011" s="0" t="s">
        <v>13</v>
      </c>
      <c r="G2011" s="0" t="s">
        <v>54</v>
      </c>
      <c r="H2011" s="5">
        <v>4112.312000</v>
      </c>
    </row>
    <row r="2012" spans="1:9">
      <c r="A2012" s="22" t="str">
        <f>HYPERLINK("https://app.vivvix.com/360/KMI/IntelliDrive/ApplUI/Pages/CreativePages/CustomReportCreativeDetail.aspx?App=23&amp;ReportView=4&amp;Qid=1711245&amp;Row=2004&amp;Col=1","No Title Assigned - #15283545125")</f>
        <v/>
      </c>
      <c r="B2012" s="0" t="s">
        <v>2856</v>
      </c>
      <c r="E2012" s="0" t="s">
        <v>13</v>
      </c>
      <c r="F2012" s="0" t="s">
        <v>13</v>
      </c>
      <c r="G2012" s="0" t="s">
        <v>54</v>
      </c>
      <c r="H2012" s="5">
        <v>170.415100</v>
      </c>
    </row>
    <row r="2013" spans="1:9">
      <c r="A2013" s="22" t="str">
        <f>HYPERLINK("https://app.vivvix.com/360/KMI/IntelliDrive/ApplUI/Pages/CreativePages/CustomReportCreativeDetail.aspx?App=23&amp;ReportView=4&amp;Qid=1711245&amp;Row=2005&amp;Col=1","No Title Assigned - #15283567628")</f>
        <v/>
      </c>
      <c r="B2013" s="0" t="s">
        <v>2857</v>
      </c>
      <c r="C2013" s="0" t="s">
        <v>2858</v>
      </c>
      <c r="D2013" s="0" t="s">
        <v>2858</v>
      </c>
      <c r="E2013" s="0" t="s">
        <v>13</v>
      </c>
      <c r="F2013" s="0" t="s">
        <v>106</v>
      </c>
      <c r="G2013" s="0" t="s">
        <v>107</v>
      </c>
      <c r="H2013" s="5">
        <v>116486.225300</v>
      </c>
    </row>
    <row r="2014" spans="1:9">
      <c r="A2014" s="22" t="str">
        <f>HYPERLINK("https://app.vivvix.com/360/KMI/IntelliDrive/ApplUI/Pages/CreativePages/CustomReportCreativeDetail.aspx?App=23&amp;ReportView=4&amp;Qid=1711245&amp;Row=2006&amp;Col=1","No Title Assigned - #15283567804")</f>
        <v/>
      </c>
      <c r="B2014" s="0" t="s">
        <v>2859</v>
      </c>
      <c r="C2014" s="0" t="s">
        <v>2860</v>
      </c>
      <c r="D2014" s="0" t="s">
        <v>2273</v>
      </c>
      <c r="E2014" s="0" t="s">
        <v>13</v>
      </c>
      <c r="F2014" s="0" t="s">
        <v>14</v>
      </c>
      <c r="G2014" s="0" t="s">
        <v>15</v>
      </c>
      <c r="H2014" s="5">
        <v>35.406500</v>
      </c>
    </row>
    <row r="2015" spans="1:9">
      <c r="A2015" s="22" t="str">
        <f>HYPERLINK("https://app.vivvix.com/360/KMI/IntelliDrive/ApplUI/Pages/CreativePages/CustomReportCreativeDetail.aspx?App=23&amp;ReportView=4&amp;Qid=1711245&amp;Row=2007&amp;Col=1","No Title Assigned - #15283578316")</f>
        <v/>
      </c>
      <c r="B2015" s="0" t="s">
        <v>2861</v>
      </c>
      <c r="C2015" s="0" t="s">
        <v>2862</v>
      </c>
      <c r="D2015" s="0" t="s">
        <v>2862</v>
      </c>
      <c r="E2015" s="0" t="s">
        <v>13</v>
      </c>
      <c r="F2015" s="0" t="s">
        <v>14</v>
      </c>
      <c r="G2015" s="0" t="s">
        <v>15</v>
      </c>
      <c r="H2015" s="5">
        <v>70.813000</v>
      </c>
    </row>
    <row r="2016" spans="1:9">
      <c r="A2016" s="22" t="str">
        <f>HYPERLINK("https://app.vivvix.com/360/KMI/IntelliDrive/ApplUI/Pages/CreativePages/CustomReportCreativeDetail.aspx?App=23&amp;ReportView=4&amp;Qid=1711245&amp;Row=2008&amp;Col=1","No Title Assigned - #15283581367")</f>
        <v/>
      </c>
      <c r="B2016" s="0" t="s">
        <v>2863</v>
      </c>
      <c r="E2016" s="0" t="s">
        <v>13</v>
      </c>
      <c r="F2016" s="0" t="s">
        <v>13</v>
      </c>
      <c r="G2016" s="0" t="s">
        <v>54</v>
      </c>
      <c r="H2016" s="5">
        <v>1776.239600</v>
      </c>
    </row>
    <row r="2017" spans="1:9">
      <c r="A2017" s="22" t="str">
        <f>HYPERLINK("https://app.vivvix.com/360/KMI/IntelliDrive/ApplUI/Pages/CreativePages/CustomReportCreativeDetail.aspx?App=23&amp;ReportView=4&amp;Qid=1711245&amp;Row=2009&amp;Col=1","No Title Assigned - #15283584759")</f>
        <v/>
      </c>
      <c r="B2017" s="0" t="s">
        <v>2864</v>
      </c>
      <c r="E2017" s="0" t="s">
        <v>13</v>
      </c>
      <c r="F2017" s="0" t="s">
        <v>13</v>
      </c>
      <c r="G2017" s="0" t="s">
        <v>54</v>
      </c>
      <c r="H2017" s="5">
        <v>980.484600</v>
      </c>
    </row>
    <row r="2018" spans="1:9">
      <c r="A2018" s="22" t="str">
        <f>HYPERLINK("https://app.vivvix.com/360/KMI/IntelliDrive/ApplUI/Pages/CreativePages/CustomReportCreativeDetail.aspx?App=23&amp;ReportView=4&amp;Qid=1711245&amp;Row=2010&amp;Col=1","No Title Assigned - #15283585346")</f>
        <v/>
      </c>
      <c r="B2018" s="0" t="s">
        <v>2865</v>
      </c>
      <c r="E2018" s="0" t="s">
        <v>13</v>
      </c>
      <c r="F2018" s="0" t="s">
        <v>13</v>
      </c>
      <c r="G2018" s="0" t="s">
        <v>54</v>
      </c>
      <c r="H2018" s="5">
        <v>3232.738100</v>
      </c>
    </row>
    <row r="2019" spans="1:9">
      <c r="A2019" s="22" t="str">
        <f>HYPERLINK("https://app.vivvix.com/360/KMI/IntelliDrive/ApplUI/Pages/CreativePages/CustomReportCreativeDetail.aspx?App=23&amp;ReportView=4&amp;Qid=1711245&amp;Row=2011&amp;Col=1","No Title Assigned - #15283608612")</f>
        <v/>
      </c>
      <c r="B2019" s="0" t="s">
        <v>2866</v>
      </c>
      <c r="C2019" s="0" t="s">
        <v>2867</v>
      </c>
      <c r="D2019" s="0" t="s">
        <v>2867</v>
      </c>
      <c r="E2019" s="0" t="s">
        <v>13</v>
      </c>
      <c r="F2019" s="0" t="s">
        <v>128</v>
      </c>
      <c r="G2019" s="0" t="s">
        <v>456</v>
      </c>
      <c r="H2019" s="5">
        <v>3940.889400</v>
      </c>
    </row>
    <row r="2020" spans="1:9">
      <c r="A2020" s="22" t="str">
        <f>HYPERLINK("https://app.vivvix.com/360/KMI/IntelliDrive/ApplUI/Pages/CreativePages/CustomReportCreativeDetail.aspx?App=23&amp;ReportView=4&amp;Qid=1711245&amp;Row=2012&amp;Col=1","No Title Assigned - #15283610006")</f>
        <v/>
      </c>
      <c r="B2020" s="0" t="s">
        <v>2868</v>
      </c>
      <c r="C2020" s="0" t="s">
        <v>2869</v>
      </c>
      <c r="D2020" s="0" t="s">
        <v>2869</v>
      </c>
      <c r="E2020" s="0" t="s">
        <v>13</v>
      </c>
      <c r="F2020" s="0" t="s">
        <v>14</v>
      </c>
      <c r="G2020" s="0" t="s">
        <v>15</v>
      </c>
      <c r="H2020" s="5">
        <v>1639.268500</v>
      </c>
    </row>
    <row r="2021" spans="1:9">
      <c r="A2021" s="22" t="str">
        <f>HYPERLINK("https://app.vivvix.com/360/KMI/IntelliDrive/ApplUI/Pages/CreativePages/CustomReportCreativeDetail.aspx?App=23&amp;ReportView=4&amp;Qid=1711245&amp;Row=2013&amp;Col=1","No Title Assigned - #15283624035")</f>
        <v/>
      </c>
      <c r="B2021" s="0" t="s">
        <v>2870</v>
      </c>
      <c r="C2021" s="0" t="s">
        <v>2871</v>
      </c>
      <c r="D2021" s="0" t="s">
        <v>2871</v>
      </c>
      <c r="E2021" s="0" t="s">
        <v>13</v>
      </c>
      <c r="F2021" s="0" t="s">
        <v>14</v>
      </c>
      <c r="G2021" s="0" t="s">
        <v>15</v>
      </c>
      <c r="H2021" s="5">
        <v>444.066700</v>
      </c>
    </row>
    <row r="2022" spans="1:9">
      <c r="A2022" s="22" t="str">
        <f>HYPERLINK("https://app.vivvix.com/360/KMI/IntelliDrive/ApplUI/Pages/CreativePages/CustomReportCreativeDetail.aspx?App=23&amp;ReportView=4&amp;Qid=1711245&amp;Row=2014&amp;Col=1","No Title Assigned - #15283624366")</f>
        <v/>
      </c>
      <c r="B2022" s="0" t="s">
        <v>2872</v>
      </c>
      <c r="C2022" s="0" t="s">
        <v>2873</v>
      </c>
      <c r="D2022" s="0" t="s">
        <v>2873</v>
      </c>
      <c r="E2022" s="0" t="s">
        <v>13</v>
      </c>
      <c r="F2022" s="0" t="s">
        <v>14</v>
      </c>
      <c r="G2022" s="0" t="s">
        <v>15</v>
      </c>
      <c r="H2022" s="5">
        <v>3323.366800</v>
      </c>
    </row>
    <row r="2023" spans="1:9">
      <c r="A2023" s="22" t="str">
        <f>HYPERLINK("https://app.vivvix.com/360/KMI/IntelliDrive/ApplUI/Pages/CreativePages/CustomReportCreativeDetail.aspx?App=23&amp;ReportView=4&amp;Qid=1711245&amp;Row=2015&amp;Col=1","No Title Assigned - #15283632625")</f>
        <v/>
      </c>
      <c r="B2023" s="0" t="s">
        <v>2874</v>
      </c>
      <c r="C2023" s="0" t="s">
        <v>2875</v>
      </c>
      <c r="D2023" s="0" t="s">
        <v>2875</v>
      </c>
      <c r="E2023" s="0" t="s">
        <v>13</v>
      </c>
      <c r="F2023" s="0" t="s">
        <v>530</v>
      </c>
      <c r="G2023" s="0" t="s">
        <v>531</v>
      </c>
      <c r="H2023" s="5">
        <v>1406.218400</v>
      </c>
    </row>
    <row r="2024" spans="1:9">
      <c r="A2024" s="22" t="str">
        <f>HYPERLINK("https://app.vivvix.com/360/KMI/IntelliDrive/ApplUI/Pages/CreativePages/CustomReportCreativeDetail.aspx?App=23&amp;ReportView=4&amp;Qid=1711245&amp;Row=2016&amp;Col=1","No Title Assigned - #15283665274")</f>
        <v/>
      </c>
      <c r="B2024" s="0" t="s">
        <v>2876</v>
      </c>
      <c r="C2024" s="0" t="s">
        <v>2877</v>
      </c>
      <c r="D2024" s="0" t="s">
        <v>2877</v>
      </c>
      <c r="E2024" s="0" t="s">
        <v>13</v>
      </c>
      <c r="F2024" s="0" t="s">
        <v>28</v>
      </c>
      <c r="G2024" s="0" t="s">
        <v>453</v>
      </c>
      <c r="H2024" s="5">
        <v>7466.162900</v>
      </c>
    </row>
    <row r="2025" spans="1:9">
      <c r="A2025" s="22" t="str">
        <f>HYPERLINK("https://app.vivvix.com/360/KMI/IntelliDrive/ApplUI/Pages/CreativePages/CustomReportCreativeDetail.aspx?App=23&amp;ReportView=4&amp;Qid=1711245&amp;Row=2017&amp;Col=1","No Title Assigned - #15283671887")</f>
        <v/>
      </c>
      <c r="B2025" s="0" t="s">
        <v>2878</v>
      </c>
      <c r="C2025" s="0" t="s">
        <v>2879</v>
      </c>
      <c r="D2025" s="0" t="s">
        <v>2879</v>
      </c>
      <c r="E2025" s="0" t="s">
        <v>13</v>
      </c>
      <c r="F2025" s="0" t="s">
        <v>14</v>
      </c>
      <c r="G2025" s="0" t="s">
        <v>15</v>
      </c>
      <c r="H2025" s="5">
        <v>445.177500</v>
      </c>
    </row>
    <row r="2026" spans="1:9">
      <c r="A2026" s="22" t="str">
        <f>HYPERLINK("https://app.vivvix.com/360/KMI/IntelliDrive/ApplUI/Pages/CreativePages/CustomReportCreativeDetail.aspx?App=23&amp;ReportView=4&amp;Qid=1711245&amp;Row=2018&amp;Col=1","No Title Assigned - #15283677901")</f>
        <v/>
      </c>
      <c r="B2026" s="0" t="s">
        <v>2880</v>
      </c>
      <c r="E2026" s="0" t="s">
        <v>13</v>
      </c>
      <c r="F2026" s="0" t="s">
        <v>13</v>
      </c>
      <c r="G2026" s="0" t="s">
        <v>54</v>
      </c>
      <c r="H2026" s="5">
        <v>654.489300</v>
      </c>
    </row>
    <row r="2027" spans="1:9">
      <c r="A2027" s="22" t="str">
        <f>HYPERLINK("https://app.vivvix.com/360/KMI/IntelliDrive/ApplUI/Pages/CreativePages/CustomReportCreativeDetail.aspx?App=23&amp;ReportView=4&amp;Qid=1711245&amp;Row=2019&amp;Col=1","No Title Assigned - #15283678003")</f>
        <v/>
      </c>
      <c r="B2027" s="0" t="s">
        <v>2881</v>
      </c>
      <c r="E2027" s="0" t="s">
        <v>13</v>
      </c>
      <c r="F2027" s="0" t="s">
        <v>13</v>
      </c>
      <c r="G2027" s="0" t="s">
        <v>54</v>
      </c>
      <c r="H2027" s="5">
        <v>371.190600</v>
      </c>
    </row>
    <row r="2028" spans="1:9">
      <c r="A2028" s="22" t="str">
        <f>HYPERLINK("https://app.vivvix.com/360/KMI/IntelliDrive/ApplUI/Pages/CreativePages/CustomReportCreativeDetail.aspx?App=23&amp;ReportView=4&amp;Qid=1711245&amp;Row=2020&amp;Col=1","No Title Assigned - #15283678021")</f>
        <v/>
      </c>
      <c r="B2028" s="0" t="s">
        <v>2882</v>
      </c>
      <c r="E2028" s="0" t="s">
        <v>13</v>
      </c>
      <c r="F2028" s="0" t="s">
        <v>13</v>
      </c>
      <c r="G2028" s="0" t="s">
        <v>54</v>
      </c>
      <c r="H2028" s="5">
        <v>123.730200</v>
      </c>
    </row>
    <row r="2029" spans="1:9">
      <c r="A2029" s="22" t="str">
        <f>HYPERLINK("https://app.vivvix.com/360/KMI/IntelliDrive/ApplUI/Pages/CreativePages/CustomReportCreativeDetail.aspx?App=23&amp;ReportView=4&amp;Qid=1711245&amp;Row=2021&amp;Col=1","No Title Assigned - #15283684124")</f>
        <v/>
      </c>
      <c r="B2029" s="0" t="s">
        <v>2883</v>
      </c>
      <c r="E2029" s="0" t="s">
        <v>13</v>
      </c>
      <c r="F2029" s="0" t="s">
        <v>13</v>
      </c>
      <c r="G2029" s="0" t="s">
        <v>54</v>
      </c>
      <c r="H2029" s="5">
        <v>2643.748000</v>
      </c>
    </row>
    <row r="2030" spans="1:9">
      <c r="A2030" s="22" t="str">
        <f>HYPERLINK("https://app.vivvix.com/360/KMI/IntelliDrive/ApplUI/Pages/CreativePages/CustomReportCreativeDetail.aspx?App=23&amp;ReportView=4&amp;Qid=1711245&amp;Row=2022&amp;Col=1","No Title Assigned - #15283690498")</f>
        <v/>
      </c>
      <c r="B2030" s="0" t="s">
        <v>2884</v>
      </c>
      <c r="E2030" s="0" t="s">
        <v>13</v>
      </c>
      <c r="F2030" s="0" t="s">
        <v>13</v>
      </c>
      <c r="G2030" s="0" t="s">
        <v>54</v>
      </c>
      <c r="H2030" s="5">
        <v>411.596100</v>
      </c>
    </row>
    <row r="2031" spans="1:9">
      <c r="A2031" s="22" t="str">
        <f>HYPERLINK("https://app.vivvix.com/360/KMI/IntelliDrive/ApplUI/Pages/CreativePages/CustomReportCreativeDetail.aspx?App=23&amp;ReportView=4&amp;Qid=1711245&amp;Row=2023&amp;Col=1","No Title Assigned - #15283692168")</f>
        <v/>
      </c>
      <c r="B2031" s="0" t="s">
        <v>2885</v>
      </c>
      <c r="E2031" s="0" t="s">
        <v>13</v>
      </c>
      <c r="F2031" s="0" t="s">
        <v>13</v>
      </c>
      <c r="G2031" s="0" t="s">
        <v>54</v>
      </c>
      <c r="H2031" s="5">
        <v>656.556500</v>
      </c>
    </row>
    <row r="2032" spans="1:9">
      <c r="A2032" s="22" t="str">
        <f>HYPERLINK("https://app.vivvix.com/360/KMI/IntelliDrive/ApplUI/Pages/CreativePages/CustomReportCreativeDetail.aspx?App=23&amp;ReportView=4&amp;Qid=1711245&amp;Row=2024&amp;Col=1","No Title Assigned - #15283711602")</f>
        <v/>
      </c>
      <c r="B2032" s="0" t="s">
        <v>2886</v>
      </c>
      <c r="C2032" s="0" t="s">
        <v>2887</v>
      </c>
      <c r="D2032" s="0" t="s">
        <v>2887</v>
      </c>
      <c r="E2032" s="0" t="s">
        <v>13</v>
      </c>
      <c r="F2032" s="0" t="s">
        <v>14</v>
      </c>
      <c r="G2032" s="0" t="s">
        <v>15</v>
      </c>
      <c r="H2032" s="5">
        <v>11084.778600</v>
      </c>
    </row>
    <row r="2033" spans="1:9">
      <c r="A2033" s="22" t="str">
        <f>HYPERLINK("https://app.vivvix.com/360/KMI/IntelliDrive/ApplUI/Pages/CreativePages/CustomReportCreativeDetail.aspx?App=23&amp;ReportView=4&amp;Qid=1711245&amp;Row=2025&amp;Col=1","No Title Assigned - #15283718920")</f>
        <v/>
      </c>
      <c r="B2033" s="0" t="s">
        <v>2888</v>
      </c>
      <c r="E2033" s="0" t="s">
        <v>13</v>
      </c>
      <c r="F2033" s="0" t="s">
        <v>13</v>
      </c>
      <c r="G2033" s="0" t="s">
        <v>54</v>
      </c>
      <c r="H2033" s="5">
        <v>170.415100</v>
      </c>
    </row>
    <row r="2034" spans="1:9">
      <c r="A2034" s="22" t="str">
        <f>HYPERLINK("https://app.vivvix.com/360/KMI/IntelliDrive/ApplUI/Pages/CreativePages/CustomReportCreativeDetail.aspx?App=23&amp;ReportView=4&amp;Qid=1711245&amp;Row=2026&amp;Col=1","No Title Assigned - #15283718959")</f>
        <v/>
      </c>
      <c r="B2034" s="0" t="s">
        <v>2889</v>
      </c>
      <c r="C2034" s="0" t="s">
        <v>2890</v>
      </c>
      <c r="D2034" s="0" t="s">
        <v>2890</v>
      </c>
      <c r="E2034" s="0" t="s">
        <v>13</v>
      </c>
      <c r="F2034" s="0" t="s">
        <v>530</v>
      </c>
      <c r="G2034" s="0" t="s">
        <v>531</v>
      </c>
      <c r="H2034" s="5">
        <v>170.415100</v>
      </c>
    </row>
    <row r="2035" spans="1:9">
      <c r="A2035" s="22" t="str">
        <f>HYPERLINK("https://app.vivvix.com/360/KMI/IntelliDrive/ApplUI/Pages/CreativePages/CustomReportCreativeDetail.aspx?App=23&amp;ReportView=4&amp;Qid=1711245&amp;Row=2027&amp;Col=1","No Title Assigned - #15283728358")</f>
        <v/>
      </c>
      <c r="B2035" s="0" t="s">
        <v>2891</v>
      </c>
      <c r="E2035" s="0" t="s">
        <v>13</v>
      </c>
      <c r="F2035" s="0" t="s">
        <v>13</v>
      </c>
      <c r="G2035" s="0" t="s">
        <v>54</v>
      </c>
      <c r="H2035" s="5">
        <v>3553.944000</v>
      </c>
    </row>
    <row r="2036" spans="1:9">
      <c r="A2036" s="22" t="str">
        <f>HYPERLINK("https://app.vivvix.com/360/KMI/IntelliDrive/ApplUI/Pages/CreativePages/CustomReportCreativeDetail.aspx?App=23&amp;ReportView=4&amp;Qid=1711245&amp;Row=2028&amp;Col=1","No Title Assigned - #15283739612")</f>
        <v/>
      </c>
      <c r="B2036" s="0" t="s">
        <v>2892</v>
      </c>
      <c r="E2036" s="0" t="s">
        <v>13</v>
      </c>
      <c r="F2036" s="0" t="s">
        <v>13</v>
      </c>
      <c r="G2036" s="0" t="s">
        <v>54</v>
      </c>
      <c r="H2036" s="5">
        <v>722.798900</v>
      </c>
    </row>
    <row r="2037" spans="1:9">
      <c r="A2037" s="22" t="str">
        <f>HYPERLINK("https://app.vivvix.com/360/KMI/IntelliDrive/ApplUI/Pages/CreativePages/CustomReportCreativeDetail.aspx?App=23&amp;ReportView=4&amp;Qid=1711245&amp;Row=2029&amp;Col=1","No Title Assigned - #15283784198")</f>
        <v/>
      </c>
      <c r="B2037" s="0" t="s">
        <v>2893</v>
      </c>
      <c r="C2037" s="0" t="s">
        <v>2894</v>
      </c>
      <c r="D2037" s="0" t="s">
        <v>2894</v>
      </c>
      <c r="E2037" s="0" t="s">
        <v>13</v>
      </c>
      <c r="F2037" s="0" t="s">
        <v>14</v>
      </c>
      <c r="G2037" s="0" t="s">
        <v>15</v>
      </c>
      <c r="H2037" s="5">
        <v>35.406500</v>
      </c>
    </row>
    <row r="2038" spans="1:9">
      <c r="A2038" s="22" t="str">
        <f>HYPERLINK("https://app.vivvix.com/360/KMI/IntelliDrive/ApplUI/Pages/CreativePages/CustomReportCreativeDetail.aspx?App=23&amp;ReportView=4&amp;Qid=1711245&amp;Row=2030&amp;Col=1","No Title Assigned - #15283796479")</f>
        <v/>
      </c>
      <c r="B2038" s="0" t="s">
        <v>2895</v>
      </c>
      <c r="E2038" s="0" t="s">
        <v>13</v>
      </c>
      <c r="F2038" s="0" t="s">
        <v>13</v>
      </c>
      <c r="G2038" s="0" t="s">
        <v>54</v>
      </c>
      <c r="H2038" s="5">
        <v>468.387300</v>
      </c>
    </row>
    <row r="2039" spans="1:9">
      <c r="A2039" s="22" t="str">
        <f>HYPERLINK("https://app.vivvix.com/360/KMI/IntelliDrive/ApplUI/Pages/CreativePages/CustomReportCreativeDetail.aspx?App=23&amp;ReportView=4&amp;Qid=1711245&amp;Row=2031&amp;Col=1","No Title Assigned - #15283802956")</f>
        <v/>
      </c>
      <c r="B2039" s="0" t="s">
        <v>2896</v>
      </c>
      <c r="E2039" s="0" t="s">
        <v>13</v>
      </c>
      <c r="F2039" s="0" t="s">
        <v>13</v>
      </c>
      <c r="G2039" s="0" t="s">
        <v>54</v>
      </c>
      <c r="H2039" s="5">
        <v>1263.382200</v>
      </c>
    </row>
    <row r="2040" spans="1:9">
      <c r="A2040" s="22" t="str">
        <f>HYPERLINK("https://app.vivvix.com/360/KMI/IntelliDrive/ApplUI/Pages/CreativePages/CustomReportCreativeDetail.aspx?App=23&amp;ReportView=4&amp;Qid=1711245&amp;Row=2032&amp;Col=1","No Title Assigned - #15283828379")</f>
        <v/>
      </c>
      <c r="B2040" s="0" t="s">
        <v>2897</v>
      </c>
      <c r="C2040" s="0" t="s">
        <v>2898</v>
      </c>
      <c r="D2040" s="0" t="s">
        <v>2898</v>
      </c>
      <c r="E2040" s="0" t="s">
        <v>13</v>
      </c>
      <c r="F2040" s="0" t="s">
        <v>128</v>
      </c>
      <c r="G2040" s="0" t="s">
        <v>456</v>
      </c>
      <c r="H2040" s="5">
        <v>327.782000</v>
      </c>
    </row>
    <row r="2041" spans="1:9">
      <c r="A2041" s="22" t="str">
        <f>HYPERLINK("https://app.vivvix.com/360/KMI/IntelliDrive/ApplUI/Pages/CreativePages/CustomReportCreativeDetail.aspx?App=23&amp;ReportView=4&amp;Qid=1711245&amp;Row=2033&amp;Col=1","No Title Assigned - #15283829255")</f>
        <v/>
      </c>
      <c r="B2041" s="0" t="s">
        <v>2899</v>
      </c>
      <c r="E2041" s="0" t="s">
        <v>13</v>
      </c>
      <c r="F2041" s="0" t="s">
        <v>13</v>
      </c>
      <c r="G2041" s="0" t="s">
        <v>54</v>
      </c>
      <c r="H2041" s="5">
        <v>55.310000</v>
      </c>
    </row>
    <row r="2042" spans="1:9">
      <c r="A2042" s="22" t="str">
        <f>HYPERLINK("https://app.vivvix.com/360/KMI/IntelliDrive/ApplUI/Pages/CreativePages/CustomReportCreativeDetail.aspx?App=23&amp;ReportView=4&amp;Qid=1711245&amp;Row=2034&amp;Col=1","No Title Assigned - #15283838683")</f>
        <v/>
      </c>
      <c r="B2042" s="0" t="s">
        <v>2900</v>
      </c>
      <c r="C2042" s="0" t="s">
        <v>2901</v>
      </c>
      <c r="D2042" s="0" t="s">
        <v>2901</v>
      </c>
      <c r="E2042" s="0" t="s">
        <v>13</v>
      </c>
      <c r="F2042" s="0" t="s">
        <v>540</v>
      </c>
      <c r="G2042" s="0" t="s">
        <v>541</v>
      </c>
      <c r="H2042" s="5">
        <v>1752.109600</v>
      </c>
    </row>
    <row r="2043" spans="1:9">
      <c r="A2043" s="22" t="str">
        <f>HYPERLINK("https://app.vivvix.com/360/KMI/IntelliDrive/ApplUI/Pages/CreativePages/CustomReportCreativeDetail.aspx?App=23&amp;ReportView=4&amp;Qid=1711245&amp;Row=2035&amp;Col=1","No Title Assigned - #15283839197")</f>
        <v/>
      </c>
      <c r="B2043" s="0" t="s">
        <v>2902</v>
      </c>
      <c r="C2043" s="0" t="s">
        <v>2852</v>
      </c>
      <c r="D2043" s="0" t="s">
        <v>2852</v>
      </c>
      <c r="E2043" s="0" t="s">
        <v>13</v>
      </c>
      <c r="F2043" s="0" t="s">
        <v>14</v>
      </c>
      <c r="G2043" s="0" t="s">
        <v>62</v>
      </c>
      <c r="H2043" s="5">
        <v>523.349400</v>
      </c>
    </row>
    <row r="2044" spans="1:9">
      <c r="A2044" s="22" t="str">
        <f>HYPERLINK("https://app.vivvix.com/360/KMI/IntelliDrive/ApplUI/Pages/CreativePages/CustomReportCreativeDetail.aspx?App=23&amp;ReportView=4&amp;Qid=1711245&amp;Row=2036&amp;Col=1","No Title Assigned - #15283839832")</f>
        <v/>
      </c>
      <c r="B2044" s="0" t="s">
        <v>2903</v>
      </c>
      <c r="C2044" s="0" t="s">
        <v>2904</v>
      </c>
      <c r="D2044" s="0" t="s">
        <v>2904</v>
      </c>
      <c r="E2044" s="0" t="s">
        <v>13</v>
      </c>
      <c r="F2044" s="0" t="s">
        <v>128</v>
      </c>
      <c r="G2044" s="0" t="s">
        <v>456</v>
      </c>
      <c r="H2044" s="5">
        <v>170.415100</v>
      </c>
    </row>
    <row r="2045" spans="1:9">
      <c r="A2045" s="22" t="str">
        <f>HYPERLINK("https://app.vivvix.com/360/KMI/IntelliDrive/ApplUI/Pages/CreativePages/CustomReportCreativeDetail.aspx?App=23&amp;ReportView=4&amp;Qid=1711245&amp;Row=2037&amp;Col=1","No Title Assigned - #15283864952")</f>
        <v/>
      </c>
      <c r="B2045" s="0" t="s">
        <v>2905</v>
      </c>
      <c r="E2045" s="0" t="s">
        <v>13</v>
      </c>
      <c r="F2045" s="0" t="s">
        <v>13</v>
      </c>
      <c r="G2045" s="0" t="s">
        <v>54</v>
      </c>
      <c r="H2045" s="5">
        <v>283.639800</v>
      </c>
    </row>
    <row r="2046" spans="1:9">
      <c r="A2046" s="22" t="str">
        <f>HYPERLINK("https://app.vivvix.com/360/KMI/IntelliDrive/ApplUI/Pages/CreativePages/CustomReportCreativeDetail.aspx?App=23&amp;ReportView=4&amp;Qid=1711245&amp;Row=2038&amp;Col=1","No Title Assigned - #15283877493")</f>
        <v/>
      </c>
      <c r="B2046" s="0" t="s">
        <v>2906</v>
      </c>
      <c r="C2046" s="0" t="s">
        <v>2907</v>
      </c>
      <c r="D2046" s="0" t="s">
        <v>2907</v>
      </c>
      <c r="E2046" s="0" t="s">
        <v>13</v>
      </c>
      <c r="F2046" s="0" t="s">
        <v>330</v>
      </c>
      <c r="G2046" s="0" t="s">
        <v>331</v>
      </c>
      <c r="H2046" s="5">
        <v>31148.193200</v>
      </c>
    </row>
    <row r="2047" spans="1:9">
      <c r="A2047" s="22" t="str">
        <f>HYPERLINK("https://app.vivvix.com/360/KMI/IntelliDrive/ApplUI/Pages/CreativePages/CustomReportCreativeDetail.aspx?App=23&amp;ReportView=4&amp;Qid=1711245&amp;Row=2039&amp;Col=1","No Title Assigned - #15283883585")</f>
        <v/>
      </c>
      <c r="B2047" s="0" t="s">
        <v>2908</v>
      </c>
      <c r="E2047" s="0" t="s">
        <v>13</v>
      </c>
      <c r="F2047" s="0" t="s">
        <v>14</v>
      </c>
      <c r="G2047" s="0" t="s">
        <v>15</v>
      </c>
      <c r="H2047" s="5">
        <v>35.406500</v>
      </c>
    </row>
    <row r="2048" spans="1:9">
      <c r="A2048" s="22" t="str">
        <f>HYPERLINK("https://app.vivvix.com/360/KMI/IntelliDrive/ApplUI/Pages/CreativePages/CustomReportCreativeDetail.aspx?App=23&amp;ReportView=4&amp;Qid=1711245&amp;Row=2040&amp;Col=1","No Title Assigned - #15283884414")</f>
        <v/>
      </c>
      <c r="B2048" s="0" t="s">
        <v>2909</v>
      </c>
      <c r="C2048" s="0" t="s">
        <v>2910</v>
      </c>
      <c r="D2048" s="0" t="s">
        <v>2869</v>
      </c>
      <c r="E2048" s="0" t="s">
        <v>13</v>
      </c>
      <c r="F2048" s="0" t="s">
        <v>14</v>
      </c>
      <c r="G2048" s="0" t="s">
        <v>15</v>
      </c>
      <c r="H2048" s="5">
        <v>116.259900</v>
      </c>
    </row>
    <row r="2049" spans="1:9">
      <c r="A2049" s="22" t="str">
        <f>HYPERLINK("https://app.vivvix.com/360/KMI/IntelliDrive/ApplUI/Pages/CreativePages/CustomReportCreativeDetail.aspx?App=23&amp;ReportView=4&amp;Qid=1711245&amp;Row=2041&amp;Col=1","No Title Assigned - #15283897697")</f>
        <v/>
      </c>
      <c r="B2049" s="0" t="s">
        <v>2911</v>
      </c>
      <c r="C2049" s="0" t="s">
        <v>2912</v>
      </c>
      <c r="D2049" s="0" t="s">
        <v>2912</v>
      </c>
      <c r="E2049" s="0" t="s">
        <v>13</v>
      </c>
      <c r="F2049" s="0" t="s">
        <v>530</v>
      </c>
      <c r="G2049" s="0" t="s">
        <v>531</v>
      </c>
      <c r="H2049" s="5">
        <v>1191.732000</v>
      </c>
    </row>
    <row r="2050" spans="1:9">
      <c r="A2050" s="22" t="str">
        <f>HYPERLINK("https://app.vivvix.com/360/KMI/IntelliDrive/ApplUI/Pages/CreativePages/CustomReportCreativeDetail.aspx?App=23&amp;ReportView=4&amp;Qid=1711245&amp;Row=2042&amp;Col=1","No Title Assigned - #15283898201")</f>
        <v/>
      </c>
      <c r="B2050" s="0" t="s">
        <v>2913</v>
      </c>
      <c r="C2050" s="0" t="s">
        <v>2914</v>
      </c>
      <c r="D2050" s="0" t="s">
        <v>2914</v>
      </c>
      <c r="E2050" s="0" t="s">
        <v>13</v>
      </c>
      <c r="F2050" s="0" t="s">
        <v>14</v>
      </c>
      <c r="G2050" s="0" t="s">
        <v>103</v>
      </c>
      <c r="H2050" s="5">
        <v>7114.640000</v>
      </c>
    </row>
    <row r="2051" spans="1:9">
      <c r="A2051" s="22" t="str">
        <f>HYPERLINK("https://app.vivvix.com/360/KMI/IntelliDrive/ApplUI/Pages/CreativePages/CustomReportCreativeDetail.aspx?App=23&amp;ReportView=4&amp;Qid=1711245&amp;Row=2043&amp;Col=1","No Title Assigned - #15283898213")</f>
        <v/>
      </c>
      <c r="B2051" s="0" t="s">
        <v>2915</v>
      </c>
      <c r="C2051" s="0" t="s">
        <v>2916</v>
      </c>
      <c r="D2051" s="0" t="s">
        <v>2916</v>
      </c>
      <c r="E2051" s="0" t="s">
        <v>13</v>
      </c>
      <c r="F2051" s="0" t="s">
        <v>14</v>
      </c>
      <c r="G2051" s="0" t="s">
        <v>103</v>
      </c>
      <c r="H2051" s="5">
        <v>133.397400</v>
      </c>
    </row>
    <row r="2052" spans="1:9">
      <c r="A2052" s="22" t="str">
        <f>HYPERLINK("https://app.vivvix.com/360/KMI/IntelliDrive/ApplUI/Pages/CreativePages/CustomReportCreativeDetail.aspx?App=23&amp;ReportView=4&amp;Qid=1711245&amp;Row=2044&amp;Col=1","No Title Assigned - #15283904283")</f>
        <v/>
      </c>
      <c r="B2052" s="0" t="s">
        <v>2917</v>
      </c>
      <c r="E2052" s="0" t="s">
        <v>13</v>
      </c>
      <c r="F2052" s="0" t="s">
        <v>13</v>
      </c>
      <c r="G2052" s="0" t="s">
        <v>54</v>
      </c>
      <c r="H2052" s="5">
        <v>723.076900</v>
      </c>
    </row>
    <row r="2053" spans="1:9">
      <c r="A2053" s="22" t="str">
        <f>HYPERLINK("https://app.vivvix.com/360/KMI/IntelliDrive/ApplUI/Pages/CreativePages/CustomReportCreativeDetail.aspx?App=23&amp;ReportView=4&amp;Qid=1711245&amp;Row=2045&amp;Col=1","No Title Assigned - #15283909305")</f>
        <v/>
      </c>
      <c r="B2053" s="0" t="s">
        <v>2918</v>
      </c>
      <c r="E2053" s="0" t="s">
        <v>13</v>
      </c>
      <c r="F2053" s="0" t="s">
        <v>13</v>
      </c>
      <c r="G2053" s="0" t="s">
        <v>54</v>
      </c>
      <c r="H2053" s="5">
        <v>72.679300</v>
      </c>
    </row>
    <row r="2054" spans="1:9">
      <c r="A2054" s="22" t="str">
        <f>HYPERLINK("https://app.vivvix.com/360/KMI/IntelliDrive/ApplUI/Pages/CreativePages/CustomReportCreativeDetail.aspx?App=23&amp;ReportView=4&amp;Qid=1711245&amp;Row=2046&amp;Col=1","No Title Assigned - #15283971688")</f>
        <v/>
      </c>
      <c r="B2054" s="0" t="s">
        <v>2919</v>
      </c>
      <c r="C2054" s="0" t="s">
        <v>2920</v>
      </c>
      <c r="D2054" s="0" t="s">
        <v>2920</v>
      </c>
      <c r="E2054" s="0" t="s">
        <v>13</v>
      </c>
      <c r="F2054" s="0" t="s">
        <v>530</v>
      </c>
      <c r="G2054" s="0" t="s">
        <v>531</v>
      </c>
      <c r="H2054" s="5">
        <v>137.688400</v>
      </c>
    </row>
    <row r="2055" spans="1:9">
      <c r="A2055" s="22" t="str">
        <f>HYPERLINK("https://app.vivvix.com/360/KMI/IntelliDrive/ApplUI/Pages/CreativePages/CustomReportCreativeDetail.aspx?App=23&amp;ReportView=4&amp;Qid=1711245&amp;Row=2047&amp;Col=1","No Title Assigned - #15284018799")</f>
        <v/>
      </c>
      <c r="B2055" s="0" t="s">
        <v>2921</v>
      </c>
      <c r="E2055" s="0" t="s">
        <v>13</v>
      </c>
      <c r="F2055" s="0" t="s">
        <v>13</v>
      </c>
      <c r="G2055" s="0" t="s">
        <v>54</v>
      </c>
      <c r="H2055" s="5">
        <v>803.956800</v>
      </c>
    </row>
    <row r="2056" spans="1:9">
      <c r="A2056" s="22" t="str">
        <f>HYPERLINK("https://app.vivvix.com/360/KMI/IntelliDrive/ApplUI/Pages/CreativePages/CustomReportCreativeDetail.aspx?App=23&amp;ReportView=4&amp;Qid=1711245&amp;Row=2048&amp;Col=1","No Title Assigned - #15284020419")</f>
        <v/>
      </c>
      <c r="B2056" s="0" t="s">
        <v>2922</v>
      </c>
      <c r="E2056" s="0" t="s">
        <v>13</v>
      </c>
      <c r="F2056" s="0" t="s">
        <v>13</v>
      </c>
      <c r="G2056" s="0" t="s">
        <v>54</v>
      </c>
      <c r="H2056" s="5">
        <v>81345.448200</v>
      </c>
    </row>
    <row r="2057" spans="1:9">
      <c r="A2057" s="22" t="str">
        <f>HYPERLINK("https://app.vivvix.com/360/KMI/IntelliDrive/ApplUI/Pages/CreativePages/CustomReportCreativeDetail.aspx?App=23&amp;ReportView=4&amp;Qid=1711245&amp;Row=2049&amp;Col=1","No Title Assigned - #15284047901")</f>
        <v/>
      </c>
      <c r="B2057" s="0" t="s">
        <v>2923</v>
      </c>
      <c r="C2057" s="0" t="s">
        <v>2924</v>
      </c>
      <c r="D2057" s="0" t="s">
        <v>2924</v>
      </c>
      <c r="E2057" s="0" t="s">
        <v>13</v>
      </c>
      <c r="F2057" s="0" t="s">
        <v>106</v>
      </c>
      <c r="G2057" s="0" t="s">
        <v>107</v>
      </c>
      <c r="H2057" s="5">
        <v>1271.800300</v>
      </c>
    </row>
    <row r="2058" spans="1:9">
      <c r="A2058" s="22" t="str">
        <f>HYPERLINK("https://app.vivvix.com/360/KMI/IntelliDrive/ApplUI/Pages/CreativePages/CustomReportCreativeDetail.aspx?App=23&amp;ReportView=4&amp;Qid=1711245&amp;Row=2050&amp;Col=1","No Title Assigned - #15284092121")</f>
        <v/>
      </c>
      <c r="B2058" s="0" t="s">
        <v>2925</v>
      </c>
      <c r="E2058" s="0" t="s">
        <v>13</v>
      </c>
      <c r="F2058" s="0" t="s">
        <v>106</v>
      </c>
      <c r="G2058" s="0" t="s">
        <v>107</v>
      </c>
      <c r="H2058" s="5">
        <v>12219.814100</v>
      </c>
    </row>
    <row r="2059" spans="1:9">
      <c r="A2059" s="22" t="str">
        <f>HYPERLINK("https://app.vivvix.com/360/KMI/IntelliDrive/ApplUI/Pages/CreativePages/CustomReportCreativeDetail.aspx?App=23&amp;ReportView=4&amp;Qid=1711245&amp;Row=2051&amp;Col=1","No Title Assigned - #15284105006")</f>
        <v/>
      </c>
      <c r="B2059" s="0" t="s">
        <v>2926</v>
      </c>
      <c r="C2059" s="0" t="s">
        <v>2927</v>
      </c>
      <c r="D2059" s="0" t="s">
        <v>2927</v>
      </c>
      <c r="E2059" s="0" t="s">
        <v>13</v>
      </c>
      <c r="F2059" s="0" t="s">
        <v>28</v>
      </c>
      <c r="G2059" s="0" t="s">
        <v>453</v>
      </c>
      <c r="H2059" s="5">
        <v>1775.895000</v>
      </c>
    </row>
    <row r="2060" spans="1:9">
      <c r="A2060" s="22" t="str">
        <f>HYPERLINK("https://app.vivvix.com/360/KMI/IntelliDrive/ApplUI/Pages/CreativePages/CustomReportCreativeDetail.aspx?App=23&amp;ReportView=4&amp;Qid=1711245&amp;Row=2052&amp;Col=1","No Title Assigned - #15284111192")</f>
        <v/>
      </c>
      <c r="B2060" s="0" t="s">
        <v>2928</v>
      </c>
      <c r="E2060" s="0" t="s">
        <v>13</v>
      </c>
      <c r="F2060" s="0" t="s">
        <v>13</v>
      </c>
      <c r="G2060" s="0" t="s">
        <v>54</v>
      </c>
      <c r="H2060" s="5">
        <v>1338.252700</v>
      </c>
    </row>
    <row r="2061" spans="1:9">
      <c r="A2061" s="22" t="str">
        <f>HYPERLINK("https://app.vivvix.com/360/KMI/IntelliDrive/ApplUI/Pages/CreativePages/CustomReportCreativeDetail.aspx?App=23&amp;ReportView=4&amp;Qid=1711245&amp;Row=2053&amp;Col=1","No Title Assigned - #15284119447")</f>
        <v/>
      </c>
      <c r="B2061" s="0" t="s">
        <v>2929</v>
      </c>
      <c r="E2061" s="0" t="s">
        <v>13</v>
      </c>
      <c r="F2061" s="0" t="s">
        <v>14</v>
      </c>
      <c r="G2061" s="0" t="s">
        <v>15</v>
      </c>
      <c r="H2061" s="5">
        <v>543.594400</v>
      </c>
    </row>
    <row r="2062" spans="1:9">
      <c r="A2062" s="22" t="str">
        <f>HYPERLINK("https://app.vivvix.com/360/KMI/IntelliDrive/ApplUI/Pages/CreativePages/CustomReportCreativeDetail.aspx?App=23&amp;ReportView=4&amp;Qid=1711245&amp;Row=2054&amp;Col=1","No Title Assigned - #15284149357")</f>
        <v/>
      </c>
      <c r="B2062" s="0" t="s">
        <v>2930</v>
      </c>
      <c r="E2062" s="0" t="s">
        <v>13</v>
      </c>
      <c r="F2062" s="0" t="s">
        <v>13</v>
      </c>
      <c r="G2062" s="0" t="s">
        <v>54</v>
      </c>
      <c r="H2062" s="5">
        <v>6100.963000</v>
      </c>
    </row>
    <row r="2063" spans="1:9">
      <c r="A2063" s="22" t="str">
        <f>HYPERLINK("https://app.vivvix.com/360/KMI/IntelliDrive/ApplUI/Pages/CreativePages/CustomReportCreativeDetail.aspx?App=23&amp;ReportView=4&amp;Qid=1711245&amp;Row=2055&amp;Col=1","No Title Assigned - #15284149357")</f>
        <v/>
      </c>
      <c r="B2063" s="0" t="s">
        <v>2930</v>
      </c>
      <c r="E2063" s="0" t="s">
        <v>13</v>
      </c>
      <c r="F2063" s="0" t="s">
        <v>13</v>
      </c>
      <c r="G2063" s="0" t="s">
        <v>54</v>
      </c>
      <c r="H2063" s="5">
        <v>44444.710000</v>
      </c>
    </row>
    <row r="2064" spans="1:9">
      <c r="A2064" s="22" t="str">
        <f>HYPERLINK("https://app.vivvix.com/360/KMI/IntelliDrive/ApplUI/Pages/CreativePages/CustomReportCreativeDetail.aspx?App=23&amp;ReportView=4&amp;Qid=1711245&amp;Row=2056&amp;Col=1","No Title Assigned - #15284161272")</f>
        <v/>
      </c>
      <c r="B2064" s="0" t="s">
        <v>2931</v>
      </c>
      <c r="C2064" s="0" t="s">
        <v>2932</v>
      </c>
      <c r="D2064" s="0" t="s">
        <v>2932</v>
      </c>
      <c r="E2064" s="0" t="s">
        <v>13</v>
      </c>
      <c r="F2064" s="0" t="s">
        <v>14</v>
      </c>
      <c r="G2064" s="0" t="s">
        <v>15</v>
      </c>
      <c r="H2064" s="5">
        <v>3208.382700</v>
      </c>
    </row>
    <row r="2065" spans="1:9">
      <c r="A2065" s="22" t="str">
        <f>HYPERLINK("https://app.vivvix.com/360/KMI/IntelliDrive/ApplUI/Pages/CreativePages/CustomReportCreativeDetail.aspx?App=23&amp;ReportView=4&amp;Qid=1711245&amp;Row=2057&amp;Col=1","No Title Assigned - #15284171387")</f>
        <v/>
      </c>
      <c r="B2065" s="0" t="s">
        <v>2933</v>
      </c>
      <c r="E2065" s="0" t="s">
        <v>13</v>
      </c>
      <c r="F2065" s="0" t="s">
        <v>13</v>
      </c>
      <c r="G2065" s="0" t="s">
        <v>54</v>
      </c>
      <c r="H2065" s="5">
        <v>853.903900</v>
      </c>
    </row>
    <row r="2066" spans="1:9">
      <c r="A2066" s="22" t="str">
        <f>HYPERLINK("https://app.vivvix.com/360/KMI/IntelliDrive/ApplUI/Pages/CreativePages/CustomReportCreativeDetail.aspx?App=23&amp;ReportView=4&amp;Qid=1711245&amp;Row=2058&amp;Col=1","No Title Assigned - #15284172430")</f>
        <v/>
      </c>
      <c r="B2066" s="0" t="s">
        <v>2934</v>
      </c>
      <c r="E2066" s="0" t="s">
        <v>13</v>
      </c>
      <c r="F2066" s="0" t="s">
        <v>13</v>
      </c>
      <c r="G2066" s="0" t="s">
        <v>54</v>
      </c>
      <c r="H2066" s="5">
        <v>3145.608000</v>
      </c>
    </row>
    <row r="2067" spans="1:9">
      <c r="A2067" s="22" t="str">
        <f>HYPERLINK("https://app.vivvix.com/360/KMI/IntelliDrive/ApplUI/Pages/CreativePages/CustomReportCreativeDetail.aspx?App=23&amp;ReportView=4&amp;Qid=1711245&amp;Row=2059&amp;Col=1","No Title Assigned - #15284173548")</f>
        <v/>
      </c>
      <c r="B2067" s="0" t="s">
        <v>2935</v>
      </c>
      <c r="E2067" s="0" t="s">
        <v>13</v>
      </c>
      <c r="F2067" s="0" t="s">
        <v>13</v>
      </c>
      <c r="G2067" s="0" t="s">
        <v>54</v>
      </c>
      <c r="H2067" s="5">
        <v>18739.816600</v>
      </c>
    </row>
    <row r="2068" spans="1:9">
      <c r="A2068" s="22" t="str">
        <f>HYPERLINK("https://app.vivvix.com/360/KMI/IntelliDrive/ApplUI/Pages/CreativePages/CustomReportCreativeDetail.aspx?App=23&amp;ReportView=4&amp;Qid=1711245&amp;Row=2060&amp;Col=1","No Title Assigned - #15284174256")</f>
        <v/>
      </c>
      <c r="B2068" s="0" t="s">
        <v>2936</v>
      </c>
      <c r="E2068" s="0" t="s">
        <v>13</v>
      </c>
      <c r="F2068" s="0" t="s">
        <v>13</v>
      </c>
      <c r="G2068" s="0" t="s">
        <v>54</v>
      </c>
      <c r="H2068" s="5">
        <v>581.246900</v>
      </c>
    </row>
    <row r="2069" spans="1:9">
      <c r="A2069" s="22" t="str">
        <f>HYPERLINK("https://app.vivvix.com/360/KMI/IntelliDrive/ApplUI/Pages/CreativePages/CustomReportCreativeDetail.aspx?App=23&amp;ReportView=4&amp;Qid=1711245&amp;Row=2061&amp;Col=1","No Title Assigned - #15284193160")</f>
        <v/>
      </c>
      <c r="B2069" s="0" t="s">
        <v>2937</v>
      </c>
      <c r="E2069" s="0" t="s">
        <v>13</v>
      </c>
      <c r="F2069" s="0" t="s">
        <v>13</v>
      </c>
      <c r="G2069" s="0" t="s">
        <v>54</v>
      </c>
      <c r="H2069" s="5">
        <v>14617.815400</v>
      </c>
    </row>
    <row r="2070" spans="1:9">
      <c r="A2070" s="22" t="str">
        <f>HYPERLINK("https://app.vivvix.com/360/KMI/IntelliDrive/ApplUI/Pages/CreativePages/CustomReportCreativeDetail.aspx?App=23&amp;ReportView=4&amp;Qid=1711245&amp;Row=2062&amp;Col=1","No Title Assigned - #15284193161")</f>
        <v/>
      </c>
      <c r="B2070" s="0" t="s">
        <v>2938</v>
      </c>
      <c r="E2070" s="0" t="s">
        <v>13</v>
      </c>
      <c r="F2070" s="0" t="s">
        <v>13</v>
      </c>
      <c r="G2070" s="0" t="s">
        <v>54</v>
      </c>
      <c r="H2070" s="5">
        <v>7308.907700</v>
      </c>
    </row>
    <row r="2071" spans="1:9">
      <c r="A2071" s="22" t="str">
        <f>HYPERLINK("https://app.vivvix.com/360/KMI/IntelliDrive/ApplUI/Pages/CreativePages/CustomReportCreativeDetail.aspx?App=23&amp;ReportView=4&amp;Qid=1711245&amp;Row=2063&amp;Col=1","No Title Assigned - #15284216570")</f>
        <v/>
      </c>
      <c r="B2071" s="0" t="s">
        <v>2939</v>
      </c>
      <c r="C2071" s="0" t="s">
        <v>2940</v>
      </c>
      <c r="D2071" s="0" t="s">
        <v>2940</v>
      </c>
      <c r="E2071" s="0" t="s">
        <v>13</v>
      </c>
      <c r="F2071" s="0" t="s">
        <v>14</v>
      </c>
      <c r="G2071" s="0" t="s">
        <v>15</v>
      </c>
      <c r="H2071" s="5">
        <v>9824.462000</v>
      </c>
    </row>
    <row r="2072" spans="1:9">
      <c r="A2072" s="22" t="str">
        <f>HYPERLINK("https://app.vivvix.com/360/KMI/IntelliDrive/ApplUI/Pages/CreativePages/CustomReportCreativeDetail.aspx?App=23&amp;ReportView=4&amp;Qid=1711245&amp;Row=2064&amp;Col=1","No Title Assigned - #15284217302")</f>
        <v/>
      </c>
      <c r="B2072" s="0" t="s">
        <v>2941</v>
      </c>
      <c r="C2072" s="0" t="s">
        <v>2942</v>
      </c>
      <c r="D2072" s="0" t="s">
        <v>2942</v>
      </c>
      <c r="E2072" s="0" t="s">
        <v>13</v>
      </c>
      <c r="F2072" s="0" t="s">
        <v>14</v>
      </c>
      <c r="G2072" s="0" t="s">
        <v>15</v>
      </c>
      <c r="H2072" s="5">
        <v>5187.651500</v>
      </c>
    </row>
    <row r="2073" spans="1:9">
      <c r="A2073" s="22" t="str">
        <f>HYPERLINK("https://app.vivvix.com/360/KMI/IntelliDrive/ApplUI/Pages/CreativePages/CustomReportCreativeDetail.aspx?App=23&amp;ReportView=4&amp;Qid=1711245&amp;Row=2065&amp;Col=1","No Title Assigned - #15284217302")</f>
        <v/>
      </c>
      <c r="B2073" s="0" t="s">
        <v>2941</v>
      </c>
      <c r="E2073" s="0" t="s">
        <v>13</v>
      </c>
      <c r="F2073" s="0" t="s">
        <v>14</v>
      </c>
      <c r="G2073" s="0" t="s">
        <v>15</v>
      </c>
      <c r="H2073" s="5">
        <v>987.099400</v>
      </c>
    </row>
    <row r="2074" spans="1:9">
      <c r="A2074" s="22" t="str">
        <f>HYPERLINK("https://app.vivvix.com/360/KMI/IntelliDrive/ApplUI/Pages/CreativePages/CustomReportCreativeDetail.aspx?App=23&amp;ReportView=4&amp;Qid=1711245&amp;Row=2066&amp;Col=1","No Title Assigned - #15284217303")</f>
        <v/>
      </c>
      <c r="B2074" s="0" t="s">
        <v>2943</v>
      </c>
      <c r="C2074" s="0" t="s">
        <v>2944</v>
      </c>
      <c r="D2074" s="0" t="s">
        <v>2944</v>
      </c>
      <c r="E2074" s="0" t="s">
        <v>13</v>
      </c>
      <c r="F2074" s="0" t="s">
        <v>14</v>
      </c>
      <c r="G2074" s="0" t="s">
        <v>15</v>
      </c>
      <c r="H2074" s="5">
        <v>4912.231000</v>
      </c>
    </row>
    <row r="2075" spans="1:9">
      <c r="A2075" s="22" t="str">
        <f>HYPERLINK("https://app.vivvix.com/360/KMI/IntelliDrive/ApplUI/Pages/CreativePages/CustomReportCreativeDetail.aspx?App=23&amp;ReportView=4&amp;Qid=1711245&amp;Row=2067&amp;Col=1","No Title Assigned - #15284231969")</f>
        <v/>
      </c>
      <c r="B2075" s="0" t="s">
        <v>2945</v>
      </c>
      <c r="C2075" s="0" t="s">
        <v>2946</v>
      </c>
      <c r="D2075" s="0" t="s">
        <v>2946</v>
      </c>
      <c r="E2075" s="0" t="s">
        <v>13</v>
      </c>
      <c r="F2075" s="0" t="s">
        <v>13</v>
      </c>
      <c r="G2075" s="0" t="s">
        <v>78</v>
      </c>
      <c r="H2075" s="5">
        <v>552.218100</v>
      </c>
    </row>
    <row r="2076" spans="1:9">
      <c r="A2076" s="22" t="str">
        <f>HYPERLINK("https://app.vivvix.com/360/KMI/IntelliDrive/ApplUI/Pages/CreativePages/CustomReportCreativeDetail.aspx?App=23&amp;ReportView=4&amp;Qid=1711245&amp;Row=2068&amp;Col=1","No Title Assigned - #15284242473")</f>
        <v/>
      </c>
      <c r="B2076" s="0" t="s">
        <v>2947</v>
      </c>
      <c r="C2076" s="0" t="s">
        <v>2948</v>
      </c>
      <c r="D2076" s="0" t="s">
        <v>2948</v>
      </c>
      <c r="E2076" s="0" t="s">
        <v>13</v>
      </c>
      <c r="F2076" s="0" t="s">
        <v>14</v>
      </c>
      <c r="G2076" s="0" t="s">
        <v>15</v>
      </c>
      <c r="H2076" s="5">
        <v>8172.959500</v>
      </c>
    </row>
    <row r="2077" spans="1:9">
      <c r="A2077" s="22" t="str">
        <f>HYPERLINK("https://app.vivvix.com/360/KMI/IntelliDrive/ApplUI/Pages/CreativePages/CustomReportCreativeDetail.aspx?App=23&amp;ReportView=4&amp;Qid=1711245&amp;Row=2069&amp;Col=1","No Title Assigned - #15284242473")</f>
        <v/>
      </c>
      <c r="B2077" s="0" t="s">
        <v>2947</v>
      </c>
      <c r="E2077" s="0" t="s">
        <v>13</v>
      </c>
      <c r="F2077" s="0" t="s">
        <v>14</v>
      </c>
      <c r="G2077" s="0" t="s">
        <v>15</v>
      </c>
      <c r="H2077" s="5">
        <v>11803.352000</v>
      </c>
    </row>
    <row r="2078" spans="1:9">
      <c r="A2078" s="22" t="str">
        <f>HYPERLINK("https://app.vivvix.com/360/KMI/IntelliDrive/ApplUI/Pages/CreativePages/CustomReportCreativeDetail.aspx?App=23&amp;ReportView=4&amp;Qid=1711245&amp;Row=2070&amp;Col=1","No Title Assigned - #15284247835")</f>
        <v/>
      </c>
      <c r="B2078" s="0" t="s">
        <v>2949</v>
      </c>
      <c r="C2078" s="0" t="s">
        <v>2950</v>
      </c>
      <c r="D2078" s="0" t="s">
        <v>2950</v>
      </c>
      <c r="E2078" s="0" t="s">
        <v>13</v>
      </c>
      <c r="F2078" s="0" t="s">
        <v>14</v>
      </c>
      <c r="G2078" s="0" t="s">
        <v>15</v>
      </c>
      <c r="H2078" s="5">
        <v>174.281600</v>
      </c>
    </row>
    <row r="2079" spans="1:9">
      <c r="A2079" s="22" t="str">
        <f>HYPERLINK("https://app.vivvix.com/360/KMI/IntelliDrive/ApplUI/Pages/CreativePages/CustomReportCreativeDetail.aspx?App=23&amp;ReportView=4&amp;Qid=1711245&amp;Row=2071&amp;Col=1","No Title Assigned - #15284258046")</f>
        <v/>
      </c>
      <c r="B2079" s="0" t="s">
        <v>2951</v>
      </c>
      <c r="C2079" s="0" t="s">
        <v>2952</v>
      </c>
      <c r="D2079" s="0" t="s">
        <v>2952</v>
      </c>
      <c r="E2079" s="0" t="s">
        <v>13</v>
      </c>
      <c r="F2079" s="0" t="s">
        <v>14</v>
      </c>
      <c r="G2079" s="0" t="s">
        <v>15</v>
      </c>
      <c r="H2079" s="5">
        <v>10.414200</v>
      </c>
    </row>
    <row r="2080" spans="1:9">
      <c r="A2080" s="22" t="str">
        <f>HYPERLINK("https://app.vivvix.com/360/KMI/IntelliDrive/ApplUI/Pages/CreativePages/CustomReportCreativeDetail.aspx?App=23&amp;ReportView=4&amp;Qid=1711245&amp;Row=2072&amp;Col=1","No Title Assigned - #15284259656")</f>
        <v/>
      </c>
      <c r="B2080" s="0" t="s">
        <v>2953</v>
      </c>
      <c r="C2080" s="0" t="s">
        <v>2954</v>
      </c>
      <c r="D2080" s="0" t="s">
        <v>2954</v>
      </c>
      <c r="E2080" s="0" t="s">
        <v>13</v>
      </c>
      <c r="F2080" s="0" t="s">
        <v>14</v>
      </c>
      <c r="G2080" s="0" t="s">
        <v>15</v>
      </c>
      <c r="H2080" s="5">
        <v>4912.231000</v>
      </c>
    </row>
    <row r="2081" spans="1:9">
      <c r="A2081" s="22" t="str">
        <f>HYPERLINK("https://app.vivvix.com/360/KMI/IntelliDrive/ApplUI/Pages/CreativePages/CustomReportCreativeDetail.aspx?App=23&amp;ReportView=4&amp;Qid=1711245&amp;Row=2073&amp;Col=1","No Title Assigned - #15284271082")</f>
        <v/>
      </c>
      <c r="B2081" s="0" t="s">
        <v>2955</v>
      </c>
      <c r="E2081" s="0" t="s">
        <v>13</v>
      </c>
      <c r="F2081" s="0" t="s">
        <v>13</v>
      </c>
      <c r="G2081" s="0" t="s">
        <v>54</v>
      </c>
      <c r="H2081" s="5">
        <v>4159.288500</v>
      </c>
    </row>
    <row r="2082" spans="1:9">
      <c r="A2082" s="22" t="str">
        <f>HYPERLINK("https://app.vivvix.com/360/KMI/IntelliDrive/ApplUI/Pages/CreativePages/CustomReportCreativeDetail.aspx?App=23&amp;ReportView=4&amp;Qid=1711245&amp;Row=2074&amp;Col=1","No Title Assigned - #15284277786")</f>
        <v/>
      </c>
      <c r="B2082" s="0" t="s">
        <v>2956</v>
      </c>
      <c r="E2082" s="0" t="s">
        <v>13</v>
      </c>
      <c r="F2082" s="0" t="s">
        <v>13</v>
      </c>
      <c r="G2082" s="0" t="s">
        <v>54</v>
      </c>
      <c r="H2082" s="5">
        <v>1246.853900</v>
      </c>
    </row>
    <row r="2083" spans="1:9">
      <c r="A2083" s="22" t="str">
        <f>HYPERLINK("https://app.vivvix.com/360/KMI/IntelliDrive/ApplUI/Pages/CreativePages/CustomReportCreativeDetail.aspx?App=23&amp;ReportView=4&amp;Qid=1711245&amp;Row=2075&amp;Col=1","No Title Assigned - #15284280015")</f>
        <v/>
      </c>
      <c r="B2083" s="0" t="s">
        <v>2957</v>
      </c>
      <c r="C2083" s="0" t="s">
        <v>2958</v>
      </c>
      <c r="D2083" s="0" t="s">
        <v>2958</v>
      </c>
      <c r="E2083" s="0" t="s">
        <v>13</v>
      </c>
      <c r="F2083" s="0" t="s">
        <v>13</v>
      </c>
      <c r="G2083" s="0" t="s">
        <v>78</v>
      </c>
      <c r="H2083" s="5">
        <v>650.259000</v>
      </c>
    </row>
    <row r="2084" spans="1:9">
      <c r="A2084" s="22" t="str">
        <f>HYPERLINK("https://app.vivvix.com/360/KMI/IntelliDrive/ApplUI/Pages/CreativePages/CustomReportCreativeDetail.aspx?App=23&amp;ReportView=4&amp;Qid=1711245&amp;Row=2076&amp;Col=1","No Title Assigned - #15284280141")</f>
        <v/>
      </c>
      <c r="B2084" s="0" t="s">
        <v>2959</v>
      </c>
      <c r="E2084" s="0" t="s">
        <v>13</v>
      </c>
      <c r="F2084" s="0" t="s">
        <v>13</v>
      </c>
      <c r="G2084" s="0" t="s">
        <v>54</v>
      </c>
      <c r="H2084" s="5">
        <v>286.076400</v>
      </c>
    </row>
    <row r="2085" spans="1:9">
      <c r="A2085" s="22" t="str">
        <f>HYPERLINK("https://app.vivvix.com/360/KMI/IntelliDrive/ApplUI/Pages/CreativePages/CustomReportCreativeDetail.aspx?App=23&amp;ReportView=4&amp;Qid=1711245&amp;Row=2077&amp;Col=1","No Title Assigned - #15284285850")</f>
        <v/>
      </c>
      <c r="B2085" s="0" t="s">
        <v>2960</v>
      </c>
      <c r="E2085" s="0" t="s">
        <v>13</v>
      </c>
      <c r="F2085" s="0" t="s">
        <v>13</v>
      </c>
      <c r="G2085" s="0" t="s">
        <v>54</v>
      </c>
      <c r="H2085" s="5">
        <v>123.730200</v>
      </c>
    </row>
    <row r="2086" spans="1:9">
      <c r="A2086" s="22" t="str">
        <f>HYPERLINK("https://app.vivvix.com/360/KMI/IntelliDrive/ApplUI/Pages/CreativePages/CustomReportCreativeDetail.aspx?App=23&amp;ReportView=4&amp;Qid=1711245&amp;Row=2078&amp;Col=1","No Title Assigned - #15284301704")</f>
        <v/>
      </c>
      <c r="B2086" s="0" t="s">
        <v>2961</v>
      </c>
      <c r="C2086" s="0" t="s">
        <v>2962</v>
      </c>
      <c r="D2086" s="0" t="s">
        <v>2962</v>
      </c>
      <c r="E2086" s="0" t="s">
        <v>13</v>
      </c>
      <c r="F2086" s="0" t="s">
        <v>14</v>
      </c>
      <c r="G2086" s="0" t="s">
        <v>15</v>
      </c>
      <c r="H2086" s="5">
        <v>106.219500</v>
      </c>
    </row>
    <row r="2087" spans="1:9">
      <c r="A2087" s="22" t="str">
        <f>HYPERLINK("https://app.vivvix.com/360/KMI/IntelliDrive/ApplUI/Pages/CreativePages/CustomReportCreativeDetail.aspx?App=23&amp;ReportView=4&amp;Qid=1711245&amp;Row=2079&amp;Col=1","No Title Assigned - #15284306954")</f>
        <v/>
      </c>
      <c r="B2087" s="0" t="s">
        <v>2963</v>
      </c>
      <c r="C2087" s="0" t="s">
        <v>2964</v>
      </c>
      <c r="D2087" s="0" t="s">
        <v>2964</v>
      </c>
      <c r="E2087" s="0" t="s">
        <v>13</v>
      </c>
      <c r="F2087" s="0" t="s">
        <v>14</v>
      </c>
      <c r="G2087" s="0" t="s">
        <v>15</v>
      </c>
      <c r="H2087" s="5">
        <v>1181.386500</v>
      </c>
    </row>
    <row r="2088" spans="1:9">
      <c r="A2088" s="22" t="str">
        <f>HYPERLINK("https://app.vivvix.com/360/KMI/IntelliDrive/ApplUI/Pages/CreativePages/CustomReportCreativeDetail.aspx?App=23&amp;ReportView=4&amp;Qid=1711245&amp;Row=2080&amp;Col=1","No Title Assigned - #15284311037")</f>
        <v/>
      </c>
      <c r="B2088" s="0" t="s">
        <v>2965</v>
      </c>
      <c r="C2088" s="0" t="s">
        <v>2966</v>
      </c>
      <c r="D2088" s="0" t="s">
        <v>2966</v>
      </c>
      <c r="E2088" s="0" t="s">
        <v>13</v>
      </c>
      <c r="F2088" s="0" t="s">
        <v>106</v>
      </c>
      <c r="G2088" s="0" t="s">
        <v>107</v>
      </c>
      <c r="H2088" s="5">
        <v>675.644400</v>
      </c>
    </row>
    <row r="2089" spans="1:9">
      <c r="A2089" s="22" t="str">
        <f>HYPERLINK("https://app.vivvix.com/360/KMI/IntelliDrive/ApplUI/Pages/CreativePages/CustomReportCreativeDetail.aspx?App=23&amp;ReportView=4&amp;Qid=1711245&amp;Row=2081&amp;Col=1","No Title Assigned - #15284318760")</f>
        <v/>
      </c>
      <c r="B2089" s="0" t="s">
        <v>2967</v>
      </c>
      <c r="C2089" s="0" t="s">
        <v>2968</v>
      </c>
      <c r="D2089" s="0" t="s">
        <v>2968</v>
      </c>
      <c r="E2089" s="0" t="s">
        <v>13</v>
      </c>
      <c r="F2089" s="0" t="s">
        <v>28</v>
      </c>
      <c r="G2089" s="0" t="s">
        <v>453</v>
      </c>
      <c r="H2089" s="5">
        <v>1056.753000</v>
      </c>
    </row>
    <row r="2090" spans="1:9">
      <c r="A2090" s="22" t="str">
        <f>HYPERLINK("https://app.vivvix.com/360/KMI/IntelliDrive/ApplUI/Pages/CreativePages/CustomReportCreativeDetail.aspx?App=23&amp;ReportView=4&amp;Qid=1711245&amp;Row=2082&amp;Col=1","No Title Assigned - #15284320261")</f>
        <v/>
      </c>
      <c r="B2090" s="0" t="s">
        <v>2969</v>
      </c>
      <c r="E2090" s="0" t="s">
        <v>13</v>
      </c>
      <c r="F2090" s="0" t="s">
        <v>13</v>
      </c>
      <c r="G2090" s="0" t="s">
        <v>54</v>
      </c>
      <c r="H2090" s="5">
        <v>3771.946000</v>
      </c>
    </row>
    <row r="2091" spans="1:9">
      <c r="A2091" s="22" t="str">
        <f>HYPERLINK("https://app.vivvix.com/360/KMI/IntelliDrive/ApplUI/Pages/CreativePages/CustomReportCreativeDetail.aspx?App=23&amp;ReportView=4&amp;Qid=1711245&amp;Row=2083&amp;Col=1","No Title Assigned - #15284323387")</f>
        <v/>
      </c>
      <c r="B2091" s="0" t="s">
        <v>2970</v>
      </c>
      <c r="C2091" s="0" t="s">
        <v>2971</v>
      </c>
      <c r="D2091" s="0" t="s">
        <v>2971</v>
      </c>
      <c r="E2091" s="0" t="s">
        <v>13</v>
      </c>
      <c r="F2091" s="0" t="s">
        <v>530</v>
      </c>
      <c r="G2091" s="0" t="s">
        <v>531</v>
      </c>
      <c r="H2091" s="5">
        <v>409.646200</v>
      </c>
    </row>
    <row r="2092" spans="1:9">
      <c r="A2092" s="22" t="str">
        <f>HYPERLINK("https://app.vivvix.com/360/KMI/IntelliDrive/ApplUI/Pages/CreativePages/CustomReportCreativeDetail.aspx?App=23&amp;ReportView=4&amp;Qid=1711245&amp;Row=2084&amp;Col=1","No Title Assigned - #15284323498")</f>
        <v/>
      </c>
      <c r="B2092" s="0" t="s">
        <v>2972</v>
      </c>
      <c r="C2092" s="0" t="s">
        <v>2973</v>
      </c>
      <c r="D2092" s="0" t="s">
        <v>2973</v>
      </c>
      <c r="E2092" s="0" t="s">
        <v>13</v>
      </c>
      <c r="F2092" s="0" t="s">
        <v>14</v>
      </c>
      <c r="G2092" s="0" t="s">
        <v>15</v>
      </c>
      <c r="H2092" s="5">
        <v>691.410700</v>
      </c>
    </row>
    <row r="2093" spans="1:9">
      <c r="A2093" s="22" t="str">
        <f>HYPERLINK("https://app.vivvix.com/360/KMI/IntelliDrive/ApplUI/Pages/CreativePages/CustomReportCreativeDetail.aspx?App=23&amp;ReportView=4&amp;Qid=1711245&amp;Row=2085&amp;Col=1","No Title Assigned - #15284328521")</f>
        <v/>
      </c>
      <c r="B2093" s="0" t="s">
        <v>2974</v>
      </c>
      <c r="C2093" s="0" t="s">
        <v>2975</v>
      </c>
      <c r="D2093" s="0" t="s">
        <v>2975</v>
      </c>
      <c r="E2093" s="0" t="s">
        <v>13</v>
      </c>
      <c r="F2093" s="0" t="s">
        <v>14</v>
      </c>
      <c r="G2093" s="0" t="s">
        <v>15</v>
      </c>
      <c r="H2093" s="5">
        <v>468.387300</v>
      </c>
    </row>
    <row r="2094" spans="1:9">
      <c r="A2094" s="22" t="str">
        <f>HYPERLINK("https://app.vivvix.com/360/KMI/IntelliDrive/ApplUI/Pages/CreativePages/CustomReportCreativeDetail.aspx?App=23&amp;ReportView=4&amp;Qid=1711245&amp;Row=2086&amp;Col=1","No Title Assigned - #15284329380")</f>
        <v/>
      </c>
      <c r="B2094" s="0" t="s">
        <v>2976</v>
      </c>
      <c r="C2094" s="0" t="s">
        <v>2977</v>
      </c>
      <c r="D2094" s="0" t="s">
        <v>2977</v>
      </c>
      <c r="E2094" s="0" t="s">
        <v>13</v>
      </c>
      <c r="F2094" s="0" t="s">
        <v>14</v>
      </c>
      <c r="G2094" s="0" t="s">
        <v>15</v>
      </c>
      <c r="H2094" s="5">
        <v>140.326300</v>
      </c>
    </row>
    <row r="2095" spans="1:9">
      <c r="A2095" s="22" t="str">
        <f>HYPERLINK("https://app.vivvix.com/360/KMI/IntelliDrive/ApplUI/Pages/CreativePages/CustomReportCreativeDetail.aspx?App=23&amp;ReportView=4&amp;Qid=1711245&amp;Row=2087&amp;Col=1","No Title Assigned - #15284362216")</f>
        <v/>
      </c>
      <c r="B2095" s="0" t="s">
        <v>2978</v>
      </c>
      <c r="C2095" s="0" t="s">
        <v>2979</v>
      </c>
      <c r="D2095" s="0" t="s">
        <v>2979</v>
      </c>
      <c r="E2095" s="0" t="s">
        <v>13</v>
      </c>
      <c r="F2095" s="0" t="s">
        <v>14</v>
      </c>
      <c r="G2095" s="0" t="s">
        <v>103</v>
      </c>
      <c r="H2095" s="5">
        <v>1022.730600</v>
      </c>
    </row>
    <row r="2096" spans="1:9">
      <c r="A2096" s="22" t="str">
        <f>HYPERLINK("https://app.vivvix.com/360/KMI/IntelliDrive/ApplUI/Pages/CreativePages/CustomReportCreativeDetail.aspx?App=23&amp;ReportView=4&amp;Qid=1711245&amp;Row=2088&amp;Col=1","No Title Assigned - #15284397873")</f>
        <v/>
      </c>
      <c r="B2096" s="0" t="s">
        <v>2980</v>
      </c>
      <c r="C2096" s="0" t="s">
        <v>2981</v>
      </c>
      <c r="D2096" s="0" t="s">
        <v>2981</v>
      </c>
      <c r="E2096" s="0" t="s">
        <v>13</v>
      </c>
      <c r="F2096" s="0" t="s">
        <v>14</v>
      </c>
      <c r="G2096" s="0" t="s">
        <v>15</v>
      </c>
      <c r="H2096" s="5">
        <v>109.044600</v>
      </c>
    </row>
    <row r="2097" spans="1:9">
      <c r="A2097" s="22" t="str">
        <f>HYPERLINK("https://app.vivvix.com/360/KMI/IntelliDrive/ApplUI/Pages/CreativePages/CustomReportCreativeDetail.aspx?App=23&amp;ReportView=4&amp;Qid=1711245&amp;Row=2089&amp;Col=1","No Title Assigned - #15284402258")</f>
        <v/>
      </c>
      <c r="B2097" s="0" t="s">
        <v>2982</v>
      </c>
      <c r="C2097" s="0" t="s">
        <v>2983</v>
      </c>
      <c r="D2097" s="0" t="s">
        <v>2983</v>
      </c>
      <c r="E2097" s="0" t="s">
        <v>13</v>
      </c>
      <c r="F2097" s="0" t="s">
        <v>106</v>
      </c>
      <c r="G2097" s="0" t="s">
        <v>107</v>
      </c>
      <c r="H2097" s="5">
        <v>1344.987300</v>
      </c>
    </row>
    <row r="2098" spans="1:9">
      <c r="A2098" s="22" t="str">
        <f>HYPERLINK("https://app.vivvix.com/360/KMI/IntelliDrive/ApplUI/Pages/CreativePages/CustomReportCreativeDetail.aspx?App=23&amp;ReportView=4&amp;Qid=1711245&amp;Row=2090&amp;Col=1","No Title Assigned - #15284403572")</f>
        <v/>
      </c>
      <c r="B2098" s="0" t="s">
        <v>2984</v>
      </c>
      <c r="C2098" s="0" t="s">
        <v>2985</v>
      </c>
      <c r="D2098" s="0" t="s">
        <v>2986</v>
      </c>
      <c r="E2098" s="0" t="s">
        <v>13</v>
      </c>
      <c r="F2098" s="0" t="s">
        <v>14</v>
      </c>
      <c r="G2098" s="0" t="s">
        <v>15</v>
      </c>
      <c r="H2098" s="5">
        <v>2271.362500</v>
      </c>
    </row>
    <row r="2099" spans="1:9">
      <c r="A2099" s="22" t="str">
        <f>HYPERLINK("https://app.vivvix.com/360/KMI/IntelliDrive/ApplUI/Pages/CreativePages/CustomReportCreativeDetail.aspx?App=23&amp;ReportView=4&amp;Qid=1711245&amp;Row=2091&amp;Col=1","No Title Assigned - #15284413553")</f>
        <v/>
      </c>
      <c r="B2099" s="0" t="s">
        <v>2987</v>
      </c>
      <c r="C2099" s="0" t="s">
        <v>2988</v>
      </c>
      <c r="D2099" s="0" t="s">
        <v>2988</v>
      </c>
      <c r="E2099" s="0" t="s">
        <v>13</v>
      </c>
      <c r="F2099" s="0" t="s">
        <v>14</v>
      </c>
      <c r="G2099" s="0" t="s">
        <v>15</v>
      </c>
      <c r="H2099" s="5">
        <v>186.842900</v>
      </c>
    </row>
    <row r="2100" spans="1:9">
      <c r="A2100" s="22" t="str">
        <f>HYPERLINK("https://app.vivvix.com/360/KMI/IntelliDrive/ApplUI/Pages/CreativePages/CustomReportCreativeDetail.aspx?App=23&amp;ReportView=4&amp;Qid=1711245&amp;Row=2092&amp;Col=1","No Title Assigned - #15284456275")</f>
        <v/>
      </c>
      <c r="B2100" s="0" t="s">
        <v>2989</v>
      </c>
      <c r="C2100" s="0" t="s">
        <v>2990</v>
      </c>
      <c r="D2100" s="0" t="s">
        <v>2990</v>
      </c>
      <c r="E2100" s="0" t="s">
        <v>13</v>
      </c>
      <c r="F2100" s="0" t="s">
        <v>14</v>
      </c>
      <c r="G2100" s="0" t="s">
        <v>15</v>
      </c>
      <c r="H2100" s="5">
        <v>147.276200</v>
      </c>
    </row>
    <row r="2101" spans="1:9">
      <c r="A2101" s="22" t="str">
        <f>HYPERLINK("https://app.vivvix.com/360/KMI/IntelliDrive/ApplUI/Pages/CreativePages/CustomReportCreativeDetail.aspx?App=23&amp;ReportView=4&amp;Qid=1711245&amp;Row=2093&amp;Col=1","No Title Assigned - #15284474819")</f>
        <v/>
      </c>
      <c r="B2101" s="0" t="s">
        <v>2991</v>
      </c>
      <c r="C2101" s="0" t="s">
        <v>2992</v>
      </c>
      <c r="D2101" s="0" t="s">
        <v>2992</v>
      </c>
      <c r="E2101" s="0" t="s">
        <v>13</v>
      </c>
      <c r="F2101" s="0" t="s">
        <v>14</v>
      </c>
      <c r="G2101" s="0" t="s">
        <v>15</v>
      </c>
      <c r="H2101" s="5">
        <v>35.406500</v>
      </c>
    </row>
    <row r="2102" spans="1:9">
      <c r="A2102" s="22" t="str">
        <f>HYPERLINK("https://app.vivvix.com/360/KMI/IntelliDrive/ApplUI/Pages/CreativePages/CustomReportCreativeDetail.aspx?App=23&amp;ReportView=4&amp;Qid=1711245&amp;Row=2094&amp;Col=1","No Title Assigned - #15284475133")</f>
        <v/>
      </c>
      <c r="B2102" s="0" t="s">
        <v>2993</v>
      </c>
      <c r="C2102" s="0" t="s">
        <v>2994</v>
      </c>
      <c r="D2102" s="0" t="s">
        <v>2994</v>
      </c>
      <c r="E2102" s="0" t="s">
        <v>13</v>
      </c>
      <c r="F2102" s="0" t="s">
        <v>14</v>
      </c>
      <c r="G2102" s="0" t="s">
        <v>15</v>
      </c>
      <c r="H2102" s="5">
        <v>780.932400</v>
      </c>
    </row>
    <row r="2103" spans="1:9">
      <c r="A2103" s="22" t="str">
        <f>HYPERLINK("https://app.vivvix.com/360/KMI/IntelliDrive/ApplUI/Pages/CreativePages/CustomReportCreativeDetail.aspx?App=23&amp;ReportView=4&amp;Qid=1711245&amp;Row=2095&amp;Col=1","No Title Assigned - #15284496252")</f>
        <v/>
      </c>
      <c r="B2103" s="0" t="s">
        <v>2995</v>
      </c>
      <c r="E2103" s="0" t="s">
        <v>13</v>
      </c>
      <c r="F2103" s="0" t="s">
        <v>13</v>
      </c>
      <c r="G2103" s="0" t="s">
        <v>54</v>
      </c>
      <c r="H2103" s="5">
        <v>14617.815400</v>
      </c>
    </row>
    <row r="2104" spans="1:9">
      <c r="A2104" s="22" t="str">
        <f>HYPERLINK("https://app.vivvix.com/360/KMI/IntelliDrive/ApplUI/Pages/CreativePages/CustomReportCreativeDetail.aspx?App=23&amp;ReportView=4&amp;Qid=1711245&amp;Row=2096&amp;Col=1","No Title Assigned - #15284515318")</f>
        <v/>
      </c>
      <c r="B2104" s="0" t="s">
        <v>2996</v>
      </c>
      <c r="C2104" s="0" t="s">
        <v>2997</v>
      </c>
      <c r="D2104" s="0" t="s">
        <v>2997</v>
      </c>
      <c r="E2104" s="0" t="s">
        <v>13</v>
      </c>
      <c r="F2104" s="0" t="s">
        <v>14</v>
      </c>
      <c r="G2104" s="0" t="s">
        <v>15</v>
      </c>
      <c r="H2104" s="5">
        <v>11298.137600</v>
      </c>
    </row>
    <row r="2105" spans="1:9">
      <c r="A2105" s="22" t="str">
        <f>HYPERLINK("https://app.vivvix.com/360/KMI/IntelliDrive/ApplUI/Pages/CreativePages/CustomReportCreativeDetail.aspx?App=23&amp;ReportView=4&amp;Qid=1711245&amp;Row=2097&amp;Col=1","No Title Assigned - #15284515333")</f>
        <v/>
      </c>
      <c r="B2105" s="0" t="s">
        <v>2998</v>
      </c>
      <c r="C2105" s="0" t="s">
        <v>2999</v>
      </c>
      <c r="D2105" s="0" t="s">
        <v>2999</v>
      </c>
      <c r="E2105" s="0" t="s">
        <v>13</v>
      </c>
      <c r="F2105" s="0" t="s">
        <v>14</v>
      </c>
      <c r="G2105" s="0" t="s">
        <v>15</v>
      </c>
      <c r="H2105" s="5">
        <v>5862.542600</v>
      </c>
    </row>
    <row r="2106" spans="1:9">
      <c r="A2106" s="22" t="str">
        <f>HYPERLINK("https://app.vivvix.com/360/KMI/IntelliDrive/ApplUI/Pages/CreativePages/CustomReportCreativeDetail.aspx?App=23&amp;ReportView=4&amp;Qid=1711245&amp;Row=2098&amp;Col=1","No Title Assigned - #15284515805")</f>
        <v/>
      </c>
      <c r="B2106" s="0" t="s">
        <v>3000</v>
      </c>
      <c r="E2106" s="0" t="s">
        <v>13</v>
      </c>
      <c r="F2106" s="0" t="s">
        <v>13</v>
      </c>
      <c r="G2106" s="0" t="s">
        <v>54</v>
      </c>
      <c r="H2106" s="5">
        <v>123.977300</v>
      </c>
    </row>
    <row r="2107" spans="1:9">
      <c r="A2107" s="22" t="str">
        <f>HYPERLINK("https://app.vivvix.com/360/KMI/IntelliDrive/ApplUI/Pages/CreativePages/CustomReportCreativeDetail.aspx?App=23&amp;ReportView=4&amp;Qid=1711245&amp;Row=2099&amp;Col=1","No Title Assigned - #15284521966")</f>
        <v/>
      </c>
      <c r="B2107" s="0" t="s">
        <v>3001</v>
      </c>
      <c r="E2107" s="0" t="s">
        <v>13</v>
      </c>
      <c r="F2107" s="0" t="s">
        <v>14</v>
      </c>
      <c r="G2107" s="0" t="s">
        <v>15</v>
      </c>
      <c r="H2107" s="5">
        <v>1966.546800</v>
      </c>
    </row>
    <row r="2108" spans="1:9">
      <c r="A2108" s="22" t="str">
        <f>HYPERLINK("https://app.vivvix.com/360/KMI/IntelliDrive/ApplUI/Pages/CreativePages/CustomReportCreativeDetail.aspx?App=23&amp;ReportView=4&amp;Qid=1711245&amp;Row=2100&amp;Col=1","No Title Assigned - #15284529716")</f>
        <v/>
      </c>
      <c r="B2108" s="0" t="s">
        <v>3002</v>
      </c>
      <c r="C2108" s="0" t="s">
        <v>3003</v>
      </c>
      <c r="D2108" s="0" t="s">
        <v>3003</v>
      </c>
      <c r="E2108" s="0" t="s">
        <v>13</v>
      </c>
      <c r="F2108" s="0" t="s">
        <v>14</v>
      </c>
      <c r="G2108" s="0" t="s">
        <v>15</v>
      </c>
      <c r="H2108" s="5">
        <v>106.219500</v>
      </c>
    </row>
    <row r="2109" spans="1:9">
      <c r="A2109" s="22" t="str">
        <f>HYPERLINK("https://app.vivvix.com/360/KMI/IntelliDrive/ApplUI/Pages/CreativePages/CustomReportCreativeDetail.aspx?App=23&amp;ReportView=4&amp;Qid=1711245&amp;Row=2101&amp;Col=1","No Title Assigned - #15284552409")</f>
        <v/>
      </c>
      <c r="B2109" s="0" t="s">
        <v>3004</v>
      </c>
      <c r="C2109" s="0" t="s">
        <v>3005</v>
      </c>
      <c r="D2109" s="0" t="s">
        <v>3005</v>
      </c>
      <c r="E2109" s="0" t="s">
        <v>13</v>
      </c>
      <c r="F2109" s="0" t="s">
        <v>14</v>
      </c>
      <c r="G2109" s="0" t="s">
        <v>15</v>
      </c>
      <c r="H2109" s="5">
        <v>3136.495500</v>
      </c>
    </row>
    <row r="2110" spans="1:9">
      <c r="A2110" s="22" t="str">
        <f>HYPERLINK("https://app.vivvix.com/360/KMI/IntelliDrive/ApplUI/Pages/CreativePages/CustomReportCreativeDetail.aspx?App=23&amp;ReportView=4&amp;Qid=1711245&amp;Row=2102&amp;Col=1","No Title Assigned - #15284552426")</f>
        <v/>
      </c>
      <c r="B2110" s="0" t="s">
        <v>3006</v>
      </c>
      <c r="C2110" s="0" t="s">
        <v>3007</v>
      </c>
      <c r="D2110" s="0" t="s">
        <v>3007</v>
      </c>
      <c r="E2110" s="0" t="s">
        <v>13</v>
      </c>
      <c r="F2110" s="0" t="s">
        <v>14</v>
      </c>
      <c r="G2110" s="0" t="s">
        <v>15</v>
      </c>
      <c r="H2110" s="5">
        <v>144.230200</v>
      </c>
    </row>
    <row r="2111" spans="1:9">
      <c r="A2111" s="22" t="str">
        <f>HYPERLINK("https://app.vivvix.com/360/KMI/IntelliDrive/ApplUI/Pages/CreativePages/CustomReportCreativeDetail.aspx?App=23&amp;ReportView=4&amp;Qid=1711245&amp;Row=2103&amp;Col=1","No Title Assigned - #15284555564")</f>
        <v/>
      </c>
      <c r="B2111" s="0" t="s">
        <v>3008</v>
      </c>
      <c r="C2111" s="0" t="s">
        <v>3009</v>
      </c>
      <c r="D2111" s="0" t="s">
        <v>3009</v>
      </c>
      <c r="E2111" s="0" t="s">
        <v>13</v>
      </c>
      <c r="F2111" s="0" t="s">
        <v>14</v>
      </c>
      <c r="G2111" s="0" t="s">
        <v>15</v>
      </c>
      <c r="H2111" s="5">
        <v>586.854100</v>
      </c>
    </row>
    <row r="2112" spans="1:9">
      <c r="A2112" s="22" t="str">
        <f>HYPERLINK("https://app.vivvix.com/360/KMI/IntelliDrive/ApplUI/Pages/CreativePages/CustomReportCreativeDetail.aspx?App=23&amp;ReportView=4&amp;Qid=1711245&amp;Row=2104&amp;Col=1","No Title Assigned - #15284566117")</f>
        <v/>
      </c>
      <c r="B2112" s="0" t="s">
        <v>3010</v>
      </c>
      <c r="C2112" s="0" t="s">
        <v>3011</v>
      </c>
      <c r="D2112" s="0" t="s">
        <v>3011</v>
      </c>
      <c r="E2112" s="0" t="s">
        <v>13</v>
      </c>
      <c r="F2112" s="0" t="s">
        <v>106</v>
      </c>
      <c r="G2112" s="0" t="s">
        <v>107</v>
      </c>
      <c r="H2112" s="5">
        <v>1775.895000</v>
      </c>
    </row>
    <row r="2113" spans="1:9">
      <c r="A2113" s="22" t="str">
        <f>HYPERLINK("https://app.vivvix.com/360/KMI/IntelliDrive/ApplUI/Pages/CreativePages/CustomReportCreativeDetail.aspx?App=23&amp;ReportView=4&amp;Qid=1711245&amp;Row=2105&amp;Col=1","No Title Assigned - #15284566382")</f>
        <v/>
      </c>
      <c r="B2113" s="0" t="s">
        <v>3012</v>
      </c>
      <c r="C2113" s="0" t="s">
        <v>3013</v>
      </c>
      <c r="D2113" s="0" t="s">
        <v>3013</v>
      </c>
      <c r="E2113" s="0" t="s">
        <v>13</v>
      </c>
      <c r="F2113" s="0" t="s">
        <v>14</v>
      </c>
      <c r="G2113" s="0" t="s">
        <v>15</v>
      </c>
      <c r="H2113" s="5">
        <v>179.857600</v>
      </c>
    </row>
    <row r="2114" spans="1:9">
      <c r="A2114" s="22" t="str">
        <f>HYPERLINK("https://app.vivvix.com/360/KMI/IntelliDrive/ApplUI/Pages/CreativePages/CustomReportCreativeDetail.aspx?App=23&amp;ReportView=4&amp;Qid=1711245&amp;Row=2106&amp;Col=1","No Title Assigned - #15284585025")</f>
        <v/>
      </c>
      <c r="B2114" s="0" t="s">
        <v>3014</v>
      </c>
      <c r="E2114" s="0" t="s">
        <v>13</v>
      </c>
      <c r="F2114" s="0" t="s">
        <v>13</v>
      </c>
      <c r="G2114" s="0" t="s">
        <v>54</v>
      </c>
      <c r="H2114" s="5">
        <v>450.782300</v>
      </c>
    </row>
    <row r="2115" spans="1:9">
      <c r="A2115" s="22" t="str">
        <f>HYPERLINK("https://app.vivvix.com/360/KMI/IntelliDrive/ApplUI/Pages/CreativePages/CustomReportCreativeDetail.aspx?App=23&amp;ReportView=4&amp;Qid=1711245&amp;Row=2107&amp;Col=1","No Title Assigned - #15284591175")</f>
        <v/>
      </c>
      <c r="B2115" s="0" t="s">
        <v>3015</v>
      </c>
      <c r="C2115" s="0" t="s">
        <v>3016</v>
      </c>
      <c r="D2115" s="0" t="s">
        <v>3016</v>
      </c>
      <c r="E2115" s="0" t="s">
        <v>13</v>
      </c>
      <c r="F2115" s="0" t="s">
        <v>14</v>
      </c>
      <c r="G2115" s="0" t="s">
        <v>15</v>
      </c>
      <c r="H2115" s="5">
        <v>182.461800</v>
      </c>
    </row>
    <row r="2116" spans="1:9">
      <c r="A2116" s="22" t="str">
        <f>HYPERLINK("https://app.vivvix.com/360/KMI/IntelliDrive/ApplUI/Pages/CreativePages/CustomReportCreativeDetail.aspx?App=23&amp;ReportView=4&amp;Qid=1711245&amp;Row=2108&amp;Col=1","No Title Assigned - #15284596459")</f>
        <v/>
      </c>
      <c r="B2116" s="0" t="s">
        <v>3017</v>
      </c>
      <c r="C2116" s="0" t="s">
        <v>3018</v>
      </c>
      <c r="D2116" s="0" t="s">
        <v>3018</v>
      </c>
      <c r="E2116" s="0" t="s">
        <v>13</v>
      </c>
      <c r="F2116" s="0" t="s">
        <v>14</v>
      </c>
      <c r="G2116" s="0" t="s">
        <v>15</v>
      </c>
      <c r="H2116" s="5">
        <v>954.931600</v>
      </c>
    </row>
    <row r="2117" spans="1:9">
      <c r="A2117" s="22" t="str">
        <f>HYPERLINK("https://app.vivvix.com/360/KMI/IntelliDrive/ApplUI/Pages/CreativePages/CustomReportCreativeDetail.aspx?App=23&amp;ReportView=4&amp;Qid=1711245&amp;Row=2109&amp;Col=1","No Title Assigned - #15284606929")</f>
        <v/>
      </c>
      <c r="B2117" s="0" t="s">
        <v>3019</v>
      </c>
      <c r="E2117" s="0" t="s">
        <v>13</v>
      </c>
      <c r="F2117" s="0" t="s">
        <v>13</v>
      </c>
      <c r="G2117" s="0" t="s">
        <v>54</v>
      </c>
      <c r="H2117" s="5">
        <v>774.403900</v>
      </c>
    </row>
    <row r="2118" spans="1:9">
      <c r="A2118" s="22" t="str">
        <f>HYPERLINK("https://app.vivvix.com/360/KMI/IntelliDrive/ApplUI/Pages/CreativePages/CustomReportCreativeDetail.aspx?App=23&amp;ReportView=4&amp;Qid=1711245&amp;Row=2110&amp;Col=1","No Title Assigned - #15284616753")</f>
        <v/>
      </c>
      <c r="B2118" s="0" t="s">
        <v>3020</v>
      </c>
      <c r="E2118" s="0" t="s">
        <v>13</v>
      </c>
      <c r="F2118" s="0" t="s">
        <v>13</v>
      </c>
      <c r="G2118" s="0" t="s">
        <v>54</v>
      </c>
      <c r="H2118" s="5">
        <v>530.970700</v>
      </c>
    </row>
    <row r="2119" spans="1:9">
      <c r="A2119" s="22" t="str">
        <f>HYPERLINK("https://app.vivvix.com/360/KMI/IntelliDrive/ApplUI/Pages/CreativePages/CustomReportCreativeDetail.aspx?App=23&amp;ReportView=4&amp;Qid=1711245&amp;Row=2111&amp;Col=1","No Title Assigned - #15284619086")</f>
        <v/>
      </c>
      <c r="B2119" s="0" t="s">
        <v>3021</v>
      </c>
      <c r="E2119" s="0" t="s">
        <v>13</v>
      </c>
      <c r="F2119" s="0" t="s">
        <v>13</v>
      </c>
      <c r="G2119" s="0" t="s">
        <v>54</v>
      </c>
      <c r="H2119" s="5">
        <v>221.009600</v>
      </c>
    </row>
    <row r="2120" spans="1:9">
      <c r="A2120" s="22" t="str">
        <f>HYPERLINK("https://app.vivvix.com/360/KMI/IntelliDrive/ApplUI/Pages/CreativePages/CustomReportCreativeDetail.aspx?App=23&amp;ReportView=4&amp;Qid=1711245&amp;Row=2112&amp;Col=1","No Title Assigned - #15284621908")</f>
        <v/>
      </c>
      <c r="B2120" s="0" t="s">
        <v>3022</v>
      </c>
      <c r="E2120" s="0" t="s">
        <v>13</v>
      </c>
      <c r="F2120" s="0" t="s">
        <v>13</v>
      </c>
      <c r="G2120" s="0" t="s">
        <v>54</v>
      </c>
      <c r="H2120" s="5">
        <v>221.009600</v>
      </c>
    </row>
    <row r="2121" spans="1:9">
      <c r="A2121" s="22" t="str">
        <f>HYPERLINK("https://app.vivvix.com/360/KMI/IntelliDrive/ApplUI/Pages/CreativePages/CustomReportCreativeDetail.aspx?App=23&amp;ReportView=4&amp;Qid=1711245&amp;Row=2113&amp;Col=1","No Title Assigned - #15284630755")</f>
        <v/>
      </c>
      <c r="B2121" s="0" t="s">
        <v>3023</v>
      </c>
      <c r="E2121" s="0" t="s">
        <v>13</v>
      </c>
      <c r="F2121" s="0" t="s">
        <v>13</v>
      </c>
      <c r="G2121" s="0" t="s">
        <v>54</v>
      </c>
      <c r="H2121" s="5">
        <v>583.415000</v>
      </c>
    </row>
    <row r="2122" spans="1:9">
      <c r="A2122" s="22" t="str">
        <f>HYPERLINK("https://app.vivvix.com/360/KMI/IntelliDrive/ApplUI/Pages/CreativePages/CustomReportCreativeDetail.aspx?App=23&amp;ReportView=4&amp;Qid=1711245&amp;Row=2114&amp;Col=1","No Title Assigned - #15284670998")</f>
        <v/>
      </c>
      <c r="B2122" s="0" t="s">
        <v>3024</v>
      </c>
      <c r="C2122" s="0" t="s">
        <v>3025</v>
      </c>
      <c r="D2122" s="0" t="s">
        <v>3025</v>
      </c>
      <c r="E2122" s="0" t="s">
        <v>13</v>
      </c>
      <c r="F2122" s="0" t="s">
        <v>14</v>
      </c>
      <c r="G2122" s="0" t="s">
        <v>15</v>
      </c>
      <c r="H2122" s="5">
        <v>748.395100</v>
      </c>
    </row>
    <row r="2123" spans="1:9">
      <c r="A2123" s="22" t="str">
        <f>HYPERLINK("https://app.vivvix.com/360/KMI/IntelliDrive/ApplUI/Pages/CreativePages/CustomReportCreativeDetail.aspx?App=23&amp;ReportView=4&amp;Qid=1711245&amp;Row=2115&amp;Col=1","No Title Assigned - #15284677003")</f>
        <v/>
      </c>
      <c r="B2123" s="0" t="s">
        <v>3026</v>
      </c>
      <c r="C2123" s="0" t="s">
        <v>3027</v>
      </c>
      <c r="D2123" s="0" t="s">
        <v>3027</v>
      </c>
      <c r="E2123" s="0" t="s">
        <v>13</v>
      </c>
      <c r="F2123" s="0" t="s">
        <v>14</v>
      </c>
      <c r="G2123" s="0" t="s">
        <v>15</v>
      </c>
      <c r="H2123" s="5">
        <v>124.810800</v>
      </c>
    </row>
    <row r="2124" spans="1:9">
      <c r="A2124" s="22" t="str">
        <f>HYPERLINK("https://app.vivvix.com/360/KMI/IntelliDrive/ApplUI/Pages/CreativePages/CustomReportCreativeDetail.aspx?App=23&amp;ReportView=4&amp;Qid=1711245&amp;Row=2116&amp;Col=1","No Title Assigned - #15284685847")</f>
        <v/>
      </c>
      <c r="B2124" s="0" t="s">
        <v>3028</v>
      </c>
      <c r="C2124" s="0" t="s">
        <v>2986</v>
      </c>
      <c r="D2124" s="0" t="s">
        <v>2986</v>
      </c>
      <c r="E2124" s="0" t="s">
        <v>13</v>
      </c>
      <c r="F2124" s="0" t="s">
        <v>14</v>
      </c>
      <c r="G2124" s="0" t="s">
        <v>15</v>
      </c>
      <c r="H2124" s="5">
        <v>763.136600</v>
      </c>
    </row>
    <row r="2125" spans="1:9">
      <c r="A2125" s="22" t="str">
        <f>HYPERLINK("https://app.vivvix.com/360/KMI/IntelliDrive/ApplUI/Pages/CreativePages/CustomReportCreativeDetail.aspx?App=23&amp;ReportView=4&amp;Qid=1711245&amp;Row=2117&amp;Col=1","No Title Assigned - #15284687615")</f>
        <v/>
      </c>
      <c r="B2125" s="0" t="s">
        <v>3029</v>
      </c>
      <c r="C2125" s="0" t="s">
        <v>3030</v>
      </c>
      <c r="D2125" s="0" t="s">
        <v>2594</v>
      </c>
      <c r="E2125" s="0" t="s">
        <v>13</v>
      </c>
      <c r="F2125" s="0" t="s">
        <v>128</v>
      </c>
      <c r="G2125" s="0" t="s">
        <v>456</v>
      </c>
      <c r="H2125" s="5">
        <v>18711.832000</v>
      </c>
    </row>
    <row r="2126" spans="1:9">
      <c r="A2126" s="22" t="str">
        <f>HYPERLINK("https://app.vivvix.com/360/KMI/IntelliDrive/ApplUI/Pages/CreativePages/CustomReportCreativeDetail.aspx?App=23&amp;ReportView=4&amp;Qid=1711245&amp;Row=2118&amp;Col=1","No Title Assigned - #15284688400")</f>
        <v/>
      </c>
      <c r="B2126" s="0" t="s">
        <v>3031</v>
      </c>
      <c r="C2126" s="0" t="s">
        <v>3032</v>
      </c>
      <c r="D2126" s="0" t="s">
        <v>3032</v>
      </c>
      <c r="E2126" s="0" t="s">
        <v>13</v>
      </c>
      <c r="F2126" s="0" t="s">
        <v>14</v>
      </c>
      <c r="G2126" s="0" t="s">
        <v>15</v>
      </c>
      <c r="H2126" s="5">
        <v>186.842900</v>
      </c>
    </row>
    <row r="2127" spans="1:9">
      <c r="A2127" s="22" t="str">
        <f>HYPERLINK("https://app.vivvix.com/360/KMI/IntelliDrive/ApplUI/Pages/CreativePages/CustomReportCreativeDetail.aspx?App=23&amp;ReportView=4&amp;Qid=1711245&amp;Row=2119&amp;Col=1","No Title Assigned - #15284690185")</f>
        <v/>
      </c>
      <c r="B2127" s="0" t="s">
        <v>3033</v>
      </c>
      <c r="E2127" s="0" t="s">
        <v>13</v>
      </c>
      <c r="F2127" s="0" t="s">
        <v>13</v>
      </c>
      <c r="G2127" s="0" t="s">
        <v>54</v>
      </c>
      <c r="H2127" s="5">
        <v>13904.222800</v>
      </c>
    </row>
    <row r="2128" spans="1:9">
      <c r="A2128" s="22" t="str">
        <f>HYPERLINK("https://app.vivvix.com/360/KMI/IntelliDrive/ApplUI/Pages/CreativePages/CustomReportCreativeDetail.aspx?App=23&amp;ReportView=4&amp;Qid=1711245&amp;Row=2120&amp;Col=1","No Title Assigned - #15284696364")</f>
        <v/>
      </c>
      <c r="B2128" s="0" t="s">
        <v>3034</v>
      </c>
      <c r="C2128" s="0" t="s">
        <v>3035</v>
      </c>
      <c r="D2128" s="0" t="s">
        <v>3036</v>
      </c>
      <c r="E2128" s="0" t="s">
        <v>13</v>
      </c>
      <c r="F2128" s="0" t="s">
        <v>14</v>
      </c>
      <c r="G2128" s="0" t="s">
        <v>15</v>
      </c>
      <c r="H2128" s="5">
        <v>654.489300</v>
      </c>
    </row>
    <row r="2129" spans="1:9">
      <c r="A2129" s="22" t="str">
        <f>HYPERLINK("https://app.vivvix.com/360/KMI/IntelliDrive/ApplUI/Pages/CreativePages/CustomReportCreativeDetail.aspx?App=23&amp;ReportView=4&amp;Qid=1711245&amp;Row=2121&amp;Col=1","No Title Assigned - #15284696389")</f>
        <v/>
      </c>
      <c r="B2129" s="0" t="s">
        <v>3037</v>
      </c>
      <c r="C2129" s="0" t="s">
        <v>3036</v>
      </c>
      <c r="D2129" s="0" t="s">
        <v>3036</v>
      </c>
      <c r="E2129" s="0" t="s">
        <v>13</v>
      </c>
      <c r="F2129" s="0" t="s">
        <v>14</v>
      </c>
      <c r="G2129" s="0" t="s">
        <v>15</v>
      </c>
      <c r="H2129" s="5">
        <v>654.489300</v>
      </c>
    </row>
    <row r="2130" spans="1:9">
      <c r="A2130" s="22" t="str">
        <f>HYPERLINK("https://app.vivvix.com/360/KMI/IntelliDrive/ApplUI/Pages/CreativePages/CustomReportCreativeDetail.aspx?App=23&amp;ReportView=4&amp;Qid=1711245&amp;Row=2122&amp;Col=1","No Title Assigned - #15284698001")</f>
        <v/>
      </c>
      <c r="B2130" s="0" t="s">
        <v>3038</v>
      </c>
      <c r="C2130" s="0" t="s">
        <v>3039</v>
      </c>
      <c r="D2130" s="0" t="s">
        <v>3039</v>
      </c>
      <c r="E2130" s="0" t="s">
        <v>13</v>
      </c>
      <c r="F2130" s="0" t="s">
        <v>14</v>
      </c>
      <c r="G2130" s="0" t="s">
        <v>15</v>
      </c>
      <c r="H2130" s="5">
        <v>446.905500</v>
      </c>
    </row>
    <row r="2131" spans="1:9">
      <c r="A2131" s="22" t="str">
        <f>HYPERLINK("https://app.vivvix.com/360/KMI/IntelliDrive/ApplUI/Pages/CreativePages/CustomReportCreativeDetail.aspx?App=23&amp;ReportView=4&amp;Qid=1711245&amp;Row=2123&amp;Col=1","No Title Assigned - #15284703016")</f>
        <v/>
      </c>
      <c r="B2131" s="0" t="s">
        <v>3040</v>
      </c>
      <c r="C2131" s="0" t="s">
        <v>3041</v>
      </c>
      <c r="D2131" s="0" t="s">
        <v>2132</v>
      </c>
      <c r="E2131" s="0" t="s">
        <v>13</v>
      </c>
      <c r="F2131" s="0" t="s">
        <v>128</v>
      </c>
      <c r="G2131" s="0" t="s">
        <v>456</v>
      </c>
      <c r="H2131" s="5">
        <v>485.148900</v>
      </c>
    </row>
    <row r="2132" spans="1:9">
      <c r="A2132" s="22" t="str">
        <f>HYPERLINK("https://app.vivvix.com/360/KMI/IntelliDrive/ApplUI/Pages/CreativePages/CustomReportCreativeDetail.aspx?App=23&amp;ReportView=4&amp;Qid=1711245&amp;Row=2124&amp;Col=1","No Title Assigned - #15284705075")</f>
        <v/>
      </c>
      <c r="B2132" s="0" t="s">
        <v>3042</v>
      </c>
      <c r="C2132" s="0" t="s">
        <v>3043</v>
      </c>
      <c r="D2132" s="0" t="s">
        <v>3043</v>
      </c>
      <c r="E2132" s="0" t="s">
        <v>13</v>
      </c>
      <c r="F2132" s="0" t="s">
        <v>106</v>
      </c>
      <c r="G2132" s="0" t="s">
        <v>107</v>
      </c>
      <c r="H2132" s="5">
        <v>11045.207600</v>
      </c>
    </row>
    <row r="2133" spans="1:9">
      <c r="A2133" s="22" t="str">
        <f>HYPERLINK("https://app.vivvix.com/360/KMI/IntelliDrive/ApplUI/Pages/CreativePages/CustomReportCreativeDetail.aspx?App=23&amp;ReportView=4&amp;Qid=1711245&amp;Row=2125&amp;Col=1","No Title Assigned - #15284710754")</f>
        <v/>
      </c>
      <c r="B2133" s="0" t="s">
        <v>3044</v>
      </c>
      <c r="C2133" s="0" t="s">
        <v>3045</v>
      </c>
      <c r="D2133" s="0" t="s">
        <v>3045</v>
      </c>
      <c r="E2133" s="0" t="s">
        <v>13</v>
      </c>
      <c r="F2133" s="0" t="s">
        <v>106</v>
      </c>
      <c r="G2133" s="0" t="s">
        <v>107</v>
      </c>
      <c r="H2133" s="5">
        <v>682.013800</v>
      </c>
    </row>
    <row r="2134" spans="1:9">
      <c r="A2134" s="22" t="str">
        <f>HYPERLINK("https://app.vivvix.com/360/KMI/IntelliDrive/ApplUI/Pages/CreativePages/CustomReportCreativeDetail.aspx?App=23&amp;ReportView=4&amp;Qid=1711245&amp;Row=2126&amp;Col=1","No Title Assigned - #15284710884")</f>
        <v/>
      </c>
      <c r="B2134" s="0" t="s">
        <v>3046</v>
      </c>
      <c r="C2134" s="0" t="s">
        <v>3047</v>
      </c>
      <c r="D2134" s="0" t="s">
        <v>3047</v>
      </c>
      <c r="E2134" s="0" t="s">
        <v>13</v>
      </c>
      <c r="F2134" s="0" t="s">
        <v>106</v>
      </c>
      <c r="G2134" s="0" t="s">
        <v>107</v>
      </c>
      <c r="H2134" s="5">
        <v>633.541700</v>
      </c>
    </row>
    <row r="2135" spans="1:9">
      <c r="A2135" s="22" t="str">
        <f>HYPERLINK("https://app.vivvix.com/360/KMI/IntelliDrive/ApplUI/Pages/CreativePages/CustomReportCreativeDetail.aspx?App=23&amp;ReportView=4&amp;Qid=1711245&amp;Row=2127&amp;Col=1","No Title Assigned - #15284715982")</f>
        <v/>
      </c>
      <c r="B2135" s="0" t="s">
        <v>3048</v>
      </c>
      <c r="C2135" s="0" t="s">
        <v>3049</v>
      </c>
      <c r="D2135" s="0" t="s">
        <v>3049</v>
      </c>
      <c r="E2135" s="0" t="s">
        <v>13</v>
      </c>
      <c r="F2135" s="0" t="s">
        <v>14</v>
      </c>
      <c r="G2135" s="0" t="s">
        <v>15</v>
      </c>
      <c r="H2135" s="5">
        <v>491.256200</v>
      </c>
    </row>
    <row r="2136" spans="1:9">
      <c r="A2136" s="22" t="str">
        <f>HYPERLINK("https://app.vivvix.com/360/KMI/IntelliDrive/ApplUI/Pages/CreativePages/CustomReportCreativeDetail.aspx?App=23&amp;ReportView=4&amp;Qid=1711245&amp;Row=2128&amp;Col=1","No Title Assigned - #15284719485")</f>
        <v/>
      </c>
      <c r="B2136" s="0" t="s">
        <v>3050</v>
      </c>
      <c r="C2136" s="0" t="s">
        <v>3051</v>
      </c>
      <c r="D2136" s="0" t="s">
        <v>3051</v>
      </c>
      <c r="E2136" s="0" t="s">
        <v>13</v>
      </c>
      <c r="F2136" s="0" t="s">
        <v>28</v>
      </c>
      <c r="G2136" s="0" t="s">
        <v>453</v>
      </c>
      <c r="H2136" s="5">
        <v>491.076400</v>
      </c>
    </row>
    <row r="2137" spans="1:9">
      <c r="A2137" s="22" t="str">
        <f>HYPERLINK("https://app.vivvix.com/360/KMI/IntelliDrive/ApplUI/Pages/CreativePages/CustomReportCreativeDetail.aspx?App=23&amp;ReportView=4&amp;Qid=1711245&amp;Row=2129&amp;Col=1","No Title Assigned - #15284720461")</f>
        <v/>
      </c>
      <c r="B2137" s="0" t="s">
        <v>3052</v>
      </c>
      <c r="E2137" s="0" t="s">
        <v>13</v>
      </c>
      <c r="F2137" s="0" t="s">
        <v>13</v>
      </c>
      <c r="G2137" s="0" t="s">
        <v>54</v>
      </c>
      <c r="H2137" s="5">
        <v>2536.884200</v>
      </c>
    </row>
    <row r="2138" spans="1:9">
      <c r="A2138" s="22" t="str">
        <f>HYPERLINK("https://app.vivvix.com/360/KMI/IntelliDrive/ApplUI/Pages/CreativePages/CustomReportCreativeDetail.aspx?App=23&amp;ReportView=4&amp;Qid=1711245&amp;Row=2130&amp;Col=1","No Title Assigned - #15284724167")</f>
        <v/>
      </c>
      <c r="B2138" s="0" t="s">
        <v>3053</v>
      </c>
      <c r="E2138" s="0" t="s">
        <v>13</v>
      </c>
      <c r="F2138" s="0" t="s">
        <v>13</v>
      </c>
      <c r="G2138" s="0" t="s">
        <v>54</v>
      </c>
      <c r="H2138" s="5">
        <v>615.292900</v>
      </c>
    </row>
    <row r="2139" spans="1:9">
      <c r="A2139" s="22" t="str">
        <f>HYPERLINK("https://app.vivvix.com/360/KMI/IntelliDrive/ApplUI/Pages/CreativePages/CustomReportCreativeDetail.aspx?App=23&amp;ReportView=4&amp;Qid=1711245&amp;Row=2131&amp;Col=1","No Title Assigned - #15284724359")</f>
        <v/>
      </c>
      <c r="B2139" s="0" t="s">
        <v>3054</v>
      </c>
      <c r="E2139" s="0" t="s">
        <v>13</v>
      </c>
      <c r="F2139" s="0" t="s">
        <v>13</v>
      </c>
      <c r="G2139" s="0" t="s">
        <v>54</v>
      </c>
      <c r="H2139" s="5">
        <v>1220.632000</v>
      </c>
    </row>
    <row r="2140" spans="1:9">
      <c r="A2140" s="22" t="str">
        <f>HYPERLINK("https://app.vivvix.com/360/KMI/IntelliDrive/ApplUI/Pages/CreativePages/CustomReportCreativeDetail.aspx?App=23&amp;ReportView=4&amp;Qid=1711245&amp;Row=2132&amp;Col=1","No Title Assigned - #15284726910")</f>
        <v/>
      </c>
      <c r="B2140" s="0" t="s">
        <v>3055</v>
      </c>
      <c r="C2140" s="0" t="s">
        <v>3056</v>
      </c>
      <c r="D2140" s="0" t="s">
        <v>3056</v>
      </c>
      <c r="E2140" s="0" t="s">
        <v>13</v>
      </c>
      <c r="F2140" s="0" t="s">
        <v>14</v>
      </c>
      <c r="G2140" s="0" t="s">
        <v>15</v>
      </c>
      <c r="H2140" s="5">
        <v>2.281000</v>
      </c>
    </row>
    <row r="2141" spans="1:9">
      <c r="A2141" s="22" t="str">
        <f>HYPERLINK("https://app.vivvix.com/360/KMI/IntelliDrive/ApplUI/Pages/CreativePages/CustomReportCreativeDetail.aspx?App=23&amp;ReportView=4&amp;Qid=1711245&amp;Row=2133&amp;Col=1","No Title Assigned - #15284728559")</f>
        <v/>
      </c>
      <c r="B2141" s="0" t="s">
        <v>3057</v>
      </c>
      <c r="C2141" s="0" t="s">
        <v>3058</v>
      </c>
      <c r="D2141" s="0" t="s">
        <v>3058</v>
      </c>
      <c r="E2141" s="0" t="s">
        <v>13</v>
      </c>
      <c r="F2141" s="0" t="s">
        <v>14</v>
      </c>
      <c r="G2141" s="0" t="s">
        <v>15</v>
      </c>
      <c r="H2141" s="5">
        <v>384.922800</v>
      </c>
    </row>
    <row r="2142" spans="1:9">
      <c r="A2142" s="22" t="str">
        <f>HYPERLINK("https://app.vivvix.com/360/KMI/IntelliDrive/ApplUI/Pages/CreativePages/CustomReportCreativeDetail.aspx?App=23&amp;ReportView=4&amp;Qid=1711245&amp;Row=2134&amp;Col=1","No Title Assigned - #15284729867")</f>
        <v/>
      </c>
      <c r="B2142" s="0" t="s">
        <v>3059</v>
      </c>
      <c r="C2142" s="0" t="s">
        <v>3060</v>
      </c>
      <c r="D2142" s="0" t="s">
        <v>3060</v>
      </c>
      <c r="E2142" s="0" t="s">
        <v>13</v>
      </c>
      <c r="F2142" s="0" t="s">
        <v>540</v>
      </c>
      <c r="G2142" s="0" t="s">
        <v>541</v>
      </c>
      <c r="H2142" s="5">
        <v>550.622800</v>
      </c>
    </row>
    <row r="2143" spans="1:9">
      <c r="A2143" s="22" t="str">
        <f>HYPERLINK("https://app.vivvix.com/360/KMI/IntelliDrive/ApplUI/Pages/CreativePages/CustomReportCreativeDetail.aspx?App=23&amp;ReportView=4&amp;Qid=1711245&amp;Row=2135&amp;Col=1","No Title Assigned - #15284730220")</f>
        <v/>
      </c>
      <c r="B2143" s="0" t="s">
        <v>3061</v>
      </c>
      <c r="C2143" s="0" t="s">
        <v>3062</v>
      </c>
      <c r="D2143" s="0" t="s">
        <v>3062</v>
      </c>
      <c r="E2143" s="0" t="s">
        <v>13</v>
      </c>
      <c r="F2143" s="0" t="s">
        <v>14</v>
      </c>
      <c r="G2143" s="0" t="s">
        <v>15</v>
      </c>
      <c r="H2143" s="5">
        <v>76.463200</v>
      </c>
    </row>
    <row r="2144" spans="1:9">
      <c r="A2144" s="22" t="str">
        <f>HYPERLINK("https://app.vivvix.com/360/KMI/IntelliDrive/ApplUI/Pages/CreativePages/CustomReportCreativeDetail.aspx?App=23&amp;ReportView=4&amp;Qid=1711245&amp;Row=2136&amp;Col=1","No Title Assigned - #15284732262")</f>
        <v/>
      </c>
      <c r="B2144" s="0" t="s">
        <v>3063</v>
      </c>
      <c r="C2144" s="0" t="s">
        <v>3064</v>
      </c>
      <c r="D2144" s="0" t="s">
        <v>3064</v>
      </c>
      <c r="E2144" s="0" t="s">
        <v>13</v>
      </c>
      <c r="F2144" s="0" t="s">
        <v>13</v>
      </c>
      <c r="G2144" s="0" t="s">
        <v>35</v>
      </c>
      <c r="H2144" s="5">
        <v>567.366900</v>
      </c>
    </row>
    <row r="2145" spans="1:9">
      <c r="A2145" s="22" t="str">
        <f>HYPERLINK("https://app.vivvix.com/360/KMI/IntelliDrive/ApplUI/Pages/CreativePages/CustomReportCreativeDetail.aspx?App=23&amp;ReportView=4&amp;Qid=1711245&amp;Row=2137&amp;Col=1","No Title Assigned - #15284737189")</f>
        <v/>
      </c>
      <c r="B2145" s="0" t="s">
        <v>3065</v>
      </c>
      <c r="C2145" s="0" t="s">
        <v>3066</v>
      </c>
      <c r="D2145" s="0" t="s">
        <v>3066</v>
      </c>
      <c r="E2145" s="0" t="s">
        <v>13</v>
      </c>
      <c r="F2145" s="0" t="s">
        <v>106</v>
      </c>
      <c r="G2145" s="0" t="s">
        <v>107</v>
      </c>
      <c r="H2145" s="5">
        <v>1577.800000</v>
      </c>
    </row>
    <row r="2146" spans="1:9">
      <c r="A2146" s="22" t="str">
        <f>HYPERLINK("https://app.vivvix.com/360/KMI/IntelliDrive/ApplUI/Pages/CreativePages/CustomReportCreativeDetail.aspx?App=23&amp;ReportView=4&amp;Qid=1711245&amp;Row=2138&amp;Col=1","No Title Assigned - #15284737631")</f>
        <v/>
      </c>
      <c r="B2146" s="0" t="s">
        <v>3067</v>
      </c>
      <c r="C2146" s="0" t="s">
        <v>3068</v>
      </c>
      <c r="D2146" s="0" t="s">
        <v>3068</v>
      </c>
      <c r="E2146" s="0" t="s">
        <v>13</v>
      </c>
      <c r="F2146" s="0" t="s">
        <v>14</v>
      </c>
      <c r="G2146" s="0" t="s">
        <v>15</v>
      </c>
      <c r="H2146" s="5">
        <v>595.406500</v>
      </c>
    </row>
    <row r="2147" spans="1:9">
      <c r="A2147" s="22" t="str">
        <f>HYPERLINK("https://app.vivvix.com/360/KMI/IntelliDrive/ApplUI/Pages/CreativePages/CustomReportCreativeDetail.aspx?App=23&amp;ReportView=4&amp;Qid=1711245&amp;Row=2139&amp;Col=1","No Title Assigned - #15284743031")</f>
        <v/>
      </c>
      <c r="B2147" s="0" t="s">
        <v>3069</v>
      </c>
      <c r="C2147" s="0" t="s">
        <v>3070</v>
      </c>
      <c r="D2147" s="0" t="s">
        <v>3070</v>
      </c>
      <c r="E2147" s="0" t="s">
        <v>13</v>
      </c>
      <c r="F2147" s="0" t="s">
        <v>14</v>
      </c>
      <c r="G2147" s="0" t="s">
        <v>15</v>
      </c>
      <c r="H2147" s="5">
        <v>938.498400</v>
      </c>
    </row>
    <row r="2148" spans="1:9">
      <c r="A2148" s="22" t="str">
        <f>HYPERLINK("https://app.vivvix.com/360/KMI/IntelliDrive/ApplUI/Pages/CreativePages/CustomReportCreativeDetail.aspx?App=23&amp;ReportView=4&amp;Qid=1711245&amp;Row=2140&amp;Col=1","No Title Assigned - #15284743048")</f>
        <v/>
      </c>
      <c r="B2148" s="0" t="s">
        <v>3071</v>
      </c>
      <c r="C2148" s="0" t="s">
        <v>3072</v>
      </c>
      <c r="D2148" s="0" t="s">
        <v>3072</v>
      </c>
      <c r="E2148" s="0" t="s">
        <v>13</v>
      </c>
      <c r="F2148" s="0" t="s">
        <v>13</v>
      </c>
      <c r="G2148" s="0" t="s">
        <v>35</v>
      </c>
      <c r="H2148" s="5">
        <v>294.369200</v>
      </c>
    </row>
    <row r="2149" spans="1:9">
      <c r="A2149" s="22" t="str">
        <f>HYPERLINK("https://app.vivvix.com/360/KMI/IntelliDrive/ApplUI/Pages/CreativePages/CustomReportCreativeDetail.aspx?App=23&amp;ReportView=4&amp;Qid=1711245&amp;Row=2141&amp;Col=1","No Title Assigned - #15284743606")</f>
        <v/>
      </c>
      <c r="B2149" s="0" t="s">
        <v>3073</v>
      </c>
      <c r="C2149" s="0" t="s">
        <v>3074</v>
      </c>
      <c r="D2149" s="0" t="s">
        <v>3074</v>
      </c>
      <c r="E2149" s="0" t="s">
        <v>13</v>
      </c>
      <c r="F2149" s="0" t="s">
        <v>13</v>
      </c>
      <c r="G2149" s="0" t="s">
        <v>35</v>
      </c>
      <c r="H2149" s="5">
        <v>1239.700000</v>
      </c>
    </row>
    <row r="2150" spans="1:9">
      <c r="A2150" s="22" t="str">
        <f>HYPERLINK("https://app.vivvix.com/360/KMI/IntelliDrive/ApplUI/Pages/CreativePages/CustomReportCreativeDetail.aspx?App=23&amp;ReportView=4&amp;Qid=1711245&amp;Row=2142&amp;Col=1","No Title Assigned - #15284743610")</f>
        <v/>
      </c>
      <c r="B2150" s="0" t="s">
        <v>3075</v>
      </c>
      <c r="C2150" s="0" t="s">
        <v>3076</v>
      </c>
      <c r="D2150" s="0" t="s">
        <v>3076</v>
      </c>
      <c r="E2150" s="0" t="s">
        <v>13</v>
      </c>
      <c r="F2150" s="0" t="s">
        <v>106</v>
      </c>
      <c r="G2150" s="0" t="s">
        <v>107</v>
      </c>
      <c r="H2150" s="5">
        <v>1273.510000</v>
      </c>
    </row>
    <row r="2151" spans="1:9">
      <c r="A2151" s="22" t="str">
        <f>HYPERLINK("https://app.vivvix.com/360/KMI/IntelliDrive/ApplUI/Pages/CreativePages/CustomReportCreativeDetail.aspx?App=23&amp;ReportView=4&amp;Qid=1711245&amp;Row=2143&amp;Col=1","No Title Assigned - #15284743610")</f>
        <v/>
      </c>
      <c r="B2151" s="0" t="s">
        <v>3075</v>
      </c>
      <c r="E2151" s="0" t="s">
        <v>13</v>
      </c>
      <c r="F2151" s="0" t="s">
        <v>106</v>
      </c>
      <c r="G2151" s="0" t="s">
        <v>107</v>
      </c>
      <c r="H2151" s="5">
        <v>1164.973600</v>
      </c>
    </row>
    <row r="2152" spans="1:9">
      <c r="A2152" s="22" t="str">
        <f>HYPERLINK("https://app.vivvix.com/360/KMI/IntelliDrive/ApplUI/Pages/CreativePages/CustomReportCreativeDetail.aspx?App=23&amp;ReportView=4&amp;Qid=1711245&amp;Row=2144&amp;Col=1","No Title Assigned - #15284744134")</f>
        <v/>
      </c>
      <c r="B2152" s="0" t="s">
        <v>3077</v>
      </c>
      <c r="C2152" s="0" t="s">
        <v>3078</v>
      </c>
      <c r="D2152" s="0" t="s">
        <v>3078</v>
      </c>
      <c r="E2152" s="0" t="s">
        <v>13</v>
      </c>
      <c r="F2152" s="0" t="s">
        <v>14</v>
      </c>
      <c r="G2152" s="0" t="s">
        <v>15</v>
      </c>
      <c r="H2152" s="5">
        <v>659.157300</v>
      </c>
    </row>
    <row r="2153" spans="1:9">
      <c r="A2153" s="22" t="str">
        <f>HYPERLINK("https://app.vivvix.com/360/KMI/IntelliDrive/ApplUI/Pages/CreativePages/CustomReportCreativeDetail.aspx?App=23&amp;ReportView=4&amp;Qid=1711245&amp;Row=2145&amp;Col=1","No Title Assigned - #15284764748")</f>
        <v/>
      </c>
      <c r="B2153" s="0" t="s">
        <v>3079</v>
      </c>
      <c r="C2153" s="0" t="s">
        <v>3080</v>
      </c>
      <c r="D2153" s="0" t="s">
        <v>3080</v>
      </c>
      <c r="E2153" s="0" t="s">
        <v>13</v>
      </c>
      <c r="F2153" s="0" t="s">
        <v>14</v>
      </c>
      <c r="G2153" s="0" t="s">
        <v>15</v>
      </c>
      <c r="H2153" s="5">
        <v>675.842100</v>
      </c>
    </row>
    <row r="2154" spans="1:9">
      <c r="A2154" s="22" t="str">
        <f>HYPERLINK("https://app.vivvix.com/360/KMI/IntelliDrive/ApplUI/Pages/CreativePages/CustomReportCreativeDetail.aspx?App=23&amp;ReportView=4&amp;Qid=1711245&amp;Row=2146&amp;Col=1","No Title Assigned - #15284765222")</f>
        <v/>
      </c>
      <c r="B2154" s="0" t="s">
        <v>3081</v>
      </c>
      <c r="C2154" s="0" t="s">
        <v>3082</v>
      </c>
      <c r="D2154" s="0" t="s">
        <v>3082</v>
      </c>
      <c r="E2154" s="0" t="s">
        <v>13</v>
      </c>
      <c r="F2154" s="0" t="s">
        <v>530</v>
      </c>
      <c r="G2154" s="0" t="s">
        <v>531</v>
      </c>
      <c r="H2154" s="5">
        <v>206.217900</v>
      </c>
    </row>
    <row r="2155" spans="1:9">
      <c r="A2155" s="22" t="str">
        <f>HYPERLINK("https://app.vivvix.com/360/KMI/IntelliDrive/ApplUI/Pages/CreativePages/CustomReportCreativeDetail.aspx?App=23&amp;ReportView=4&amp;Qid=1711245&amp;Row=2147&amp;Col=1","No Title Assigned - #15284785287")</f>
        <v/>
      </c>
      <c r="B2155" s="0" t="s">
        <v>3083</v>
      </c>
      <c r="C2155" s="0" t="s">
        <v>3084</v>
      </c>
      <c r="D2155" s="0" t="s">
        <v>3084</v>
      </c>
      <c r="E2155" s="0" t="s">
        <v>13</v>
      </c>
      <c r="F2155" s="0" t="s">
        <v>128</v>
      </c>
      <c r="G2155" s="0" t="s">
        <v>456</v>
      </c>
      <c r="H2155" s="5">
        <v>878.524900</v>
      </c>
    </row>
    <row r="2156" spans="1:9">
      <c r="A2156" s="22" t="str">
        <f>HYPERLINK("https://app.vivvix.com/360/KMI/IntelliDrive/ApplUI/Pages/CreativePages/CustomReportCreativeDetail.aspx?App=23&amp;ReportView=4&amp;Qid=1711245&amp;Row=2148&amp;Col=1","No Title Assigned - #15284786924")</f>
        <v/>
      </c>
      <c r="B2156" s="0" t="s">
        <v>3085</v>
      </c>
      <c r="C2156" s="0" t="s">
        <v>3086</v>
      </c>
      <c r="D2156" s="0" t="s">
        <v>3086</v>
      </c>
      <c r="E2156" s="0" t="s">
        <v>13</v>
      </c>
      <c r="F2156" s="0" t="s">
        <v>14</v>
      </c>
      <c r="G2156" s="0" t="s">
        <v>15</v>
      </c>
      <c r="H2156" s="5">
        <v>416.874200</v>
      </c>
    </row>
    <row r="2157" spans="1:9">
      <c r="A2157" s="22" t="str">
        <f>HYPERLINK("https://app.vivvix.com/360/KMI/IntelliDrive/ApplUI/Pages/CreativePages/CustomReportCreativeDetail.aspx?App=23&amp;ReportView=4&amp;Qid=1711245&amp;Row=2149&amp;Col=1","No Title Assigned - #15284789285")</f>
        <v/>
      </c>
      <c r="B2157" s="0" t="s">
        <v>3087</v>
      </c>
      <c r="C2157" s="0" t="s">
        <v>3088</v>
      </c>
      <c r="D2157" s="0" t="s">
        <v>3088</v>
      </c>
      <c r="E2157" s="0" t="s">
        <v>13</v>
      </c>
      <c r="F2157" s="0" t="s">
        <v>14</v>
      </c>
      <c r="G2157" s="0" t="s">
        <v>15</v>
      </c>
      <c r="H2157" s="5">
        <v>0.456200</v>
      </c>
    </row>
    <row r="2158" spans="1:9">
      <c r="A2158" s="22" t="str">
        <f>HYPERLINK("https://app.vivvix.com/360/KMI/IntelliDrive/ApplUI/Pages/CreativePages/CustomReportCreativeDetail.aspx?App=23&amp;ReportView=4&amp;Qid=1711245&amp;Row=2150&amp;Col=1","No Title Assigned - #15284790379")</f>
        <v/>
      </c>
      <c r="B2158" s="0" t="s">
        <v>3089</v>
      </c>
      <c r="C2158" s="0" t="s">
        <v>3090</v>
      </c>
      <c r="D2158" s="0" t="s">
        <v>3090</v>
      </c>
      <c r="E2158" s="0" t="s">
        <v>13</v>
      </c>
      <c r="F2158" s="0" t="s">
        <v>28</v>
      </c>
      <c r="G2158" s="0" t="s">
        <v>453</v>
      </c>
      <c r="H2158" s="5">
        <v>5295.129400</v>
      </c>
    </row>
    <row r="2159" spans="1:9">
      <c r="A2159" s="22" t="str">
        <f>HYPERLINK("https://app.vivvix.com/360/KMI/IntelliDrive/ApplUI/Pages/CreativePages/CustomReportCreativeDetail.aspx?App=23&amp;ReportView=4&amp;Qid=1711245&amp;Row=2151&amp;Col=1","No Title Assigned - #15284803063")</f>
        <v/>
      </c>
      <c r="B2159" s="0" t="s">
        <v>3091</v>
      </c>
      <c r="C2159" s="0" t="s">
        <v>3092</v>
      </c>
      <c r="D2159" s="0" t="s">
        <v>3092</v>
      </c>
      <c r="E2159" s="0" t="s">
        <v>13</v>
      </c>
      <c r="F2159" s="0" t="s">
        <v>14</v>
      </c>
      <c r="G2159" s="0" t="s">
        <v>103</v>
      </c>
      <c r="H2159" s="5">
        <v>44.466600</v>
      </c>
    </row>
    <row r="2160" spans="1:9">
      <c r="A2160" s="22" t="str">
        <f>HYPERLINK("https://app.vivvix.com/360/KMI/IntelliDrive/ApplUI/Pages/CreativePages/CustomReportCreativeDetail.aspx?App=23&amp;ReportView=4&amp;Qid=1711245&amp;Row=2152&amp;Col=1","No Title Assigned - #15284832074")</f>
        <v/>
      </c>
      <c r="B2160" s="0" t="s">
        <v>3093</v>
      </c>
      <c r="C2160" s="0" t="s">
        <v>3094</v>
      </c>
      <c r="D2160" s="0" t="s">
        <v>3094</v>
      </c>
      <c r="E2160" s="0" t="s">
        <v>13</v>
      </c>
      <c r="F2160" s="0" t="s">
        <v>14</v>
      </c>
      <c r="G2160" s="0" t="s">
        <v>15</v>
      </c>
      <c r="H2160" s="5">
        <v>312.832800</v>
      </c>
    </row>
    <row r="2161" spans="1:9">
      <c r="A2161" s="22" t="str">
        <f>HYPERLINK("https://app.vivvix.com/360/KMI/IntelliDrive/ApplUI/Pages/CreativePages/CustomReportCreativeDetail.aspx?App=23&amp;ReportView=4&amp;Qid=1711245&amp;Row=2153&amp;Col=1","No Title Assigned - #15284835493")</f>
        <v/>
      </c>
      <c r="B2161" s="0" t="s">
        <v>3095</v>
      </c>
      <c r="E2161" s="0" t="s">
        <v>13</v>
      </c>
      <c r="F2161" s="0" t="s">
        <v>13</v>
      </c>
      <c r="G2161" s="0" t="s">
        <v>54</v>
      </c>
      <c r="H2161" s="5">
        <v>504.909600</v>
      </c>
    </row>
    <row r="2162" spans="1:9">
      <c r="A2162" s="22" t="str">
        <f>HYPERLINK("https://app.vivvix.com/360/KMI/IntelliDrive/ApplUI/Pages/CreativePages/CustomReportCreativeDetail.aspx?App=23&amp;ReportView=4&amp;Qid=1711245&amp;Row=2154&amp;Col=1","No Title Assigned - #15284835661")</f>
        <v/>
      </c>
      <c r="B2162" s="0" t="s">
        <v>3096</v>
      </c>
      <c r="E2162" s="0" t="s">
        <v>13</v>
      </c>
      <c r="F2162" s="0" t="s">
        <v>13</v>
      </c>
      <c r="G2162" s="0" t="s">
        <v>54</v>
      </c>
      <c r="H2162" s="5">
        <v>418.935500</v>
      </c>
    </row>
    <row r="2163" spans="1:9">
      <c r="A2163" s="22" t="str">
        <f>HYPERLINK("https://app.vivvix.com/360/KMI/IntelliDrive/ApplUI/Pages/CreativePages/CustomReportCreativeDetail.aspx?App=23&amp;ReportView=4&amp;Qid=1711245&amp;Row=2155&amp;Col=1","No Title Assigned - #15284835715")</f>
        <v/>
      </c>
      <c r="B2163" s="0" t="s">
        <v>3097</v>
      </c>
      <c r="E2163" s="0" t="s">
        <v>13</v>
      </c>
      <c r="F2163" s="0" t="s">
        <v>13</v>
      </c>
      <c r="G2163" s="0" t="s">
        <v>54</v>
      </c>
      <c r="H2163" s="5">
        <v>2559.371100</v>
      </c>
    </row>
    <row r="2164" spans="1:9">
      <c r="A2164" s="22" t="str">
        <f>HYPERLINK("https://app.vivvix.com/360/KMI/IntelliDrive/ApplUI/Pages/CreativePages/CustomReportCreativeDetail.aspx?App=23&amp;ReportView=4&amp;Qid=1711245&amp;Row=2156&amp;Col=1","No Title Assigned - #15284873709")</f>
        <v/>
      </c>
      <c r="B2164" s="0" t="s">
        <v>3098</v>
      </c>
      <c r="C2164" s="0" t="s">
        <v>3099</v>
      </c>
      <c r="D2164" s="0" t="s">
        <v>3099</v>
      </c>
      <c r="E2164" s="0" t="s">
        <v>13</v>
      </c>
      <c r="F2164" s="0" t="s">
        <v>28</v>
      </c>
      <c r="G2164" s="0" t="s">
        <v>453</v>
      </c>
      <c r="H2164" s="5">
        <v>559.158100</v>
      </c>
    </row>
    <row r="2165" spans="1:9">
      <c r="A2165" s="22" t="str">
        <f>HYPERLINK("https://app.vivvix.com/360/KMI/IntelliDrive/ApplUI/Pages/CreativePages/CustomReportCreativeDetail.aspx?App=23&amp;ReportView=4&amp;Qid=1711245&amp;Row=2157&amp;Col=1","No Title Assigned - #15284877441")</f>
        <v/>
      </c>
      <c r="B2165" s="0" t="s">
        <v>3100</v>
      </c>
      <c r="C2165" s="0" t="s">
        <v>3101</v>
      </c>
      <c r="D2165" s="0" t="s">
        <v>3101</v>
      </c>
      <c r="E2165" s="0" t="s">
        <v>13</v>
      </c>
      <c r="F2165" s="0" t="s">
        <v>14</v>
      </c>
      <c r="G2165" s="0" t="s">
        <v>15</v>
      </c>
      <c r="H2165" s="5">
        <v>449.076600</v>
      </c>
    </row>
    <row r="2166" spans="1:9">
      <c r="A2166" s="22" t="str">
        <f>HYPERLINK("https://app.vivvix.com/360/KMI/IntelliDrive/ApplUI/Pages/CreativePages/CustomReportCreativeDetail.aspx?App=23&amp;ReportView=4&amp;Qid=1711245&amp;Row=2158&amp;Col=1","No Title Assigned - #15284893129")</f>
        <v/>
      </c>
      <c r="B2166" s="0" t="s">
        <v>3102</v>
      </c>
      <c r="C2166" s="0" t="s">
        <v>3103</v>
      </c>
      <c r="D2166" s="0" t="s">
        <v>3103</v>
      </c>
      <c r="E2166" s="0" t="s">
        <v>13</v>
      </c>
      <c r="F2166" s="0" t="s">
        <v>14</v>
      </c>
      <c r="G2166" s="0" t="s">
        <v>15</v>
      </c>
      <c r="H2166" s="5">
        <v>2234.520000</v>
      </c>
    </row>
    <row r="2167" spans="1:9">
      <c r="A2167" s="22" t="str">
        <f>HYPERLINK("https://app.vivvix.com/360/KMI/IntelliDrive/ApplUI/Pages/CreativePages/CustomReportCreativeDetail.aspx?App=23&amp;ReportView=4&amp;Qid=1711245&amp;Row=2159&amp;Col=1","No Title Assigned - #15284893837")</f>
        <v/>
      </c>
      <c r="B2167" s="0" t="s">
        <v>3104</v>
      </c>
      <c r="C2167" s="0" t="s">
        <v>3105</v>
      </c>
      <c r="D2167" s="0" t="s">
        <v>3105</v>
      </c>
      <c r="E2167" s="0" t="s">
        <v>13</v>
      </c>
      <c r="F2167" s="0" t="s">
        <v>14</v>
      </c>
      <c r="G2167" s="0" t="s">
        <v>15</v>
      </c>
      <c r="H2167" s="5">
        <v>189.819200</v>
      </c>
    </row>
    <row r="2168" spans="1:9">
      <c r="A2168" s="22" t="str">
        <f>HYPERLINK("https://app.vivvix.com/360/KMI/IntelliDrive/ApplUI/Pages/CreativePages/CustomReportCreativeDetail.aspx?App=23&amp;ReportView=4&amp;Qid=1711245&amp;Row=2160&amp;Col=1","No Title Assigned - #15284893845")</f>
        <v/>
      </c>
      <c r="B2168" s="0" t="s">
        <v>3106</v>
      </c>
      <c r="C2168" s="0" t="s">
        <v>3107</v>
      </c>
      <c r="D2168" s="0" t="s">
        <v>3107</v>
      </c>
      <c r="E2168" s="0" t="s">
        <v>13</v>
      </c>
      <c r="F2168" s="0" t="s">
        <v>14</v>
      </c>
      <c r="G2168" s="0" t="s">
        <v>15</v>
      </c>
      <c r="H2168" s="5">
        <v>995.734900</v>
      </c>
    </row>
    <row r="2169" spans="1:9">
      <c r="A2169" s="22" t="str">
        <f>HYPERLINK("https://app.vivvix.com/360/KMI/IntelliDrive/ApplUI/Pages/CreativePages/CustomReportCreativeDetail.aspx?App=23&amp;ReportView=4&amp;Qid=1711245&amp;Row=2161&amp;Col=1","No Title Assigned - #15284900456")</f>
        <v/>
      </c>
      <c r="B2169" s="0" t="s">
        <v>3108</v>
      </c>
      <c r="C2169" s="0" t="s">
        <v>3109</v>
      </c>
      <c r="D2169" s="0" t="s">
        <v>3109</v>
      </c>
      <c r="E2169" s="0" t="s">
        <v>13</v>
      </c>
      <c r="F2169" s="0" t="s">
        <v>14</v>
      </c>
      <c r="G2169" s="0" t="s">
        <v>15</v>
      </c>
      <c r="H2169" s="5">
        <v>7560.418100</v>
      </c>
    </row>
    <row r="2170" spans="1:9">
      <c r="A2170" s="22" t="str">
        <f>HYPERLINK("https://app.vivvix.com/360/KMI/IntelliDrive/ApplUI/Pages/CreativePages/CustomReportCreativeDetail.aspx?App=23&amp;ReportView=4&amp;Qid=1711245&amp;Row=2162&amp;Col=1","No Title Assigned - #15284901752")</f>
        <v/>
      </c>
      <c r="B2170" s="0" t="s">
        <v>3110</v>
      </c>
      <c r="C2170" s="0" t="s">
        <v>3111</v>
      </c>
      <c r="D2170" s="0" t="s">
        <v>3111</v>
      </c>
      <c r="E2170" s="0" t="s">
        <v>13</v>
      </c>
      <c r="F2170" s="0" t="s">
        <v>14</v>
      </c>
      <c r="G2170" s="0" t="s">
        <v>15</v>
      </c>
      <c r="H2170" s="5">
        <v>469.249200</v>
      </c>
    </row>
    <row r="2171" spans="1:9">
      <c r="A2171" s="22" t="str">
        <f>HYPERLINK("https://app.vivvix.com/360/KMI/IntelliDrive/ApplUI/Pages/CreativePages/CustomReportCreativeDetail.aspx?App=23&amp;ReportView=4&amp;Qid=1711245&amp;Row=2163&amp;Col=1","No Title Assigned - #15284920282")</f>
        <v/>
      </c>
      <c r="B2171" s="0" t="s">
        <v>3112</v>
      </c>
      <c r="C2171" s="0" t="s">
        <v>3113</v>
      </c>
      <c r="D2171" s="0" t="s">
        <v>3113</v>
      </c>
      <c r="E2171" s="0" t="s">
        <v>13</v>
      </c>
      <c r="F2171" s="0" t="s">
        <v>128</v>
      </c>
      <c r="G2171" s="0" t="s">
        <v>456</v>
      </c>
      <c r="H2171" s="5">
        <v>126.244300</v>
      </c>
    </row>
    <row r="2172" spans="1:9">
      <c r="A2172" s="22" t="str">
        <f>HYPERLINK("https://app.vivvix.com/360/KMI/IntelliDrive/ApplUI/Pages/CreativePages/CustomReportCreativeDetail.aspx?App=23&amp;ReportView=4&amp;Qid=1711245&amp;Row=2164&amp;Col=1","No Title Assigned - #15284925194")</f>
        <v/>
      </c>
      <c r="B2172" s="0" t="s">
        <v>3114</v>
      </c>
      <c r="C2172" s="0" t="s">
        <v>3115</v>
      </c>
      <c r="D2172" s="0" t="s">
        <v>3115</v>
      </c>
      <c r="E2172" s="0" t="s">
        <v>13</v>
      </c>
      <c r="F2172" s="0" t="s">
        <v>14</v>
      </c>
      <c r="G2172" s="0" t="s">
        <v>15</v>
      </c>
      <c r="H2172" s="5">
        <v>514.144400</v>
      </c>
    </row>
    <row r="2173" spans="1:9">
      <c r="A2173" s="22" t="str">
        <f>HYPERLINK("https://app.vivvix.com/360/KMI/IntelliDrive/ApplUI/Pages/CreativePages/CustomReportCreativeDetail.aspx?App=23&amp;ReportView=4&amp;Qid=1711245&amp;Row=2165&amp;Col=1","No Title Assigned - #15284928389")</f>
        <v/>
      </c>
      <c r="B2173" s="0" t="s">
        <v>3116</v>
      </c>
      <c r="C2173" s="0" t="s">
        <v>3117</v>
      </c>
      <c r="D2173" s="0" t="s">
        <v>3117</v>
      </c>
      <c r="E2173" s="0" t="s">
        <v>13</v>
      </c>
      <c r="F2173" s="0" t="s">
        <v>106</v>
      </c>
      <c r="G2173" s="0" t="s">
        <v>107</v>
      </c>
      <c r="H2173" s="5">
        <v>12228.656400</v>
      </c>
    </row>
    <row r="2174" spans="1:9">
      <c r="A2174" s="22" t="str">
        <f>HYPERLINK("https://app.vivvix.com/360/KMI/IntelliDrive/ApplUI/Pages/CreativePages/CustomReportCreativeDetail.aspx?App=23&amp;ReportView=4&amp;Qid=1711245&amp;Row=2166&amp;Col=1","No Title Assigned - #15284941195")</f>
        <v/>
      </c>
      <c r="B2174" s="0" t="s">
        <v>3118</v>
      </c>
      <c r="C2174" s="0" t="s">
        <v>3119</v>
      </c>
      <c r="D2174" s="0" t="s">
        <v>3119</v>
      </c>
      <c r="E2174" s="0" t="s">
        <v>13</v>
      </c>
      <c r="F2174" s="0" t="s">
        <v>14</v>
      </c>
      <c r="G2174" s="0" t="s">
        <v>15</v>
      </c>
      <c r="H2174" s="5">
        <v>411.848200</v>
      </c>
    </row>
    <row r="2175" spans="1:9">
      <c r="A2175" s="22" t="str">
        <f>HYPERLINK("https://app.vivvix.com/360/KMI/IntelliDrive/ApplUI/Pages/CreativePages/CustomReportCreativeDetail.aspx?App=23&amp;ReportView=4&amp;Qid=1711245&amp;Row=2167&amp;Col=1","No Title Assigned - #15284941815")</f>
        <v/>
      </c>
      <c r="B2175" s="0" t="s">
        <v>3120</v>
      </c>
      <c r="E2175" s="0" t="s">
        <v>13</v>
      </c>
      <c r="F2175" s="0" t="s">
        <v>13</v>
      </c>
      <c r="G2175" s="0" t="s">
        <v>54</v>
      </c>
      <c r="H2175" s="5">
        <v>1579.347900</v>
      </c>
    </row>
    <row r="2176" spans="1:9">
      <c r="A2176" s="22" t="str">
        <f>HYPERLINK("https://app.vivvix.com/360/KMI/IntelliDrive/ApplUI/Pages/CreativePages/CustomReportCreativeDetail.aspx?App=23&amp;ReportView=4&amp;Qid=1711245&amp;Row=2168&amp;Col=1","No Title Assigned - #15284951857")</f>
        <v/>
      </c>
      <c r="B2176" s="0" t="s">
        <v>3121</v>
      </c>
      <c r="C2176" s="0" t="s">
        <v>3122</v>
      </c>
      <c r="D2176" s="0" t="s">
        <v>3122</v>
      </c>
      <c r="E2176" s="0" t="s">
        <v>13</v>
      </c>
      <c r="F2176" s="0" t="s">
        <v>14</v>
      </c>
      <c r="G2176" s="0" t="s">
        <v>15</v>
      </c>
      <c r="H2176" s="5">
        <v>94.909600</v>
      </c>
    </row>
    <row r="2177" spans="1:9">
      <c r="A2177" s="22" t="str">
        <f>HYPERLINK("https://app.vivvix.com/360/KMI/IntelliDrive/ApplUI/Pages/CreativePages/CustomReportCreativeDetail.aspx?App=23&amp;ReportView=4&amp;Qid=1711245&amp;Row=2169&amp;Col=1","No Title Assigned - #15284953120")</f>
        <v/>
      </c>
      <c r="B2177" s="0" t="s">
        <v>3123</v>
      </c>
      <c r="E2177" s="0" t="s">
        <v>13</v>
      </c>
      <c r="F2177" s="0" t="s">
        <v>13</v>
      </c>
      <c r="G2177" s="0" t="s">
        <v>54</v>
      </c>
      <c r="H2177" s="5">
        <v>11.814900</v>
      </c>
    </row>
    <row r="2178" spans="1:9">
      <c r="A2178" s="22" t="str">
        <f>HYPERLINK("https://app.vivvix.com/360/KMI/IntelliDrive/ApplUI/Pages/CreativePages/CustomReportCreativeDetail.aspx?App=23&amp;ReportView=4&amp;Qid=1711245&amp;Row=2170&amp;Col=1","No Title Assigned - #15284955216")</f>
        <v/>
      </c>
      <c r="B2178" s="0" t="s">
        <v>3124</v>
      </c>
      <c r="E2178" s="0" t="s">
        <v>13</v>
      </c>
      <c r="F2178" s="0" t="s">
        <v>13</v>
      </c>
      <c r="G2178" s="0" t="s">
        <v>54</v>
      </c>
      <c r="H2178" s="5">
        <v>14.723900</v>
      </c>
    </row>
    <row r="2179" spans="1:9">
      <c r="A2179" s="22" t="str">
        <f>HYPERLINK("https://app.vivvix.com/360/KMI/IntelliDrive/ApplUI/Pages/CreativePages/CustomReportCreativeDetail.aspx?App=23&amp;ReportView=4&amp;Qid=1711245&amp;Row=2171&amp;Col=1","No Title Assigned - #15284963624")</f>
        <v/>
      </c>
      <c r="B2179" s="0" t="s">
        <v>3125</v>
      </c>
      <c r="C2179" s="0" t="s">
        <v>3126</v>
      </c>
      <c r="D2179" s="0" t="s">
        <v>3126</v>
      </c>
      <c r="E2179" s="0" t="s">
        <v>13</v>
      </c>
      <c r="F2179" s="0" t="s">
        <v>14</v>
      </c>
      <c r="G2179" s="0" t="s">
        <v>15</v>
      </c>
      <c r="H2179" s="5">
        <v>2.737200</v>
      </c>
    </row>
    <row r="2180" spans="1:9">
      <c r="A2180" s="22" t="str">
        <f>HYPERLINK("https://app.vivvix.com/360/KMI/IntelliDrive/ApplUI/Pages/CreativePages/CustomReportCreativeDetail.aspx?App=23&amp;ReportView=4&amp;Qid=1711245&amp;Row=2172&amp;Col=1","No Title Assigned - #15284972344")</f>
        <v/>
      </c>
      <c r="B2180" s="0" t="s">
        <v>3127</v>
      </c>
      <c r="C2180" s="0" t="s">
        <v>3128</v>
      </c>
      <c r="D2180" s="0" t="s">
        <v>3128</v>
      </c>
      <c r="E2180" s="0" t="s">
        <v>13</v>
      </c>
      <c r="F2180" s="0" t="s">
        <v>14</v>
      </c>
      <c r="G2180" s="0" t="s">
        <v>15</v>
      </c>
      <c r="H2180" s="5">
        <v>665.659400</v>
      </c>
    </row>
    <row r="2181" spans="1:9">
      <c r="A2181" s="22" t="str">
        <f>HYPERLINK("https://app.vivvix.com/360/KMI/IntelliDrive/ApplUI/Pages/CreativePages/CustomReportCreativeDetail.aspx?App=23&amp;ReportView=4&amp;Qid=1711245&amp;Row=2173&amp;Col=1","No Title Assigned - #15284979860")</f>
        <v/>
      </c>
      <c r="B2181" s="0" t="s">
        <v>3129</v>
      </c>
      <c r="C2181" s="0" t="s">
        <v>3130</v>
      </c>
      <c r="D2181" s="0" t="s">
        <v>3130</v>
      </c>
      <c r="E2181" s="0" t="s">
        <v>13</v>
      </c>
      <c r="F2181" s="0" t="s">
        <v>14</v>
      </c>
      <c r="G2181" s="0" t="s">
        <v>15</v>
      </c>
      <c r="H2181" s="5">
        <v>1096.715000</v>
      </c>
    </row>
    <row r="2182" spans="1:9">
      <c r="A2182" s="22" t="str">
        <f>HYPERLINK("https://app.vivvix.com/360/KMI/IntelliDrive/ApplUI/Pages/CreativePages/CustomReportCreativeDetail.aspx?App=23&amp;ReportView=4&amp;Qid=1711245&amp;Row=2174&amp;Col=1","No Title Assigned - #15284984918")</f>
        <v/>
      </c>
      <c r="B2182" s="0" t="s">
        <v>3131</v>
      </c>
      <c r="C2182" s="0" t="s">
        <v>3132</v>
      </c>
      <c r="D2182" s="0" t="s">
        <v>3132</v>
      </c>
      <c r="E2182" s="0" t="s">
        <v>13</v>
      </c>
      <c r="F2182" s="0" t="s">
        <v>14</v>
      </c>
      <c r="G2182" s="0" t="s">
        <v>15</v>
      </c>
      <c r="H2182" s="5">
        <v>4153.751000</v>
      </c>
    </row>
    <row r="2183" spans="1:9">
      <c r="A2183" s="22" t="str">
        <f>HYPERLINK("https://app.vivvix.com/360/KMI/IntelliDrive/ApplUI/Pages/CreativePages/CustomReportCreativeDetail.aspx?App=23&amp;ReportView=4&amp;Qid=1711245&amp;Row=2175&amp;Col=1","No Title Assigned - #15284998954")</f>
        <v/>
      </c>
      <c r="B2183" s="0" t="s">
        <v>3133</v>
      </c>
      <c r="C2183" s="0" t="s">
        <v>3134</v>
      </c>
      <c r="D2183" s="0" t="s">
        <v>3134</v>
      </c>
      <c r="E2183" s="0" t="s">
        <v>13</v>
      </c>
      <c r="F2183" s="0" t="s">
        <v>14</v>
      </c>
      <c r="G2183" s="0" t="s">
        <v>15</v>
      </c>
      <c r="H2183" s="5">
        <v>0.456200</v>
      </c>
    </row>
    <row r="2184" spans="1:9">
      <c r="A2184" s="22" t="str">
        <f>HYPERLINK("https://app.vivvix.com/360/KMI/IntelliDrive/ApplUI/Pages/CreativePages/CustomReportCreativeDetail.aspx?App=23&amp;ReportView=4&amp;Qid=1711245&amp;Row=2176&amp;Col=1","No Title Assigned - #15285003825")</f>
        <v/>
      </c>
      <c r="B2184" s="0" t="s">
        <v>3135</v>
      </c>
      <c r="E2184" s="0" t="s">
        <v>13</v>
      </c>
      <c r="F2184" s="0" t="s">
        <v>13</v>
      </c>
      <c r="G2184" s="0" t="s">
        <v>54</v>
      </c>
      <c r="H2184" s="5">
        <v>202.188600</v>
      </c>
    </row>
    <row r="2185" spans="1:9">
      <c r="A2185" s="22" t="str">
        <f>HYPERLINK("https://app.vivvix.com/360/KMI/IntelliDrive/ApplUI/Pages/CreativePages/CustomReportCreativeDetail.aspx?App=23&amp;ReportView=4&amp;Qid=1711245&amp;Row=2177&amp;Col=1","No Title Assigned - #15285005029")</f>
        <v/>
      </c>
      <c r="B2185" s="0" t="s">
        <v>3136</v>
      </c>
      <c r="E2185" s="0" t="s">
        <v>13</v>
      </c>
      <c r="F2185" s="0" t="s">
        <v>13</v>
      </c>
      <c r="G2185" s="0" t="s">
        <v>54</v>
      </c>
      <c r="H2185" s="5">
        <v>950.219000</v>
      </c>
    </row>
    <row r="2186" spans="1:9">
      <c r="A2186" s="22" t="str">
        <f>HYPERLINK("https://app.vivvix.com/360/KMI/IntelliDrive/ApplUI/Pages/CreativePages/CustomReportCreativeDetail.aspx?App=23&amp;ReportView=4&amp;Qid=1711245&amp;Row=2178&amp;Col=1","No Title Assigned - #15285022392")</f>
        <v/>
      </c>
      <c r="B2186" s="0" t="s">
        <v>3137</v>
      </c>
      <c r="E2186" s="0" t="s">
        <v>13</v>
      </c>
      <c r="F2186" s="0" t="s">
        <v>13</v>
      </c>
      <c r="G2186" s="0" t="s">
        <v>54</v>
      </c>
      <c r="H2186" s="5">
        <v>11.814900</v>
      </c>
    </row>
    <row r="2187" spans="1:9">
      <c r="A2187" s="22" t="str">
        <f>HYPERLINK("https://app.vivvix.com/360/KMI/IntelliDrive/ApplUI/Pages/CreativePages/CustomReportCreativeDetail.aspx?App=23&amp;ReportView=4&amp;Qid=1711245&amp;Row=2179&amp;Col=1","No Title Assigned - #15285038796")</f>
        <v/>
      </c>
      <c r="B2187" s="0" t="s">
        <v>3138</v>
      </c>
      <c r="C2187" s="0" t="s">
        <v>3139</v>
      </c>
      <c r="D2187" s="0" t="s">
        <v>3139</v>
      </c>
      <c r="E2187" s="0" t="s">
        <v>13</v>
      </c>
      <c r="F2187" s="0" t="s">
        <v>14</v>
      </c>
      <c r="G2187" s="0" t="s">
        <v>15</v>
      </c>
      <c r="H2187" s="5">
        <v>0.912400</v>
      </c>
    </row>
    <row r="2188" spans="1:9">
      <c r="A2188" s="22" t="str">
        <f>HYPERLINK("https://app.vivvix.com/360/KMI/IntelliDrive/ApplUI/Pages/CreativePages/CustomReportCreativeDetail.aspx?App=23&amp;ReportView=4&amp;Qid=1711245&amp;Row=2180&amp;Col=1","No Title Assigned - #15285041935")</f>
        <v/>
      </c>
      <c r="B2188" s="0" t="s">
        <v>3140</v>
      </c>
      <c r="C2188" s="0" t="s">
        <v>3141</v>
      </c>
      <c r="D2188" s="0" t="s">
        <v>3141</v>
      </c>
      <c r="E2188" s="0" t="s">
        <v>13</v>
      </c>
      <c r="F2188" s="0" t="s">
        <v>14</v>
      </c>
      <c r="G2188" s="0" t="s">
        <v>15</v>
      </c>
      <c r="H2188" s="5">
        <v>242157.672900</v>
      </c>
    </row>
    <row r="2189" spans="1:9">
      <c r="A2189" s="22" t="str">
        <f>HYPERLINK("https://app.vivvix.com/360/KMI/IntelliDrive/ApplUI/Pages/CreativePages/CustomReportCreativeDetail.aspx?App=23&amp;ReportView=4&amp;Qid=1711245&amp;Row=2181&amp;Col=1","No Title Assigned - #15285083209")</f>
        <v/>
      </c>
      <c r="B2189" s="0" t="s">
        <v>3142</v>
      </c>
      <c r="C2189" s="0" t="s">
        <v>3143</v>
      </c>
      <c r="D2189" s="0" t="s">
        <v>3143</v>
      </c>
      <c r="E2189" s="0" t="s">
        <v>13</v>
      </c>
      <c r="F2189" s="0" t="s">
        <v>14</v>
      </c>
      <c r="G2189" s="0" t="s">
        <v>15</v>
      </c>
      <c r="H2189" s="5">
        <v>6811.769300</v>
      </c>
    </row>
    <row r="2190" spans="1:9">
      <c r="A2190" s="22" t="str">
        <f>HYPERLINK("https://app.vivvix.com/360/KMI/IntelliDrive/ApplUI/Pages/CreativePages/CustomReportCreativeDetail.aspx?App=23&amp;ReportView=4&amp;Qid=1711245&amp;Row=2182&amp;Col=1","No Title Assigned - #15285083224")</f>
        <v/>
      </c>
      <c r="B2190" s="0" t="s">
        <v>3144</v>
      </c>
      <c r="C2190" s="0" t="s">
        <v>3145</v>
      </c>
      <c r="D2190" s="0" t="s">
        <v>3145</v>
      </c>
      <c r="E2190" s="0" t="s">
        <v>13</v>
      </c>
      <c r="F2190" s="0" t="s">
        <v>14</v>
      </c>
      <c r="G2190" s="0" t="s">
        <v>15</v>
      </c>
      <c r="H2190" s="5">
        <v>541.489600</v>
      </c>
    </row>
    <row r="2191" spans="1:9">
      <c r="A2191" s="22" t="str">
        <f>HYPERLINK("https://app.vivvix.com/360/KMI/IntelliDrive/ApplUI/Pages/CreativePages/CustomReportCreativeDetail.aspx?App=23&amp;ReportView=4&amp;Qid=1711245&amp;Row=2183&amp;Col=1","No Title Assigned - #15285087777")</f>
        <v/>
      </c>
      <c r="B2191" s="0" t="s">
        <v>3146</v>
      </c>
      <c r="C2191" s="0" t="s">
        <v>3147</v>
      </c>
      <c r="D2191" s="0" t="s">
        <v>3147</v>
      </c>
      <c r="E2191" s="0" t="s">
        <v>13</v>
      </c>
      <c r="F2191" s="0" t="s">
        <v>14</v>
      </c>
      <c r="G2191" s="0" t="s">
        <v>15</v>
      </c>
      <c r="H2191" s="5">
        <v>2631.391100</v>
      </c>
    </row>
    <row r="2192" spans="1:9">
      <c r="A2192" s="22" t="str">
        <f>HYPERLINK("https://app.vivvix.com/360/KMI/IntelliDrive/ApplUI/Pages/CreativePages/CustomReportCreativeDetail.aspx?App=23&amp;ReportView=4&amp;Qid=1711245&amp;Row=2184&amp;Col=1","No Title Assigned - #15285088451")</f>
        <v/>
      </c>
      <c r="B2192" s="0" t="s">
        <v>3148</v>
      </c>
      <c r="C2192" s="0" t="s">
        <v>3149</v>
      </c>
      <c r="D2192" s="0" t="s">
        <v>3149</v>
      </c>
      <c r="E2192" s="0" t="s">
        <v>13</v>
      </c>
      <c r="F2192" s="0" t="s">
        <v>14</v>
      </c>
      <c r="G2192" s="0" t="s">
        <v>15</v>
      </c>
      <c r="H2192" s="5">
        <v>8953.422200</v>
      </c>
    </row>
    <row r="2193" spans="1:9">
      <c r="A2193" s="22" t="str">
        <f>HYPERLINK("https://app.vivvix.com/360/KMI/IntelliDrive/ApplUI/Pages/CreativePages/CustomReportCreativeDetail.aspx?App=23&amp;ReportView=4&amp;Qid=1711245&amp;Row=2185&amp;Col=1","No Title Assigned - #15285088453")</f>
        <v/>
      </c>
      <c r="B2193" s="0" t="s">
        <v>3150</v>
      </c>
      <c r="C2193" s="0" t="s">
        <v>3151</v>
      </c>
      <c r="D2193" s="0" t="s">
        <v>3036</v>
      </c>
      <c r="E2193" s="0" t="s">
        <v>13</v>
      </c>
      <c r="F2193" s="0" t="s">
        <v>14</v>
      </c>
      <c r="G2193" s="0" t="s">
        <v>15</v>
      </c>
      <c r="H2193" s="5">
        <v>1468.642400</v>
      </c>
    </row>
    <row r="2194" spans="1:9">
      <c r="A2194" s="22" t="str">
        <f>HYPERLINK("https://app.vivvix.com/360/KMI/IntelliDrive/ApplUI/Pages/CreativePages/CustomReportCreativeDetail.aspx?App=23&amp;ReportView=4&amp;Qid=1711245&amp;Row=2186&amp;Col=1","No Title Assigned - #15285090232")</f>
        <v/>
      </c>
      <c r="B2194" s="0" t="s">
        <v>3152</v>
      </c>
      <c r="C2194" s="0" t="s">
        <v>3153</v>
      </c>
      <c r="D2194" s="0" t="s">
        <v>3153</v>
      </c>
      <c r="E2194" s="0" t="s">
        <v>13</v>
      </c>
      <c r="F2194" s="0" t="s">
        <v>128</v>
      </c>
      <c r="G2194" s="0" t="s">
        <v>456</v>
      </c>
      <c r="H2194" s="5">
        <v>716.517000</v>
      </c>
    </row>
    <row r="2195" spans="1:9">
      <c r="A2195" s="22" t="str">
        <f>HYPERLINK("https://app.vivvix.com/360/KMI/IntelliDrive/ApplUI/Pages/CreativePages/CustomReportCreativeDetail.aspx?App=23&amp;ReportView=4&amp;Qid=1711245&amp;Row=2187&amp;Col=1","No Title Assigned - #15285090652")</f>
        <v/>
      </c>
      <c r="B2195" s="0" t="s">
        <v>3154</v>
      </c>
      <c r="C2195" s="0" t="s">
        <v>3155</v>
      </c>
      <c r="D2195" s="0" t="s">
        <v>3155</v>
      </c>
      <c r="E2195" s="0" t="s">
        <v>13</v>
      </c>
      <c r="F2195" s="0" t="s">
        <v>14</v>
      </c>
      <c r="G2195" s="0" t="s">
        <v>15</v>
      </c>
      <c r="H2195" s="5">
        <v>481.029500</v>
      </c>
    </row>
    <row r="2196" spans="1:9">
      <c r="A2196" s="22" t="str">
        <f>HYPERLINK("https://app.vivvix.com/360/KMI/IntelliDrive/ApplUI/Pages/CreativePages/CustomReportCreativeDetail.aspx?App=23&amp;ReportView=4&amp;Qid=1711245&amp;Row=2188&amp;Col=1","No Title Assigned - #15285096942")</f>
        <v/>
      </c>
      <c r="B2196" s="0" t="s">
        <v>3156</v>
      </c>
      <c r="C2196" s="0" t="s">
        <v>3157</v>
      </c>
      <c r="D2196" s="0" t="s">
        <v>3157</v>
      </c>
      <c r="E2196" s="0" t="s">
        <v>13</v>
      </c>
      <c r="F2196" s="0" t="s">
        <v>14</v>
      </c>
      <c r="G2196" s="0" t="s">
        <v>15</v>
      </c>
      <c r="H2196" s="5">
        <v>3003.939000</v>
      </c>
    </row>
    <row r="2197" spans="1:9">
      <c r="A2197" s="22" t="str">
        <f>HYPERLINK("https://app.vivvix.com/360/KMI/IntelliDrive/ApplUI/Pages/CreativePages/CustomReportCreativeDetail.aspx?App=23&amp;ReportView=4&amp;Qid=1711245&amp;Row=2189&amp;Col=1","No Title Assigned - #15285122771")</f>
        <v/>
      </c>
      <c r="B2197" s="0" t="s">
        <v>3158</v>
      </c>
      <c r="E2197" s="0" t="s">
        <v>13</v>
      </c>
      <c r="F2197" s="0" t="s">
        <v>13</v>
      </c>
      <c r="G2197" s="0" t="s">
        <v>54</v>
      </c>
      <c r="H2197" s="5">
        <v>559.109200</v>
      </c>
    </row>
    <row r="2198" spans="1:9">
      <c r="A2198" s="22" t="str">
        <f>HYPERLINK("https://app.vivvix.com/360/KMI/IntelliDrive/ApplUI/Pages/CreativePages/CustomReportCreativeDetail.aspx?App=23&amp;ReportView=4&amp;Qid=1711245&amp;Row=2190&amp;Col=1","No Title Assigned - #15285124474")</f>
        <v/>
      </c>
      <c r="B2198" s="0" t="s">
        <v>3159</v>
      </c>
      <c r="C2198" s="0" t="s">
        <v>3160</v>
      </c>
      <c r="D2198" s="0" t="s">
        <v>3160</v>
      </c>
      <c r="E2198" s="0" t="s">
        <v>13</v>
      </c>
      <c r="F2198" s="0" t="s">
        <v>106</v>
      </c>
      <c r="G2198" s="0" t="s">
        <v>107</v>
      </c>
      <c r="H2198" s="5">
        <v>1973.326900</v>
      </c>
    </row>
    <row r="2199" spans="1:9">
      <c r="A2199" s="22" t="str">
        <f>HYPERLINK("https://app.vivvix.com/360/KMI/IntelliDrive/ApplUI/Pages/CreativePages/CustomReportCreativeDetail.aspx?App=23&amp;ReportView=4&amp;Qid=1711245&amp;Row=2191&amp;Col=1","No Title Assigned - #15285124730")</f>
        <v/>
      </c>
      <c r="B2199" s="0" t="s">
        <v>3161</v>
      </c>
      <c r="C2199" s="0" t="s">
        <v>3162</v>
      </c>
      <c r="D2199" s="0" t="s">
        <v>3162</v>
      </c>
      <c r="E2199" s="0" t="s">
        <v>13</v>
      </c>
      <c r="F2199" s="0" t="s">
        <v>14</v>
      </c>
      <c r="G2199" s="0" t="s">
        <v>15</v>
      </c>
      <c r="H2199" s="5">
        <v>24385.793000</v>
      </c>
    </row>
    <row r="2200" spans="1:9">
      <c r="A2200" s="22" t="str">
        <f>HYPERLINK("https://app.vivvix.com/360/KMI/IntelliDrive/ApplUI/Pages/CreativePages/CustomReportCreativeDetail.aspx?App=23&amp;ReportView=4&amp;Qid=1711245&amp;Row=2192&amp;Col=1","No Title Assigned - #15285128410")</f>
        <v/>
      </c>
      <c r="B2200" s="0" t="s">
        <v>3163</v>
      </c>
      <c r="C2200" s="0" t="s">
        <v>3164</v>
      </c>
      <c r="D2200" s="0" t="s">
        <v>3164</v>
      </c>
      <c r="E2200" s="0" t="s">
        <v>13</v>
      </c>
      <c r="F2200" s="0" t="s">
        <v>14</v>
      </c>
      <c r="G2200" s="0" t="s">
        <v>15</v>
      </c>
      <c r="H2200" s="5">
        <v>38.231600</v>
      </c>
    </row>
    <row r="2201" spans="1:9">
      <c r="A2201" s="22" t="str">
        <f>HYPERLINK("https://app.vivvix.com/360/KMI/IntelliDrive/ApplUI/Pages/CreativePages/CustomReportCreativeDetail.aspx?App=23&amp;ReportView=4&amp;Qid=1711245&amp;Row=2193&amp;Col=1","No Title Assigned - #15285129692")</f>
        <v/>
      </c>
      <c r="B2201" s="0" t="s">
        <v>3165</v>
      </c>
      <c r="C2201" s="0" t="s">
        <v>3166</v>
      </c>
      <c r="D2201" s="0" t="s">
        <v>3166</v>
      </c>
      <c r="E2201" s="0" t="s">
        <v>13</v>
      </c>
      <c r="F2201" s="0" t="s">
        <v>14</v>
      </c>
      <c r="G2201" s="0" t="s">
        <v>15</v>
      </c>
      <c r="H2201" s="5">
        <v>5731.202100</v>
      </c>
    </row>
    <row r="2202" spans="1:9">
      <c r="A2202" s="22" t="str">
        <f>HYPERLINK("https://app.vivvix.com/360/KMI/IntelliDrive/ApplUI/Pages/CreativePages/CustomReportCreativeDetail.aspx?App=23&amp;ReportView=4&amp;Qid=1711245&amp;Row=2194&amp;Col=1","No Title Assigned - #15285129964")</f>
        <v/>
      </c>
      <c r="B2202" s="0" t="s">
        <v>3167</v>
      </c>
      <c r="C2202" s="0" t="s">
        <v>3168</v>
      </c>
      <c r="D2202" s="0" t="s">
        <v>3168</v>
      </c>
      <c r="E2202" s="0" t="s">
        <v>13</v>
      </c>
      <c r="F2202" s="0" t="s">
        <v>14</v>
      </c>
      <c r="G2202" s="0" t="s">
        <v>15</v>
      </c>
      <c r="H2202" s="5">
        <v>440.861700</v>
      </c>
    </row>
    <row r="2203" spans="1:9">
      <c r="A2203" s="22" t="str">
        <f>HYPERLINK("https://app.vivvix.com/360/KMI/IntelliDrive/ApplUI/Pages/CreativePages/CustomReportCreativeDetail.aspx?App=23&amp;ReportView=4&amp;Qid=1711245&amp;Row=2195&amp;Col=1","No Title Assigned - #15285130614")</f>
        <v/>
      </c>
      <c r="B2203" s="0" t="s">
        <v>3169</v>
      </c>
      <c r="C2203" s="0" t="s">
        <v>3170</v>
      </c>
      <c r="D2203" s="0" t="s">
        <v>3170</v>
      </c>
      <c r="E2203" s="0" t="s">
        <v>13</v>
      </c>
      <c r="F2203" s="0" t="s">
        <v>28</v>
      </c>
      <c r="G2203" s="0" t="s">
        <v>453</v>
      </c>
      <c r="H2203" s="5">
        <v>294.369200</v>
      </c>
    </row>
    <row r="2204" spans="1:9">
      <c r="A2204" s="22" t="str">
        <f>HYPERLINK("https://app.vivvix.com/360/KMI/IntelliDrive/ApplUI/Pages/CreativePages/CustomReportCreativeDetail.aspx?App=23&amp;ReportView=4&amp;Qid=1711245&amp;Row=2196&amp;Col=1","No Title Assigned - #15285132408")</f>
        <v/>
      </c>
      <c r="B2204" s="0" t="s">
        <v>3171</v>
      </c>
      <c r="C2204" s="0" t="s">
        <v>3172</v>
      </c>
      <c r="D2204" s="0" t="s">
        <v>3172</v>
      </c>
      <c r="E2204" s="0" t="s">
        <v>13</v>
      </c>
      <c r="F2204" s="0" t="s">
        <v>14</v>
      </c>
      <c r="G2204" s="0" t="s">
        <v>15</v>
      </c>
      <c r="H2204" s="5">
        <v>2714.118100</v>
      </c>
    </row>
    <row r="2205" spans="1:9">
      <c r="A2205" s="22" t="str">
        <f>HYPERLINK("https://app.vivvix.com/360/KMI/IntelliDrive/ApplUI/Pages/CreativePages/CustomReportCreativeDetail.aspx?App=23&amp;ReportView=4&amp;Qid=1711245&amp;Row=2197&amp;Col=1","No Title Assigned - #15285139415")</f>
        <v/>
      </c>
      <c r="B2205" s="0" t="s">
        <v>3173</v>
      </c>
      <c r="C2205" s="0" t="s">
        <v>3174</v>
      </c>
      <c r="D2205" s="0" t="s">
        <v>3174</v>
      </c>
      <c r="E2205" s="0" t="s">
        <v>13</v>
      </c>
      <c r="F2205" s="0" t="s">
        <v>3175</v>
      </c>
      <c r="G2205" s="0" t="s">
        <v>3176</v>
      </c>
      <c r="H2205" s="5">
        <v>1865.389500</v>
      </c>
    </row>
    <row r="2206" spans="1:9">
      <c r="A2206" s="22" t="str">
        <f>HYPERLINK("https://app.vivvix.com/360/KMI/IntelliDrive/ApplUI/Pages/CreativePages/CustomReportCreativeDetail.aspx?App=23&amp;ReportView=4&amp;Qid=1711245&amp;Row=2198&amp;Col=1","No Title Assigned - #15285145122")</f>
        <v/>
      </c>
      <c r="B2206" s="0" t="s">
        <v>3177</v>
      </c>
      <c r="C2206" s="0" t="s">
        <v>3178</v>
      </c>
      <c r="D2206" s="0" t="s">
        <v>3178</v>
      </c>
      <c r="E2206" s="0" t="s">
        <v>13</v>
      </c>
      <c r="F2206" s="0" t="s">
        <v>14</v>
      </c>
      <c r="G2206" s="0" t="s">
        <v>15</v>
      </c>
      <c r="H2206" s="5">
        <v>935.802500</v>
      </c>
    </row>
    <row r="2207" spans="1:9">
      <c r="A2207" s="22" t="str">
        <f>HYPERLINK("https://app.vivvix.com/360/KMI/IntelliDrive/ApplUI/Pages/CreativePages/CustomReportCreativeDetail.aspx?App=23&amp;ReportView=4&amp;Qid=1711245&amp;Row=2199&amp;Col=1","No Title Assigned - #15285147122")</f>
        <v/>
      </c>
      <c r="B2207" s="0" t="s">
        <v>3179</v>
      </c>
      <c r="C2207" s="0" t="s">
        <v>3180</v>
      </c>
      <c r="D2207" s="0" t="s">
        <v>3180</v>
      </c>
      <c r="E2207" s="0" t="s">
        <v>13</v>
      </c>
      <c r="F2207" s="0" t="s">
        <v>14</v>
      </c>
      <c r="G2207" s="0" t="s">
        <v>15</v>
      </c>
      <c r="H2207" s="5">
        <v>402.213600</v>
      </c>
    </row>
    <row r="2208" spans="1:9">
      <c r="A2208" s="22" t="str">
        <f>HYPERLINK("https://app.vivvix.com/360/KMI/IntelliDrive/ApplUI/Pages/CreativePages/CustomReportCreativeDetail.aspx?App=23&amp;ReportView=4&amp;Qid=1711245&amp;Row=2200&amp;Col=1","No Title Assigned - #15285155261")</f>
        <v/>
      </c>
      <c r="B2208" s="0" t="s">
        <v>3181</v>
      </c>
      <c r="C2208" s="0" t="s">
        <v>3182</v>
      </c>
      <c r="D2208" s="0" t="s">
        <v>3182</v>
      </c>
      <c r="E2208" s="0" t="s">
        <v>13</v>
      </c>
      <c r="F2208" s="0" t="s">
        <v>14</v>
      </c>
      <c r="G2208" s="0" t="s">
        <v>15</v>
      </c>
      <c r="H2208" s="5">
        <v>195.548200</v>
      </c>
    </row>
    <row r="2209" spans="1:9">
      <c r="A2209" s="22" t="str">
        <f>HYPERLINK("https://app.vivvix.com/360/KMI/IntelliDrive/ApplUI/Pages/CreativePages/CustomReportCreativeDetail.aspx?App=23&amp;ReportView=4&amp;Qid=1711245&amp;Row=2201&amp;Col=1","No Title Assigned - #15285177291")</f>
        <v/>
      </c>
      <c r="B2209" s="0" t="s">
        <v>3183</v>
      </c>
      <c r="C2209" s="0" t="s">
        <v>3184</v>
      </c>
      <c r="D2209" s="0" t="s">
        <v>3184</v>
      </c>
      <c r="E2209" s="0" t="s">
        <v>13</v>
      </c>
      <c r="F2209" s="0" t="s">
        <v>14</v>
      </c>
      <c r="G2209" s="0" t="s">
        <v>15</v>
      </c>
      <c r="H2209" s="5">
        <v>4153.751000</v>
      </c>
    </row>
    <row r="2210" spans="1:9">
      <c r="A2210" s="22" t="str">
        <f>HYPERLINK("https://app.vivvix.com/360/KMI/IntelliDrive/ApplUI/Pages/CreativePages/CustomReportCreativeDetail.aspx?App=23&amp;ReportView=4&amp;Qid=1711245&amp;Row=2202&amp;Col=1","No Title Assigned - #15285177470")</f>
        <v/>
      </c>
      <c r="B2210" s="0" t="s">
        <v>3185</v>
      </c>
      <c r="C2210" s="0" t="s">
        <v>3186</v>
      </c>
      <c r="D2210" s="0" t="s">
        <v>3186</v>
      </c>
      <c r="E2210" s="0" t="s">
        <v>13</v>
      </c>
      <c r="F2210" s="0" t="s">
        <v>14</v>
      </c>
      <c r="G2210" s="0" t="s">
        <v>15</v>
      </c>
      <c r="H2210" s="5">
        <v>38.231600</v>
      </c>
    </row>
    <row r="2211" spans="1:9">
      <c r="A2211" s="22" t="str">
        <f>HYPERLINK("https://app.vivvix.com/360/KMI/IntelliDrive/ApplUI/Pages/CreativePages/CustomReportCreativeDetail.aspx?App=23&amp;ReportView=4&amp;Qid=1711245&amp;Row=2203&amp;Col=1","No Title Assigned - #15285178016")</f>
        <v/>
      </c>
      <c r="B2211" s="0" t="s">
        <v>3187</v>
      </c>
      <c r="C2211" s="0" t="s">
        <v>3188</v>
      </c>
      <c r="D2211" s="0" t="s">
        <v>3188</v>
      </c>
      <c r="E2211" s="0" t="s">
        <v>13</v>
      </c>
      <c r="F2211" s="0" t="s">
        <v>13</v>
      </c>
      <c r="G2211" s="0" t="s">
        <v>35</v>
      </c>
      <c r="H2211" s="5">
        <v>2972.276100</v>
      </c>
    </row>
    <row r="2212" spans="1:9">
      <c r="A2212" s="22" t="str">
        <f>HYPERLINK("https://app.vivvix.com/360/KMI/IntelliDrive/ApplUI/Pages/CreativePages/CustomReportCreativeDetail.aspx?App=23&amp;ReportView=4&amp;Qid=1711245&amp;Row=2204&amp;Col=1","No Title Assigned - #15285178810")</f>
        <v/>
      </c>
      <c r="B2212" s="0" t="s">
        <v>3189</v>
      </c>
      <c r="C2212" s="0" t="s">
        <v>3190</v>
      </c>
      <c r="D2212" s="0" t="s">
        <v>3190</v>
      </c>
      <c r="E2212" s="0" t="s">
        <v>13</v>
      </c>
      <c r="F2212" s="0" t="s">
        <v>14</v>
      </c>
      <c r="G2212" s="0" t="s">
        <v>15</v>
      </c>
      <c r="H2212" s="5">
        <v>6585.585900</v>
      </c>
    </row>
    <row r="2213" spans="1:9">
      <c r="A2213" s="22" t="str">
        <f>HYPERLINK("https://app.vivvix.com/360/KMI/IntelliDrive/ApplUI/Pages/CreativePages/CustomReportCreativeDetail.aspx?App=23&amp;ReportView=4&amp;Qid=1711245&amp;Row=2205&amp;Col=1","No Title Assigned - #15285182007")</f>
        <v/>
      </c>
      <c r="B2213" s="0" t="s">
        <v>3191</v>
      </c>
      <c r="C2213" s="0" t="s">
        <v>3192</v>
      </c>
      <c r="D2213" s="0" t="s">
        <v>3192</v>
      </c>
      <c r="E2213" s="0" t="s">
        <v>13</v>
      </c>
      <c r="F2213" s="0" t="s">
        <v>14</v>
      </c>
      <c r="G2213" s="0" t="s">
        <v>15</v>
      </c>
      <c r="H2213" s="5">
        <v>0.456200</v>
      </c>
    </row>
    <row r="2214" spans="1:9">
      <c r="A2214" s="22" t="str">
        <f>HYPERLINK("https://app.vivvix.com/360/KMI/IntelliDrive/ApplUI/Pages/CreativePages/CustomReportCreativeDetail.aspx?App=23&amp;ReportView=4&amp;Qid=1711245&amp;Row=2206&amp;Col=1","No Title Assigned - #15285187919")</f>
        <v/>
      </c>
      <c r="B2214" s="0" t="s">
        <v>3193</v>
      </c>
      <c r="C2214" s="0" t="s">
        <v>3194</v>
      </c>
      <c r="D2214" s="0" t="s">
        <v>3194</v>
      </c>
      <c r="E2214" s="0" t="s">
        <v>13</v>
      </c>
      <c r="F2214" s="0" t="s">
        <v>14</v>
      </c>
      <c r="G2214" s="0" t="s">
        <v>15</v>
      </c>
      <c r="H2214" s="5">
        <v>3459.331100</v>
      </c>
    </row>
    <row r="2215" spans="1:9">
      <c r="A2215" s="22" t="str">
        <f>HYPERLINK("https://app.vivvix.com/360/KMI/IntelliDrive/ApplUI/Pages/CreativePages/CustomReportCreativeDetail.aspx?App=23&amp;ReportView=4&amp;Qid=1711245&amp;Row=2207&amp;Col=1","No Title Assigned - #15285193515")</f>
        <v/>
      </c>
      <c r="B2215" s="0" t="s">
        <v>3195</v>
      </c>
      <c r="C2215" s="0" t="s">
        <v>3196</v>
      </c>
      <c r="D2215" s="0" t="s">
        <v>3196</v>
      </c>
      <c r="E2215" s="0" t="s">
        <v>13</v>
      </c>
      <c r="F2215" s="0" t="s">
        <v>14</v>
      </c>
      <c r="G2215" s="0" t="s">
        <v>15</v>
      </c>
      <c r="H2215" s="5">
        <v>313.767100</v>
      </c>
    </row>
    <row r="2216" spans="1:9">
      <c r="A2216" s="22" t="str">
        <f>HYPERLINK("https://app.vivvix.com/360/KMI/IntelliDrive/ApplUI/Pages/CreativePages/CustomReportCreativeDetail.aspx?App=23&amp;ReportView=4&amp;Qid=1711245&amp;Row=2208&amp;Col=1","No Title Assigned - #15285194351")</f>
        <v/>
      </c>
      <c r="B2216" s="0" t="s">
        <v>3197</v>
      </c>
      <c r="C2216" s="0" t="s">
        <v>3198</v>
      </c>
      <c r="D2216" s="0" t="s">
        <v>3198</v>
      </c>
      <c r="E2216" s="0" t="s">
        <v>13</v>
      </c>
      <c r="F2216" s="0" t="s">
        <v>106</v>
      </c>
      <c r="G2216" s="0" t="s">
        <v>107</v>
      </c>
      <c r="H2216" s="5">
        <v>137.884500</v>
      </c>
    </row>
    <row r="2217" spans="1:9">
      <c r="A2217" s="22" t="str">
        <f>HYPERLINK("https://app.vivvix.com/360/KMI/IntelliDrive/ApplUI/Pages/CreativePages/CustomReportCreativeDetail.aspx?App=23&amp;ReportView=4&amp;Qid=1711245&amp;Row=2209&amp;Col=1","No Title Assigned - #15285230957")</f>
        <v/>
      </c>
      <c r="B2217" s="0" t="s">
        <v>3199</v>
      </c>
      <c r="C2217" s="0" t="s">
        <v>3200</v>
      </c>
      <c r="D2217" s="0" t="s">
        <v>3200</v>
      </c>
      <c r="E2217" s="0" t="s">
        <v>13</v>
      </c>
      <c r="F2217" s="0" t="s">
        <v>530</v>
      </c>
      <c r="G2217" s="0" t="s">
        <v>531</v>
      </c>
      <c r="H2217" s="5">
        <v>776.473900</v>
      </c>
    </row>
    <row r="2218" spans="1:9">
      <c r="A2218" s="22" t="str">
        <f>HYPERLINK("https://app.vivvix.com/360/KMI/IntelliDrive/ApplUI/Pages/CreativePages/CustomReportCreativeDetail.aspx?App=23&amp;ReportView=4&amp;Qid=1711245&amp;Row=2210&amp;Col=1","No Title Assigned - #15285239217")</f>
        <v/>
      </c>
      <c r="B2218" s="0" t="s">
        <v>3201</v>
      </c>
      <c r="C2218" s="0" t="s">
        <v>3202</v>
      </c>
      <c r="D2218" s="0" t="s">
        <v>3202</v>
      </c>
      <c r="E2218" s="0" t="s">
        <v>13</v>
      </c>
      <c r="F2218" s="0" t="s">
        <v>14</v>
      </c>
      <c r="G2218" s="0" t="s">
        <v>15</v>
      </c>
      <c r="H2218" s="5">
        <v>134.071200</v>
      </c>
    </row>
    <row r="2219" spans="1:9">
      <c r="A2219" s="22" t="str">
        <f>HYPERLINK("https://app.vivvix.com/360/KMI/IntelliDrive/ApplUI/Pages/CreativePages/CustomReportCreativeDetail.aspx?App=23&amp;ReportView=4&amp;Qid=1711245&amp;Row=2211&amp;Col=1","No Title Assigned - #15285245260")</f>
        <v/>
      </c>
      <c r="B2219" s="0" t="s">
        <v>3203</v>
      </c>
      <c r="E2219" s="0" t="s">
        <v>13</v>
      </c>
      <c r="F2219" s="0" t="s">
        <v>13</v>
      </c>
      <c r="G2219" s="0" t="s">
        <v>54</v>
      </c>
      <c r="H2219" s="5">
        <v>747.938600</v>
      </c>
    </row>
    <row r="2220" spans="1:9">
      <c r="A2220" s="22" t="str">
        <f>HYPERLINK("https://app.vivvix.com/360/KMI/IntelliDrive/ApplUI/Pages/CreativePages/CustomReportCreativeDetail.aspx?App=23&amp;ReportView=4&amp;Qid=1711245&amp;Row=2212&amp;Col=1","No Title Assigned - #15285248892")</f>
        <v/>
      </c>
      <c r="B2220" s="0" t="s">
        <v>3204</v>
      </c>
      <c r="E2220" s="0" t="s">
        <v>13</v>
      </c>
      <c r="F2220" s="0" t="s">
        <v>13</v>
      </c>
      <c r="G2220" s="0" t="s">
        <v>54</v>
      </c>
      <c r="H2220" s="5">
        <v>774.140000</v>
      </c>
    </row>
    <row r="2221" spans="1:9">
      <c r="A2221" s="22" t="str">
        <f>HYPERLINK("https://app.vivvix.com/360/KMI/IntelliDrive/ApplUI/Pages/CreativePages/CustomReportCreativeDetail.aspx?App=23&amp;ReportView=4&amp;Qid=1711245&amp;Row=2213&amp;Col=1","No Title Assigned - #15285259464")</f>
        <v/>
      </c>
      <c r="B2221" s="0" t="s">
        <v>3205</v>
      </c>
      <c r="C2221" s="0" t="s">
        <v>3206</v>
      </c>
      <c r="D2221" s="0" t="s">
        <v>3206</v>
      </c>
      <c r="E2221" s="0" t="s">
        <v>13</v>
      </c>
      <c r="F2221" s="0" t="s">
        <v>14</v>
      </c>
      <c r="G2221" s="0" t="s">
        <v>15</v>
      </c>
      <c r="H2221" s="5">
        <v>245.368000</v>
      </c>
    </row>
    <row r="2222" spans="1:9">
      <c r="A2222" s="22" t="str">
        <f>HYPERLINK("https://app.vivvix.com/360/KMI/IntelliDrive/ApplUI/Pages/CreativePages/CustomReportCreativeDetail.aspx?App=23&amp;ReportView=4&amp;Qid=1711245&amp;Row=2214&amp;Col=1","No Title Assigned - #15285272641")</f>
        <v/>
      </c>
      <c r="B2222" s="0" t="s">
        <v>3207</v>
      </c>
      <c r="C2222" s="0" t="s">
        <v>3208</v>
      </c>
      <c r="D2222" s="0" t="s">
        <v>3208</v>
      </c>
      <c r="E2222" s="0" t="s">
        <v>13</v>
      </c>
      <c r="F2222" s="0" t="s">
        <v>28</v>
      </c>
      <c r="G2222" s="0" t="s">
        <v>453</v>
      </c>
      <c r="H2222" s="5">
        <v>457.488600</v>
      </c>
    </row>
    <row r="2223" spans="1:9">
      <c r="A2223" s="22" t="str">
        <f>HYPERLINK("https://app.vivvix.com/360/KMI/IntelliDrive/ApplUI/Pages/CreativePages/CustomReportCreativeDetail.aspx?App=23&amp;ReportView=4&amp;Qid=1711245&amp;Row=2215&amp;Col=1","No Title Assigned - #15285272767")</f>
        <v/>
      </c>
      <c r="B2223" s="0" t="s">
        <v>3209</v>
      </c>
      <c r="C2223" s="0" t="s">
        <v>3210</v>
      </c>
      <c r="D2223" s="0" t="s">
        <v>3210</v>
      </c>
      <c r="E2223" s="0" t="s">
        <v>13</v>
      </c>
      <c r="F2223" s="0" t="s">
        <v>14</v>
      </c>
      <c r="G2223" s="0" t="s">
        <v>15</v>
      </c>
      <c r="H2223" s="5">
        <v>126.244300</v>
      </c>
    </row>
    <row r="2224" spans="1:9">
      <c r="A2224" s="22" t="str">
        <f>HYPERLINK("https://app.vivvix.com/360/KMI/IntelliDrive/ApplUI/Pages/CreativePages/CustomReportCreativeDetail.aspx?App=23&amp;ReportView=4&amp;Qid=1711245&amp;Row=2216&amp;Col=1","No Title Assigned - #15285276717")</f>
        <v/>
      </c>
      <c r="B2224" s="0" t="s">
        <v>3211</v>
      </c>
      <c r="C2224" s="0" t="s">
        <v>3212</v>
      </c>
      <c r="D2224" s="0" t="s">
        <v>3212</v>
      </c>
      <c r="E2224" s="0" t="s">
        <v>13</v>
      </c>
      <c r="F2224" s="0" t="s">
        <v>540</v>
      </c>
      <c r="G2224" s="0" t="s">
        <v>541</v>
      </c>
      <c r="H2224" s="5">
        <v>330.687600</v>
      </c>
    </row>
    <row r="2225" spans="1:9">
      <c r="A2225" s="22" t="str">
        <f>HYPERLINK("https://app.vivvix.com/360/KMI/IntelliDrive/ApplUI/Pages/CreativePages/CustomReportCreativeDetail.aspx?App=23&amp;ReportView=4&amp;Qid=1711245&amp;Row=2217&amp;Col=1","No Title Assigned - #15285279362")</f>
        <v/>
      </c>
      <c r="B2225" s="0" t="s">
        <v>3213</v>
      </c>
      <c r="C2225" s="0" t="s">
        <v>3214</v>
      </c>
      <c r="D2225" s="0" t="s">
        <v>3214</v>
      </c>
      <c r="E2225" s="0" t="s">
        <v>13</v>
      </c>
      <c r="F2225" s="0" t="s">
        <v>14</v>
      </c>
      <c r="G2225" s="0" t="s">
        <v>15</v>
      </c>
      <c r="H2225" s="5">
        <v>2671.496300</v>
      </c>
    </row>
    <row r="2226" spans="1:9">
      <c r="A2226" s="22" t="str">
        <f>HYPERLINK("https://app.vivvix.com/360/KMI/IntelliDrive/ApplUI/Pages/CreativePages/CustomReportCreativeDetail.aspx?App=23&amp;ReportView=4&amp;Qid=1711245&amp;Row=2218&amp;Col=1","No Title Assigned - #15285280510")</f>
        <v/>
      </c>
      <c r="B2226" s="0" t="s">
        <v>3215</v>
      </c>
      <c r="C2226" s="0" t="s">
        <v>3216</v>
      </c>
      <c r="D2226" s="0" t="s">
        <v>3216</v>
      </c>
      <c r="E2226" s="0" t="s">
        <v>13</v>
      </c>
      <c r="F2226" s="0" t="s">
        <v>14</v>
      </c>
      <c r="G2226" s="0" t="s">
        <v>15</v>
      </c>
      <c r="H2226" s="5">
        <v>1166.363800</v>
      </c>
    </row>
    <row r="2227" spans="1:9">
      <c r="A2227" s="22" t="str">
        <f>HYPERLINK("https://app.vivvix.com/360/KMI/IntelliDrive/ApplUI/Pages/CreativePages/CustomReportCreativeDetail.aspx?App=23&amp;ReportView=4&amp;Qid=1711245&amp;Row=2219&amp;Col=1","No Title Assigned - #15285281402")</f>
        <v/>
      </c>
      <c r="B2227" s="0" t="s">
        <v>3217</v>
      </c>
      <c r="C2227" s="0" t="s">
        <v>3218</v>
      </c>
      <c r="D2227" s="0" t="s">
        <v>3218</v>
      </c>
      <c r="E2227" s="0" t="s">
        <v>13</v>
      </c>
      <c r="F2227" s="0" t="s">
        <v>13</v>
      </c>
      <c r="G2227" s="0" t="s">
        <v>35</v>
      </c>
      <c r="H2227" s="5">
        <v>627.718200</v>
      </c>
    </row>
    <row r="2228" spans="1:9">
      <c r="A2228" s="22" t="str">
        <f>HYPERLINK("https://app.vivvix.com/360/KMI/IntelliDrive/ApplUI/Pages/CreativePages/CustomReportCreativeDetail.aspx?App=23&amp;ReportView=4&amp;Qid=1711245&amp;Row=2220&amp;Col=1","No Title Assigned - #15285281438")</f>
        <v/>
      </c>
      <c r="B2228" s="0" t="s">
        <v>3219</v>
      </c>
      <c r="C2228" s="0" t="s">
        <v>3220</v>
      </c>
      <c r="D2228" s="0" t="s">
        <v>3220</v>
      </c>
      <c r="E2228" s="0" t="s">
        <v>13</v>
      </c>
      <c r="F2228" s="0" t="s">
        <v>14</v>
      </c>
      <c r="G2228" s="0" t="s">
        <v>15</v>
      </c>
      <c r="H2228" s="5">
        <v>166.623400</v>
      </c>
    </row>
    <row r="2229" spans="1:9">
      <c r="A2229" s="22" t="str">
        <f>HYPERLINK("https://app.vivvix.com/360/KMI/IntelliDrive/ApplUI/Pages/CreativePages/CustomReportCreativeDetail.aspx?App=23&amp;ReportView=4&amp;Qid=1711245&amp;Row=2221&amp;Col=1","No Title Assigned - #15285287791")</f>
        <v/>
      </c>
      <c r="B2229" s="0" t="s">
        <v>3221</v>
      </c>
      <c r="C2229" s="0" t="s">
        <v>3222</v>
      </c>
      <c r="D2229" s="0" t="s">
        <v>3222</v>
      </c>
      <c r="E2229" s="0" t="s">
        <v>13</v>
      </c>
      <c r="F2229" s="0" t="s">
        <v>3175</v>
      </c>
      <c r="G2229" s="0" t="s">
        <v>3176</v>
      </c>
      <c r="H2229" s="5">
        <v>161.206500</v>
      </c>
    </row>
    <row r="2230" spans="1:9">
      <c r="A2230" s="22" t="str">
        <f>HYPERLINK("https://app.vivvix.com/360/KMI/IntelliDrive/ApplUI/Pages/CreativePages/CustomReportCreativeDetail.aspx?App=23&amp;ReportView=4&amp;Qid=1711245&amp;Row=2222&amp;Col=1","No Title Assigned - #15285291477")</f>
        <v/>
      </c>
      <c r="B2230" s="0" t="s">
        <v>3223</v>
      </c>
      <c r="C2230" s="0" t="s">
        <v>3224</v>
      </c>
      <c r="D2230" s="0" t="s">
        <v>3224</v>
      </c>
      <c r="E2230" s="0" t="s">
        <v>13</v>
      </c>
      <c r="F2230" s="0" t="s">
        <v>14</v>
      </c>
      <c r="G2230" s="0" t="s">
        <v>15</v>
      </c>
      <c r="H2230" s="5">
        <v>64.153800</v>
      </c>
    </row>
    <row r="2231" spans="1:9">
      <c r="A2231" s="22" t="str">
        <f>HYPERLINK("https://app.vivvix.com/360/KMI/IntelliDrive/ApplUI/Pages/CreativePages/CustomReportCreativeDetail.aspx?App=23&amp;ReportView=4&amp;Qid=1711245&amp;Row=2223&amp;Col=1","No Title Assigned - #15285299911")</f>
        <v/>
      </c>
      <c r="B2231" s="0" t="s">
        <v>3225</v>
      </c>
      <c r="C2231" s="0" t="s">
        <v>3226</v>
      </c>
      <c r="D2231" s="0" t="s">
        <v>3226</v>
      </c>
      <c r="E2231" s="0" t="s">
        <v>13</v>
      </c>
      <c r="F2231" s="0" t="s">
        <v>14</v>
      </c>
      <c r="G2231" s="0" t="s">
        <v>15</v>
      </c>
      <c r="H2231" s="5">
        <v>4.630700</v>
      </c>
    </row>
    <row r="2232" spans="1:9">
      <c r="A2232" s="22" t="str">
        <f>HYPERLINK("https://app.vivvix.com/360/KMI/IntelliDrive/ApplUI/Pages/CreativePages/CustomReportCreativeDetail.aspx?App=23&amp;ReportView=4&amp;Qid=1711245&amp;Row=2224&amp;Col=1","No Title Assigned - #15285301821")</f>
        <v/>
      </c>
      <c r="B2232" s="0" t="s">
        <v>3227</v>
      </c>
      <c r="C2232" s="0" t="s">
        <v>3228</v>
      </c>
      <c r="D2232" s="0" t="s">
        <v>3149</v>
      </c>
      <c r="E2232" s="0" t="s">
        <v>13</v>
      </c>
      <c r="F2232" s="0" t="s">
        <v>14</v>
      </c>
      <c r="G2232" s="0" t="s">
        <v>15</v>
      </c>
      <c r="H2232" s="5">
        <v>3458.126900</v>
      </c>
    </row>
    <row r="2233" spans="1:9">
      <c r="A2233" s="22" t="str">
        <f>HYPERLINK("https://app.vivvix.com/360/KMI/IntelliDrive/ApplUI/Pages/CreativePages/CustomReportCreativeDetail.aspx?App=23&amp;ReportView=4&amp;Qid=1711245&amp;Row=2225&amp;Col=1","No Title Assigned - #15285316424")</f>
        <v/>
      </c>
      <c r="B2233" s="0" t="s">
        <v>3229</v>
      </c>
      <c r="C2233" s="0" t="s">
        <v>3230</v>
      </c>
      <c r="D2233" s="0" t="s">
        <v>3230</v>
      </c>
      <c r="E2233" s="0" t="s">
        <v>13</v>
      </c>
      <c r="F2233" s="0" t="s">
        <v>14</v>
      </c>
      <c r="G2233" s="0" t="s">
        <v>15</v>
      </c>
      <c r="H2233" s="5">
        <v>44.690400</v>
      </c>
    </row>
    <row r="2234" spans="1:9">
      <c r="A2234" s="22" t="str">
        <f>HYPERLINK("https://app.vivvix.com/360/KMI/IntelliDrive/ApplUI/Pages/CreativePages/CustomReportCreativeDetail.aspx?App=23&amp;ReportView=4&amp;Qid=1711245&amp;Row=2226&amp;Col=1","No Title Assigned - #15285329613")</f>
        <v/>
      </c>
      <c r="B2234" s="0" t="s">
        <v>3231</v>
      </c>
      <c r="C2234" s="0" t="s">
        <v>3232</v>
      </c>
      <c r="D2234" s="0" t="s">
        <v>3232</v>
      </c>
      <c r="E2234" s="0" t="s">
        <v>13</v>
      </c>
      <c r="F2234" s="0" t="s">
        <v>13</v>
      </c>
      <c r="G2234" s="0" t="s">
        <v>35</v>
      </c>
      <c r="H2234" s="5">
        <v>559.556700</v>
      </c>
    </row>
    <row r="2235" spans="1:9">
      <c r="A2235" s="22" t="str">
        <f>HYPERLINK("https://app.vivvix.com/360/KMI/IntelliDrive/ApplUI/Pages/CreativePages/CustomReportCreativeDetail.aspx?App=23&amp;ReportView=4&amp;Qid=1711245&amp;Row=2227&amp;Col=1","No Title Assigned - #15285329643")</f>
        <v/>
      </c>
      <c r="B2235" s="0" t="s">
        <v>3233</v>
      </c>
      <c r="C2235" s="0" t="s">
        <v>3234</v>
      </c>
      <c r="D2235" s="0" t="s">
        <v>3234</v>
      </c>
      <c r="E2235" s="0" t="s">
        <v>13</v>
      </c>
      <c r="F2235" s="0" t="s">
        <v>330</v>
      </c>
      <c r="G2235" s="0" t="s">
        <v>331</v>
      </c>
      <c r="H2235" s="5">
        <v>559.556700</v>
      </c>
    </row>
    <row r="2236" spans="1:9">
      <c r="A2236" s="22" t="str">
        <f>HYPERLINK("https://app.vivvix.com/360/KMI/IntelliDrive/ApplUI/Pages/CreativePages/CustomReportCreativeDetail.aspx?App=23&amp;ReportView=4&amp;Qid=1711245&amp;Row=2228&amp;Col=1","No Title Assigned - #15285342839")</f>
        <v/>
      </c>
      <c r="B2236" s="0" t="s">
        <v>3235</v>
      </c>
      <c r="C2236" s="0" t="s">
        <v>3236</v>
      </c>
      <c r="D2236" s="0" t="s">
        <v>3236</v>
      </c>
      <c r="E2236" s="0" t="s">
        <v>13</v>
      </c>
      <c r="F2236" s="0" t="s">
        <v>14</v>
      </c>
      <c r="G2236" s="0" t="s">
        <v>15</v>
      </c>
      <c r="H2236" s="5">
        <v>1494.021100</v>
      </c>
    </row>
    <row r="2237" spans="1:9">
      <c r="A2237" s="22" t="str">
        <f>HYPERLINK("https://app.vivvix.com/360/KMI/IntelliDrive/ApplUI/Pages/CreativePages/CustomReportCreativeDetail.aspx?App=23&amp;ReportView=4&amp;Qid=1711245&amp;Row=2229&amp;Col=1","No Title Assigned - #15285343753")</f>
        <v/>
      </c>
      <c r="B2237" s="0" t="s">
        <v>3237</v>
      </c>
      <c r="C2237" s="0" t="s">
        <v>3238</v>
      </c>
      <c r="D2237" s="0" t="s">
        <v>3238</v>
      </c>
      <c r="E2237" s="0" t="s">
        <v>13</v>
      </c>
      <c r="F2237" s="0" t="s">
        <v>13</v>
      </c>
      <c r="G2237" s="0" t="s">
        <v>35</v>
      </c>
      <c r="H2237" s="5">
        <v>23338.605400</v>
      </c>
    </row>
    <row r="2238" spans="1:9">
      <c r="A2238" s="22" t="str">
        <f>HYPERLINK("https://app.vivvix.com/360/KMI/IntelliDrive/ApplUI/Pages/CreativePages/CustomReportCreativeDetail.aspx?App=23&amp;ReportView=4&amp;Qid=1711245&amp;Row=2230&amp;Col=1","No Title Assigned - #15285345958")</f>
        <v/>
      </c>
      <c r="B2238" s="0" t="s">
        <v>3239</v>
      </c>
      <c r="E2238" s="0" t="s">
        <v>13</v>
      </c>
      <c r="F2238" s="0" t="s">
        <v>13</v>
      </c>
      <c r="G2238" s="0" t="s">
        <v>54</v>
      </c>
      <c r="H2238" s="5">
        <v>12497.334000</v>
      </c>
    </row>
    <row r="2239" spans="1:9">
      <c r="A2239" s="22" t="str">
        <f>HYPERLINK("https://app.vivvix.com/360/KMI/IntelliDrive/ApplUI/Pages/CreativePages/CustomReportCreativeDetail.aspx?App=23&amp;ReportView=4&amp;Qid=1711245&amp;Row=2231&amp;Col=1","No Title Assigned - #15285349580")</f>
        <v/>
      </c>
      <c r="B2239" s="0" t="s">
        <v>3240</v>
      </c>
      <c r="C2239" s="0" t="s">
        <v>3241</v>
      </c>
      <c r="D2239" s="0" t="s">
        <v>3241</v>
      </c>
      <c r="E2239" s="0" t="s">
        <v>13</v>
      </c>
      <c r="F2239" s="0" t="s">
        <v>13</v>
      </c>
      <c r="G2239" s="0" t="s">
        <v>54</v>
      </c>
      <c r="H2239" s="5">
        <v>59.789300</v>
      </c>
    </row>
    <row r="2240" spans="1:9">
      <c r="A2240" s="22" t="str">
        <f>HYPERLINK("https://app.vivvix.com/360/KMI/IntelliDrive/ApplUI/Pages/CreativePages/CustomReportCreativeDetail.aspx?App=23&amp;ReportView=4&amp;Qid=1711245&amp;Row=2232&amp;Col=1","No Title Assigned - #15285377200")</f>
        <v/>
      </c>
      <c r="B2240" s="0" t="s">
        <v>3242</v>
      </c>
      <c r="C2240" s="0" t="s">
        <v>3243</v>
      </c>
      <c r="D2240" s="0" t="s">
        <v>3243</v>
      </c>
      <c r="E2240" s="0" t="s">
        <v>13</v>
      </c>
      <c r="F2240" s="0" t="s">
        <v>14</v>
      </c>
      <c r="G2240" s="0" t="s">
        <v>103</v>
      </c>
      <c r="H2240" s="5">
        <v>1280.637600</v>
      </c>
    </row>
    <row r="2241" spans="1:9">
      <c r="A2241" s="22" t="str">
        <f>HYPERLINK("https://app.vivvix.com/360/KMI/IntelliDrive/ApplUI/Pages/CreativePages/CustomReportCreativeDetail.aspx?App=23&amp;ReportView=4&amp;Qid=1711245&amp;Row=2233&amp;Col=1","No Title Assigned - #15285377415")</f>
        <v/>
      </c>
      <c r="B2241" s="0" t="s">
        <v>3244</v>
      </c>
      <c r="C2241" s="0" t="s">
        <v>3245</v>
      </c>
      <c r="D2241" s="0" t="s">
        <v>3245</v>
      </c>
      <c r="E2241" s="0" t="s">
        <v>13</v>
      </c>
      <c r="F2241" s="0" t="s">
        <v>14</v>
      </c>
      <c r="G2241" s="0" t="s">
        <v>15</v>
      </c>
      <c r="H2241" s="5">
        <v>191.158000</v>
      </c>
    </row>
    <row r="2242" spans="1:9">
      <c r="A2242" s="22" t="str">
        <f>HYPERLINK("https://app.vivvix.com/360/KMI/IntelliDrive/ApplUI/Pages/CreativePages/CustomReportCreativeDetail.aspx?App=23&amp;ReportView=4&amp;Qid=1711245&amp;Row=2234&amp;Col=1","No Title Assigned - #15285378201")</f>
        <v/>
      </c>
      <c r="B2242" s="0" t="s">
        <v>3246</v>
      </c>
      <c r="C2242" s="0" t="s">
        <v>3247</v>
      </c>
      <c r="D2242" s="0" t="s">
        <v>3247</v>
      </c>
      <c r="E2242" s="0" t="s">
        <v>13</v>
      </c>
      <c r="F2242" s="0" t="s">
        <v>14</v>
      </c>
      <c r="G2242" s="0" t="s">
        <v>15</v>
      </c>
      <c r="H2242" s="5">
        <v>64.153800</v>
      </c>
    </row>
    <row r="2243" spans="1:9">
      <c r="A2243" s="22" t="str">
        <f>HYPERLINK("https://app.vivvix.com/360/KMI/IntelliDrive/ApplUI/Pages/CreativePages/CustomReportCreativeDetail.aspx?App=23&amp;ReportView=4&amp;Qid=1711245&amp;Row=2235&amp;Col=1","No Title Assigned - #15285379829")</f>
        <v/>
      </c>
      <c r="B2243" s="0" t="s">
        <v>3248</v>
      </c>
      <c r="C2243" s="0" t="s">
        <v>3249</v>
      </c>
      <c r="D2243" s="0" t="s">
        <v>3249</v>
      </c>
      <c r="E2243" s="0" t="s">
        <v>13</v>
      </c>
      <c r="F2243" s="0" t="s">
        <v>14</v>
      </c>
      <c r="G2243" s="0" t="s">
        <v>15</v>
      </c>
      <c r="H2243" s="5">
        <v>85.243600</v>
      </c>
    </row>
    <row r="2244" spans="1:9">
      <c r="A2244" s="22" t="str">
        <f>HYPERLINK("https://app.vivvix.com/360/KMI/IntelliDrive/ApplUI/Pages/CreativePages/CustomReportCreativeDetail.aspx?App=23&amp;ReportView=4&amp;Qid=1711245&amp;Row=2236&amp;Col=1","No Title Assigned - #15285380785")</f>
        <v/>
      </c>
      <c r="B2244" s="0" t="s">
        <v>3250</v>
      </c>
      <c r="C2244" s="0" t="s">
        <v>3251</v>
      </c>
      <c r="D2244" s="0" t="s">
        <v>3251</v>
      </c>
      <c r="E2244" s="0" t="s">
        <v>13</v>
      </c>
      <c r="F2244" s="0" t="s">
        <v>14</v>
      </c>
      <c r="G2244" s="0" t="s">
        <v>15</v>
      </c>
      <c r="H2244" s="5">
        <v>0.382100</v>
      </c>
    </row>
    <row r="2245" spans="1:9">
      <c r="A2245" s="22" t="str">
        <f>HYPERLINK("https://app.vivvix.com/360/KMI/IntelliDrive/ApplUI/Pages/CreativePages/CustomReportCreativeDetail.aspx?App=23&amp;ReportView=4&amp;Qid=1711245&amp;Row=2237&amp;Col=1","No Title Assigned - #15285384444")</f>
        <v/>
      </c>
      <c r="B2245" s="0" t="s">
        <v>3252</v>
      </c>
      <c r="C2245" s="0" t="s">
        <v>3253</v>
      </c>
      <c r="D2245" s="0" t="s">
        <v>3253</v>
      </c>
      <c r="E2245" s="0" t="s">
        <v>13</v>
      </c>
      <c r="F2245" s="0" t="s">
        <v>14</v>
      </c>
      <c r="G2245" s="0" t="s">
        <v>15</v>
      </c>
      <c r="H2245" s="5">
        <v>76.463200</v>
      </c>
    </row>
    <row r="2246" spans="1:9">
      <c r="A2246" s="22" t="str">
        <f>HYPERLINK("https://app.vivvix.com/360/KMI/IntelliDrive/ApplUI/Pages/CreativePages/CustomReportCreativeDetail.aspx?App=23&amp;ReportView=4&amp;Qid=1711245&amp;Row=2238&amp;Col=1","No Title Assigned - #15285384445")</f>
        <v/>
      </c>
      <c r="B2246" s="0" t="s">
        <v>3254</v>
      </c>
      <c r="C2246" s="0" t="s">
        <v>3255</v>
      </c>
      <c r="D2246" s="0" t="s">
        <v>3255</v>
      </c>
      <c r="E2246" s="0" t="s">
        <v>13</v>
      </c>
      <c r="F2246" s="0" t="s">
        <v>14</v>
      </c>
      <c r="G2246" s="0" t="s">
        <v>15</v>
      </c>
      <c r="H2246" s="5">
        <v>114.694800</v>
      </c>
    </row>
    <row r="2247" spans="1:9">
      <c r="A2247" s="22" t="str">
        <f>HYPERLINK("https://app.vivvix.com/360/KMI/IntelliDrive/ApplUI/Pages/CreativePages/CustomReportCreativeDetail.aspx?App=23&amp;ReportView=4&amp;Qid=1711245&amp;Row=2239&amp;Col=1","No Title Assigned - #15285384514")</f>
        <v/>
      </c>
      <c r="B2247" s="0" t="s">
        <v>3256</v>
      </c>
      <c r="C2247" s="0" t="s">
        <v>3257</v>
      </c>
      <c r="D2247" s="0" t="s">
        <v>3257</v>
      </c>
      <c r="E2247" s="0" t="s">
        <v>13</v>
      </c>
      <c r="F2247" s="0" t="s">
        <v>14</v>
      </c>
      <c r="G2247" s="0" t="s">
        <v>15</v>
      </c>
      <c r="H2247" s="5">
        <v>76.463200</v>
      </c>
    </row>
    <row r="2248" spans="1:9">
      <c r="A2248" s="22" t="str">
        <f>HYPERLINK("https://app.vivvix.com/360/KMI/IntelliDrive/ApplUI/Pages/CreativePages/CustomReportCreativeDetail.aspx?App=23&amp;ReportView=4&amp;Qid=1711245&amp;Row=2240&amp;Col=1","No Title Assigned - #15285387400")</f>
        <v/>
      </c>
      <c r="B2248" s="0" t="s">
        <v>3258</v>
      </c>
      <c r="C2248" s="0" t="s">
        <v>3259</v>
      </c>
      <c r="D2248" s="0" t="s">
        <v>3259</v>
      </c>
      <c r="E2248" s="0" t="s">
        <v>13</v>
      </c>
      <c r="F2248" s="0" t="s">
        <v>14</v>
      </c>
      <c r="G2248" s="0" t="s">
        <v>15</v>
      </c>
      <c r="H2248" s="5">
        <v>119.085000</v>
      </c>
    </row>
    <row r="2249" spans="1:9">
      <c r="A2249" s="22" t="str">
        <f>HYPERLINK("https://app.vivvix.com/360/KMI/IntelliDrive/ApplUI/Pages/CreativePages/CustomReportCreativeDetail.aspx?App=23&amp;ReportView=4&amp;Qid=1711245&amp;Row=2241&amp;Col=1","No Title Assigned - #15285397339")</f>
        <v/>
      </c>
      <c r="B2249" s="0" t="s">
        <v>3260</v>
      </c>
      <c r="C2249" s="0" t="s">
        <v>3261</v>
      </c>
      <c r="D2249" s="0" t="s">
        <v>3261</v>
      </c>
      <c r="E2249" s="0" t="s">
        <v>13</v>
      </c>
      <c r="F2249" s="0" t="s">
        <v>14</v>
      </c>
      <c r="G2249" s="0" t="s">
        <v>15</v>
      </c>
      <c r="H2249" s="5">
        <v>572.465700</v>
      </c>
    </row>
    <row r="2250" spans="1:9">
      <c r="A2250" s="22" t="str">
        <f>HYPERLINK("https://app.vivvix.com/360/KMI/IntelliDrive/ApplUI/Pages/CreativePages/CustomReportCreativeDetail.aspx?App=23&amp;ReportView=4&amp;Qid=1711245&amp;Row=2242&amp;Col=1","No Title Assigned - #15285420455")</f>
        <v/>
      </c>
      <c r="B2250" s="0" t="s">
        <v>3262</v>
      </c>
      <c r="C2250" s="0" t="s">
        <v>3263</v>
      </c>
      <c r="D2250" s="0" t="s">
        <v>3263</v>
      </c>
      <c r="E2250" s="0" t="s">
        <v>13</v>
      </c>
      <c r="F2250" s="0" t="s">
        <v>13</v>
      </c>
      <c r="G2250" s="0" t="s">
        <v>35</v>
      </c>
      <c r="H2250" s="5">
        <v>4889.551800</v>
      </c>
    </row>
    <row r="2251" spans="1:9">
      <c r="A2251" s="22" t="str">
        <f>HYPERLINK("https://app.vivvix.com/360/KMI/IntelliDrive/ApplUI/Pages/CreativePages/CustomReportCreativeDetail.aspx?App=23&amp;ReportView=4&amp;Qid=1711245&amp;Row=2243&amp;Col=1","No Title Assigned - #15285421483")</f>
        <v/>
      </c>
      <c r="B2251" s="0" t="s">
        <v>3264</v>
      </c>
      <c r="C2251" s="0" t="s">
        <v>3265</v>
      </c>
      <c r="D2251" s="0" t="s">
        <v>3265</v>
      </c>
      <c r="E2251" s="0" t="s">
        <v>13</v>
      </c>
      <c r="F2251" s="0" t="s">
        <v>530</v>
      </c>
      <c r="G2251" s="0" t="s">
        <v>531</v>
      </c>
      <c r="H2251" s="5">
        <v>249.530600</v>
      </c>
    </row>
    <row r="2252" spans="1:9">
      <c r="A2252" s="22" t="str">
        <f>HYPERLINK("https://app.vivvix.com/360/KMI/IntelliDrive/ApplUI/Pages/CreativePages/CustomReportCreativeDetail.aspx?App=23&amp;ReportView=4&amp;Qid=1711245&amp;Row=2244&amp;Col=1","No Title Assigned - #15285428064")</f>
        <v/>
      </c>
      <c r="B2252" s="0" t="s">
        <v>3266</v>
      </c>
      <c r="C2252" s="0" t="s">
        <v>3267</v>
      </c>
      <c r="D2252" s="0" t="s">
        <v>3267</v>
      </c>
      <c r="E2252" s="0" t="s">
        <v>13</v>
      </c>
      <c r="F2252" s="0" t="s">
        <v>14</v>
      </c>
      <c r="G2252" s="0" t="s">
        <v>15</v>
      </c>
      <c r="H2252" s="5">
        <v>1404.488600</v>
      </c>
    </row>
    <row r="2253" spans="1:9">
      <c r="A2253" s="22" t="str">
        <f>HYPERLINK("https://app.vivvix.com/360/KMI/IntelliDrive/ApplUI/Pages/CreativePages/CustomReportCreativeDetail.aspx?App=23&amp;ReportView=4&amp;Qid=1711245&amp;Row=2245&amp;Col=1","No Title Assigned - #15285429223")</f>
        <v/>
      </c>
      <c r="B2253" s="0" t="s">
        <v>3268</v>
      </c>
      <c r="C2253" s="0" t="s">
        <v>3269</v>
      </c>
      <c r="D2253" s="0" t="s">
        <v>3269</v>
      </c>
      <c r="E2253" s="0" t="s">
        <v>13</v>
      </c>
      <c r="F2253" s="0" t="s">
        <v>14</v>
      </c>
      <c r="G2253" s="0" t="s">
        <v>15</v>
      </c>
      <c r="H2253" s="5">
        <v>191.158000</v>
      </c>
    </row>
    <row r="2254" spans="1:9">
      <c r="A2254" s="22" t="str">
        <f>HYPERLINK("https://app.vivvix.com/360/KMI/IntelliDrive/ApplUI/Pages/CreativePages/CustomReportCreativeDetail.aspx?App=23&amp;ReportView=4&amp;Qid=1711245&amp;Row=2246&amp;Col=1","No Title Assigned - #15285429225")</f>
        <v/>
      </c>
      <c r="B2254" s="0" t="s">
        <v>3270</v>
      </c>
      <c r="C2254" s="0" t="s">
        <v>3271</v>
      </c>
      <c r="D2254" s="0" t="s">
        <v>3271</v>
      </c>
      <c r="E2254" s="0" t="s">
        <v>13</v>
      </c>
      <c r="F2254" s="0" t="s">
        <v>14</v>
      </c>
      <c r="G2254" s="0" t="s">
        <v>15</v>
      </c>
      <c r="H2254" s="5">
        <v>38.231600</v>
      </c>
    </row>
    <row r="2255" spans="1:9">
      <c r="A2255" s="22" t="str">
        <f>HYPERLINK("https://app.vivvix.com/360/KMI/IntelliDrive/ApplUI/Pages/CreativePages/CustomReportCreativeDetail.aspx?App=23&amp;ReportView=4&amp;Qid=1711245&amp;Row=2247&amp;Col=1","No Title Assigned - #15285430510")</f>
        <v/>
      </c>
      <c r="B2255" s="0" t="s">
        <v>3272</v>
      </c>
      <c r="E2255" s="0" t="s">
        <v>13</v>
      </c>
      <c r="F2255" s="0" t="s">
        <v>13</v>
      </c>
      <c r="G2255" s="0" t="s">
        <v>54</v>
      </c>
      <c r="H2255" s="5">
        <v>471.342000</v>
      </c>
    </row>
    <row r="2256" spans="1:9">
      <c r="A2256" s="22" t="str">
        <f>HYPERLINK("https://app.vivvix.com/360/KMI/IntelliDrive/ApplUI/Pages/CreativePages/CustomReportCreativeDetail.aspx?App=23&amp;ReportView=4&amp;Qid=1711245&amp;Row=2248&amp;Col=1","No Title Assigned - #15285433255")</f>
        <v/>
      </c>
      <c r="B2256" s="0" t="s">
        <v>3273</v>
      </c>
      <c r="C2256" s="0" t="s">
        <v>3274</v>
      </c>
      <c r="D2256" s="0" t="s">
        <v>3274</v>
      </c>
      <c r="E2256" s="0" t="s">
        <v>13</v>
      </c>
      <c r="F2256" s="0" t="s">
        <v>14</v>
      </c>
      <c r="G2256" s="0" t="s">
        <v>15</v>
      </c>
      <c r="H2256" s="5">
        <v>0.456200</v>
      </c>
    </row>
    <row r="2257" spans="1:9">
      <c r="A2257" s="22" t="str">
        <f>HYPERLINK("https://app.vivvix.com/360/KMI/IntelliDrive/ApplUI/Pages/CreativePages/CustomReportCreativeDetail.aspx?App=23&amp;ReportView=4&amp;Qid=1711245&amp;Row=2249&amp;Col=1","No Title Assigned - #15285435664")</f>
        <v/>
      </c>
      <c r="B2257" s="0" t="s">
        <v>3275</v>
      </c>
      <c r="C2257" s="0" t="s">
        <v>3276</v>
      </c>
      <c r="D2257" s="0" t="s">
        <v>3276</v>
      </c>
      <c r="E2257" s="0" t="s">
        <v>13</v>
      </c>
      <c r="F2257" s="0" t="s">
        <v>14</v>
      </c>
      <c r="G2257" s="0" t="s">
        <v>15</v>
      </c>
      <c r="H2257" s="5">
        <v>128.307600</v>
      </c>
    </row>
    <row r="2258" spans="1:9">
      <c r="A2258" s="22" t="str">
        <f>HYPERLINK("https://app.vivvix.com/360/KMI/IntelliDrive/ApplUI/Pages/CreativePages/CustomReportCreativeDetail.aspx?App=23&amp;ReportView=4&amp;Qid=1711245&amp;Row=2250&amp;Col=1","No Title Assigned - #15285435665")</f>
        <v/>
      </c>
      <c r="B2258" s="0" t="s">
        <v>3277</v>
      </c>
      <c r="C2258" s="0" t="s">
        <v>3278</v>
      </c>
      <c r="D2258" s="0" t="s">
        <v>3278</v>
      </c>
      <c r="E2258" s="0" t="s">
        <v>13</v>
      </c>
      <c r="F2258" s="0" t="s">
        <v>14</v>
      </c>
      <c r="G2258" s="0" t="s">
        <v>15</v>
      </c>
      <c r="H2258" s="5">
        <v>64.153800</v>
      </c>
    </row>
    <row r="2259" spans="1:9">
      <c r="A2259" s="22" t="str">
        <f>HYPERLINK("https://app.vivvix.com/360/KMI/IntelliDrive/ApplUI/Pages/CreativePages/CustomReportCreativeDetail.aspx?App=23&amp;ReportView=4&amp;Qid=1711245&amp;Row=2251&amp;Col=1","No Title Assigned - #15285437456")</f>
        <v/>
      </c>
      <c r="B2259" s="0" t="s">
        <v>3279</v>
      </c>
      <c r="C2259" s="0" t="s">
        <v>3280</v>
      </c>
      <c r="D2259" s="0" t="s">
        <v>3280</v>
      </c>
      <c r="E2259" s="0" t="s">
        <v>13</v>
      </c>
      <c r="F2259" s="0" t="s">
        <v>14</v>
      </c>
      <c r="G2259" s="0" t="s">
        <v>15</v>
      </c>
      <c r="H2259" s="5">
        <v>3529.883000</v>
      </c>
    </row>
    <row r="2260" spans="1:9">
      <c r="A2260" s="22" t="str">
        <f>HYPERLINK("https://app.vivvix.com/360/KMI/IntelliDrive/ApplUI/Pages/CreativePages/CustomReportCreativeDetail.aspx?App=23&amp;ReportView=4&amp;Qid=1711245&amp;Row=2252&amp;Col=1","No Title Assigned - #15285460621")</f>
        <v/>
      </c>
      <c r="B2260" s="0" t="s">
        <v>3281</v>
      </c>
      <c r="C2260" s="0" t="s">
        <v>3282</v>
      </c>
      <c r="D2260" s="0" t="s">
        <v>3282</v>
      </c>
      <c r="E2260" s="0" t="s">
        <v>13</v>
      </c>
      <c r="F2260" s="0" t="s">
        <v>14</v>
      </c>
      <c r="G2260" s="0" t="s">
        <v>15</v>
      </c>
      <c r="H2260" s="5">
        <v>2671.496300</v>
      </c>
    </row>
    <row r="2261" spans="1:9">
      <c r="A2261" s="22" t="str">
        <f>HYPERLINK("https://app.vivvix.com/360/KMI/IntelliDrive/ApplUI/Pages/CreativePages/CustomReportCreativeDetail.aspx?App=23&amp;ReportView=4&amp;Qid=1711245&amp;Row=2253&amp;Col=1","No Title Assigned - #15285464546")</f>
        <v/>
      </c>
      <c r="B2261" s="0" t="s">
        <v>3283</v>
      </c>
      <c r="C2261" s="0" t="s">
        <v>3284</v>
      </c>
      <c r="D2261" s="0" t="s">
        <v>3284</v>
      </c>
      <c r="E2261" s="0" t="s">
        <v>13</v>
      </c>
      <c r="F2261" s="0" t="s">
        <v>14</v>
      </c>
      <c r="G2261" s="0" t="s">
        <v>15</v>
      </c>
      <c r="H2261" s="5">
        <v>61.342000</v>
      </c>
    </row>
    <row r="2262" spans="1:9">
      <c r="A2262" s="22" t="str">
        <f>HYPERLINK("https://app.vivvix.com/360/KMI/IntelliDrive/ApplUI/Pages/CreativePages/CustomReportCreativeDetail.aspx?App=23&amp;ReportView=4&amp;Qid=1711245&amp;Row=2254&amp;Col=1","No Title Assigned - #15285470671")</f>
        <v/>
      </c>
      <c r="B2262" s="0" t="s">
        <v>3285</v>
      </c>
      <c r="C2262" s="0" t="s">
        <v>3286</v>
      </c>
      <c r="D2262" s="0" t="s">
        <v>3286</v>
      </c>
      <c r="E2262" s="0" t="s">
        <v>13</v>
      </c>
      <c r="F2262" s="0" t="s">
        <v>13</v>
      </c>
      <c r="G2262" s="0" t="s">
        <v>35</v>
      </c>
      <c r="H2262" s="5">
        <v>294.369200</v>
      </c>
    </row>
    <row r="2263" spans="1:9">
      <c r="A2263" s="22" t="str">
        <f>HYPERLINK("https://app.vivvix.com/360/KMI/IntelliDrive/ApplUI/Pages/CreativePages/CustomReportCreativeDetail.aspx?App=23&amp;ReportView=4&amp;Qid=1711245&amp;Row=2255&amp;Col=1","No Title Assigned - #15285514462")</f>
        <v/>
      </c>
      <c r="B2263" s="0" t="s">
        <v>3287</v>
      </c>
      <c r="C2263" s="0" t="s">
        <v>3288</v>
      </c>
      <c r="D2263" s="0" t="s">
        <v>3288</v>
      </c>
      <c r="E2263" s="0" t="s">
        <v>13</v>
      </c>
      <c r="F2263" s="0" t="s">
        <v>14</v>
      </c>
      <c r="G2263" s="0" t="s">
        <v>15</v>
      </c>
      <c r="H2263" s="5">
        <v>771.137900</v>
      </c>
    </row>
    <row r="2264" spans="1:9">
      <c r="A2264" s="22" t="str">
        <f>HYPERLINK("https://app.vivvix.com/360/KMI/IntelliDrive/ApplUI/Pages/CreativePages/CustomReportCreativeDetail.aspx?App=23&amp;ReportView=4&amp;Qid=1711245&amp;Row=2256&amp;Col=1","No Title Assigned - #15285518036")</f>
        <v/>
      </c>
      <c r="B2264" s="0" t="s">
        <v>3289</v>
      </c>
      <c r="C2264" s="0" t="s">
        <v>3290</v>
      </c>
      <c r="D2264" s="0" t="s">
        <v>3290</v>
      </c>
      <c r="E2264" s="0" t="s">
        <v>13</v>
      </c>
      <c r="F2264" s="0" t="s">
        <v>128</v>
      </c>
      <c r="G2264" s="0" t="s">
        <v>456</v>
      </c>
      <c r="H2264" s="5">
        <v>2873.025400</v>
      </c>
    </row>
    <row r="2265" spans="1:9">
      <c r="A2265" s="22" t="str">
        <f>HYPERLINK("https://app.vivvix.com/360/KMI/IntelliDrive/ApplUI/Pages/CreativePages/CustomReportCreativeDetail.aspx?App=23&amp;ReportView=4&amp;Qid=1711245&amp;Row=2257&amp;Col=1","No Title Assigned - #15285519836")</f>
        <v/>
      </c>
      <c r="B2265" s="0" t="s">
        <v>3291</v>
      </c>
      <c r="C2265" s="0" t="s">
        <v>3292</v>
      </c>
      <c r="D2265" s="0" t="s">
        <v>3292</v>
      </c>
      <c r="E2265" s="0" t="s">
        <v>13</v>
      </c>
      <c r="F2265" s="0" t="s">
        <v>13</v>
      </c>
      <c r="G2265" s="0" t="s">
        <v>35</v>
      </c>
      <c r="H2265" s="5">
        <v>11669.302700</v>
      </c>
    </row>
    <row r="2266" spans="1:9">
      <c r="A2266" s="22" t="str">
        <f>HYPERLINK("https://app.vivvix.com/360/KMI/IntelliDrive/ApplUI/Pages/CreativePages/CustomReportCreativeDetail.aspx?App=23&amp;ReportView=4&amp;Qid=1711245&amp;Row=2258&amp;Col=1","No Title Assigned - #15285524904")</f>
        <v/>
      </c>
      <c r="B2266" s="0" t="s">
        <v>3293</v>
      </c>
      <c r="C2266" s="0" t="s">
        <v>3294</v>
      </c>
      <c r="D2266" s="0" t="s">
        <v>3294</v>
      </c>
      <c r="E2266" s="0" t="s">
        <v>13</v>
      </c>
      <c r="F2266" s="0" t="s">
        <v>14</v>
      </c>
      <c r="G2266" s="0" t="s">
        <v>15</v>
      </c>
      <c r="H2266" s="5">
        <v>76.463200</v>
      </c>
    </row>
    <row r="2267" spans="1:9">
      <c r="A2267" s="22" t="str">
        <f>HYPERLINK("https://app.vivvix.com/360/KMI/IntelliDrive/ApplUI/Pages/CreativePages/CustomReportCreativeDetail.aspx?App=23&amp;ReportView=4&amp;Qid=1711245&amp;Row=2259&amp;Col=1","No Title Assigned - #15285529203")</f>
        <v/>
      </c>
      <c r="B2267" s="0" t="s">
        <v>3295</v>
      </c>
      <c r="C2267" s="0" t="s">
        <v>3296</v>
      </c>
      <c r="D2267" s="0" t="s">
        <v>3296</v>
      </c>
      <c r="E2267" s="0" t="s">
        <v>13</v>
      </c>
      <c r="F2267" s="0" t="s">
        <v>14</v>
      </c>
      <c r="G2267" s="0" t="s">
        <v>15</v>
      </c>
      <c r="H2267" s="5">
        <v>42.621800</v>
      </c>
    </row>
    <row r="2268" spans="1:9">
      <c r="A2268" s="22" t="str">
        <f>HYPERLINK("https://app.vivvix.com/360/KMI/IntelliDrive/ApplUI/Pages/CreativePages/CustomReportCreativeDetail.aspx?App=23&amp;ReportView=4&amp;Qid=1711245&amp;Row=2260&amp;Col=1","No Title Assigned - #15285555159")</f>
        <v/>
      </c>
      <c r="B2268" s="0" t="s">
        <v>3297</v>
      </c>
      <c r="C2268" s="0" t="s">
        <v>3298</v>
      </c>
      <c r="D2268" s="0" t="s">
        <v>3298</v>
      </c>
      <c r="E2268" s="0" t="s">
        <v>13</v>
      </c>
      <c r="F2268" s="0" t="s">
        <v>128</v>
      </c>
      <c r="G2268" s="0" t="s">
        <v>456</v>
      </c>
      <c r="H2268" s="5">
        <v>912.604500</v>
      </c>
    </row>
    <row r="2269" spans="1:9">
      <c r="A2269" s="22" t="str">
        <f>HYPERLINK("https://app.vivvix.com/360/KMI/IntelliDrive/ApplUI/Pages/CreativePages/CustomReportCreativeDetail.aspx?App=23&amp;ReportView=4&amp;Qid=1711245&amp;Row=2261&amp;Col=1","No Title Assigned - #15285561915")</f>
        <v/>
      </c>
      <c r="B2269" s="0" t="s">
        <v>3299</v>
      </c>
      <c r="C2269" s="0" t="s">
        <v>3300</v>
      </c>
      <c r="D2269" s="0" t="s">
        <v>3301</v>
      </c>
      <c r="E2269" s="0" t="s">
        <v>13</v>
      </c>
      <c r="F2269" s="0" t="s">
        <v>14</v>
      </c>
      <c r="G2269" s="0" t="s">
        <v>62</v>
      </c>
      <c r="H2269" s="5">
        <v>28781.912500</v>
      </c>
    </row>
    <row r="2270" spans="1:9">
      <c r="A2270" s="22" t="str">
        <f>HYPERLINK("https://app.vivvix.com/360/KMI/IntelliDrive/ApplUI/Pages/CreativePages/CustomReportCreativeDetail.aspx?App=23&amp;ReportView=4&amp;Qid=1711245&amp;Row=2262&amp;Col=1","No Title Assigned - #15285564736")</f>
        <v/>
      </c>
      <c r="B2270" s="0" t="s">
        <v>3302</v>
      </c>
      <c r="C2270" s="0" t="s">
        <v>3303</v>
      </c>
      <c r="D2270" s="0" t="s">
        <v>3303</v>
      </c>
      <c r="E2270" s="0" t="s">
        <v>13</v>
      </c>
      <c r="F2270" s="0" t="s">
        <v>13</v>
      </c>
      <c r="G2270" s="0" t="s">
        <v>122</v>
      </c>
      <c r="H2270" s="5">
        <v>44475.444900</v>
      </c>
    </row>
    <row r="2271" spans="1:9">
      <c r="A2271" s="22" t="str">
        <f>HYPERLINK("https://app.vivvix.com/360/KMI/IntelliDrive/ApplUI/Pages/CreativePages/CustomReportCreativeDetail.aspx?App=23&amp;ReportView=4&amp;Qid=1711245&amp;Row=2263&amp;Col=1","No Title Assigned - #15285575931")</f>
        <v/>
      </c>
      <c r="B2271" s="0" t="s">
        <v>3304</v>
      </c>
      <c r="C2271" s="0" t="s">
        <v>3301</v>
      </c>
      <c r="D2271" s="0" t="s">
        <v>3301</v>
      </c>
      <c r="E2271" s="0" t="s">
        <v>13</v>
      </c>
      <c r="F2271" s="0" t="s">
        <v>14</v>
      </c>
      <c r="G2271" s="0" t="s">
        <v>62</v>
      </c>
      <c r="H2271" s="5">
        <v>25116.987900</v>
      </c>
    </row>
    <row r="2272" spans="1:9">
      <c r="A2272" s="22" t="str">
        <f>HYPERLINK("https://app.vivvix.com/360/KMI/IntelliDrive/ApplUI/Pages/CreativePages/CustomReportCreativeDetail.aspx?App=23&amp;ReportView=4&amp;Qid=1711245&amp;Row=2264&amp;Col=1","No Title Assigned - #15285602182")</f>
        <v/>
      </c>
      <c r="B2272" s="0" t="s">
        <v>3305</v>
      </c>
      <c r="C2272" s="0" t="s">
        <v>3306</v>
      </c>
      <c r="D2272" s="0" t="s">
        <v>3306</v>
      </c>
      <c r="E2272" s="0" t="s">
        <v>13</v>
      </c>
      <c r="F2272" s="0" t="s">
        <v>540</v>
      </c>
      <c r="G2272" s="0" t="s">
        <v>541</v>
      </c>
      <c r="H2272" s="5">
        <v>609.639500</v>
      </c>
    </row>
    <row r="2273" spans="1:9">
      <c r="A2273" s="22" t="str">
        <f>HYPERLINK("https://app.vivvix.com/360/KMI/IntelliDrive/ApplUI/Pages/CreativePages/CustomReportCreativeDetail.aspx?App=23&amp;ReportView=4&amp;Qid=1711245&amp;Row=2265&amp;Col=1","No Title Assigned - #15285607215")</f>
        <v/>
      </c>
      <c r="B2273" s="0" t="s">
        <v>3307</v>
      </c>
      <c r="E2273" s="0" t="s">
        <v>13</v>
      </c>
      <c r="F2273" s="0" t="s">
        <v>3308</v>
      </c>
      <c r="G2273" s="0" t="s">
        <v>3309</v>
      </c>
      <c r="H2273" s="5">
        <v>22.889100</v>
      </c>
    </row>
    <row r="2274" spans="1:9">
      <c r="A2274" s="22" t="str">
        <f>HYPERLINK("https://app.vivvix.com/360/KMI/IntelliDrive/ApplUI/Pages/CreativePages/CustomReportCreativeDetail.aspx?App=23&amp;ReportView=4&amp;Qid=1711245&amp;Row=2266&amp;Col=1","No Title Assigned - #15285607522")</f>
        <v/>
      </c>
      <c r="B2274" s="0" t="s">
        <v>3310</v>
      </c>
      <c r="E2274" s="0" t="s">
        <v>13</v>
      </c>
      <c r="F2274" s="0" t="s">
        <v>13</v>
      </c>
      <c r="G2274" s="0" t="s">
        <v>54</v>
      </c>
      <c r="H2274" s="5">
        <v>418.575000</v>
      </c>
    </row>
    <row r="2275" spans="1:9">
      <c r="A2275" s="22" t="str">
        <f>HYPERLINK("https://app.vivvix.com/360/KMI/IntelliDrive/ApplUI/Pages/CreativePages/CustomReportCreativeDetail.aspx?App=23&amp;ReportView=4&amp;Qid=1711245&amp;Row=2267&amp;Col=1","No Title Assigned - #15285659705")</f>
        <v/>
      </c>
      <c r="B2275" s="0" t="s">
        <v>3311</v>
      </c>
      <c r="C2275" s="0" t="s">
        <v>3312</v>
      </c>
      <c r="D2275" s="0" t="s">
        <v>3312</v>
      </c>
      <c r="E2275" s="0" t="s">
        <v>13</v>
      </c>
      <c r="F2275" s="0" t="s">
        <v>14</v>
      </c>
      <c r="G2275" s="0" t="s">
        <v>15</v>
      </c>
      <c r="H2275" s="5">
        <v>0.456200</v>
      </c>
    </row>
    <row r="2276" spans="1:9">
      <c r="A2276" s="22" t="str">
        <f>HYPERLINK("https://app.vivvix.com/360/KMI/IntelliDrive/ApplUI/Pages/CreativePages/CustomReportCreativeDetail.aspx?App=23&amp;ReportView=4&amp;Qid=1711245&amp;Row=2268&amp;Col=1","No Title Assigned - #15285660999")</f>
        <v/>
      </c>
      <c r="B2276" s="0" t="s">
        <v>3313</v>
      </c>
      <c r="C2276" s="0" t="s">
        <v>3314</v>
      </c>
      <c r="D2276" s="0" t="s">
        <v>3314</v>
      </c>
      <c r="E2276" s="0" t="s">
        <v>13</v>
      </c>
      <c r="F2276" s="0" t="s">
        <v>530</v>
      </c>
      <c r="G2276" s="0" t="s">
        <v>531</v>
      </c>
      <c r="H2276" s="5">
        <v>249.530600</v>
      </c>
    </row>
    <row r="2277" spans="1:9">
      <c r="A2277" s="22" t="str">
        <f>HYPERLINK("https://app.vivvix.com/360/KMI/IntelliDrive/ApplUI/Pages/CreativePages/CustomReportCreativeDetail.aspx?App=23&amp;ReportView=4&amp;Qid=1711245&amp;Row=2269&amp;Col=1","No Title Assigned - #15285661993")</f>
        <v/>
      </c>
      <c r="B2277" s="0" t="s">
        <v>3315</v>
      </c>
      <c r="C2277" s="0" t="s">
        <v>3316</v>
      </c>
      <c r="D2277" s="0" t="s">
        <v>3316</v>
      </c>
      <c r="E2277" s="0" t="s">
        <v>13</v>
      </c>
      <c r="F2277" s="0" t="s">
        <v>540</v>
      </c>
      <c r="G2277" s="0" t="s">
        <v>541</v>
      </c>
      <c r="H2277" s="5">
        <v>371.344200</v>
      </c>
    </row>
    <row r="2278" spans="1:9">
      <c r="A2278" s="22" t="str">
        <f>HYPERLINK("https://app.vivvix.com/360/KMI/IntelliDrive/ApplUI/Pages/CreativePages/CustomReportCreativeDetail.aspx?App=23&amp;ReportView=4&amp;Qid=1711245&amp;Row=2270&amp;Col=1","No Title Assigned - #15285662226")</f>
        <v/>
      </c>
      <c r="B2278" s="0" t="s">
        <v>3317</v>
      </c>
      <c r="C2278" s="0" t="s">
        <v>3318</v>
      </c>
      <c r="D2278" s="0" t="s">
        <v>3318</v>
      </c>
      <c r="E2278" s="0" t="s">
        <v>13</v>
      </c>
      <c r="F2278" s="0" t="s">
        <v>28</v>
      </c>
      <c r="G2278" s="0" t="s">
        <v>453</v>
      </c>
      <c r="H2278" s="5">
        <v>11946.956700</v>
      </c>
    </row>
    <row r="2279" spans="1:9">
      <c r="A2279" s="22" t="str">
        <f>HYPERLINK("https://app.vivvix.com/360/KMI/IntelliDrive/ApplUI/Pages/CreativePages/CustomReportCreativeDetail.aspx?App=23&amp;ReportView=4&amp;Qid=1711245&amp;Row=2271&amp;Col=1","No Title Assigned - #15285664744")</f>
        <v/>
      </c>
      <c r="B2279" s="0" t="s">
        <v>3319</v>
      </c>
      <c r="C2279" s="0" t="s">
        <v>3320</v>
      </c>
      <c r="D2279" s="0" t="s">
        <v>3320</v>
      </c>
      <c r="E2279" s="0" t="s">
        <v>13</v>
      </c>
      <c r="F2279" s="0" t="s">
        <v>128</v>
      </c>
      <c r="G2279" s="0" t="s">
        <v>456</v>
      </c>
      <c r="H2279" s="5">
        <v>157.366900</v>
      </c>
    </row>
    <row r="2280" spans="1:9">
      <c r="A2280" s="22" t="str">
        <f>HYPERLINK("https://app.vivvix.com/360/KMI/IntelliDrive/ApplUI/Pages/CreativePages/CustomReportCreativeDetail.aspx?App=23&amp;ReportView=4&amp;Qid=1711245&amp;Row=2272&amp;Col=1","No Title Assigned - #15285673281")</f>
        <v/>
      </c>
      <c r="B2280" s="0" t="s">
        <v>3321</v>
      </c>
      <c r="C2280" s="0" t="s">
        <v>3322</v>
      </c>
      <c r="D2280" s="0" t="s">
        <v>3322</v>
      </c>
      <c r="E2280" s="0" t="s">
        <v>13</v>
      </c>
      <c r="F2280" s="0" t="s">
        <v>14</v>
      </c>
      <c r="G2280" s="0" t="s">
        <v>15</v>
      </c>
      <c r="H2280" s="5">
        <v>1451.916500</v>
      </c>
    </row>
    <row r="2281" spans="1:9">
      <c r="A2281" s="22" t="str">
        <f>HYPERLINK("https://app.vivvix.com/360/KMI/IntelliDrive/ApplUI/Pages/CreativePages/CustomReportCreativeDetail.aspx?App=23&amp;ReportView=4&amp;Qid=1711245&amp;Row=2273&amp;Col=1","No Title Assigned - #15285689543")</f>
        <v/>
      </c>
      <c r="B2281" s="0" t="s">
        <v>3323</v>
      </c>
      <c r="C2281" s="0" t="s">
        <v>3324</v>
      </c>
      <c r="D2281" s="0" t="s">
        <v>3324</v>
      </c>
      <c r="E2281" s="0" t="s">
        <v>13</v>
      </c>
      <c r="F2281" s="0" t="s">
        <v>530</v>
      </c>
      <c r="G2281" s="0" t="s">
        <v>531</v>
      </c>
      <c r="H2281" s="5">
        <v>330.687600</v>
      </c>
    </row>
    <row r="2282" spans="1:9">
      <c r="A2282" s="22" t="str">
        <f>HYPERLINK("https://app.vivvix.com/360/KMI/IntelliDrive/ApplUI/Pages/CreativePages/CustomReportCreativeDetail.aspx?App=23&amp;ReportView=4&amp;Qid=1711245&amp;Row=2274&amp;Col=1","No Title Assigned - #15285689906")</f>
        <v/>
      </c>
      <c r="B2282" s="0" t="s">
        <v>3325</v>
      </c>
      <c r="C2282" s="0" t="s">
        <v>3326</v>
      </c>
      <c r="D2282" s="0" t="s">
        <v>3326</v>
      </c>
      <c r="E2282" s="0" t="s">
        <v>13</v>
      </c>
      <c r="F2282" s="0" t="s">
        <v>14</v>
      </c>
      <c r="G2282" s="0" t="s">
        <v>15</v>
      </c>
      <c r="H2282" s="5">
        <v>76.463200</v>
      </c>
    </row>
    <row r="2283" spans="1:9">
      <c r="A2283" s="22" t="str">
        <f>HYPERLINK("https://app.vivvix.com/360/KMI/IntelliDrive/ApplUI/Pages/CreativePages/CustomReportCreativeDetail.aspx?App=23&amp;ReportView=4&amp;Qid=1711245&amp;Row=2275&amp;Col=1","No Title Assigned - #15285691291")</f>
        <v/>
      </c>
      <c r="B2283" s="0" t="s">
        <v>3327</v>
      </c>
      <c r="C2283" s="0" t="s">
        <v>3328</v>
      </c>
      <c r="D2283" s="0" t="s">
        <v>3328</v>
      </c>
      <c r="E2283" s="0" t="s">
        <v>13</v>
      </c>
      <c r="F2283" s="0" t="s">
        <v>13</v>
      </c>
      <c r="G2283" s="0" t="s">
        <v>35</v>
      </c>
      <c r="H2283" s="5">
        <v>1061.000900</v>
      </c>
    </row>
    <row r="2284" spans="1:9">
      <c r="A2284" s="22" t="str">
        <f>HYPERLINK("https://app.vivvix.com/360/KMI/IntelliDrive/ApplUI/Pages/CreativePages/CustomReportCreativeDetail.aspx?App=23&amp;ReportView=4&amp;Qid=1711245&amp;Row=2276&amp;Col=1","No Title Assigned - #15285692126")</f>
        <v/>
      </c>
      <c r="B2284" s="0" t="s">
        <v>3329</v>
      </c>
      <c r="C2284" s="0" t="s">
        <v>3330</v>
      </c>
      <c r="D2284" s="0" t="s">
        <v>3330</v>
      </c>
      <c r="E2284" s="0" t="s">
        <v>13</v>
      </c>
      <c r="F2284" s="0" t="s">
        <v>106</v>
      </c>
      <c r="G2284" s="0" t="s">
        <v>107</v>
      </c>
      <c r="H2284" s="5">
        <v>7945.939700</v>
      </c>
    </row>
    <row r="2285" spans="1:9">
      <c r="A2285" s="22" t="str">
        <f>HYPERLINK("https://app.vivvix.com/360/KMI/IntelliDrive/ApplUI/Pages/CreativePages/CustomReportCreativeDetail.aspx?App=23&amp;ReportView=4&amp;Qid=1711245&amp;Row=2277&amp;Col=1","No Title Assigned - #15285693027")</f>
        <v/>
      </c>
      <c r="B2285" s="0" t="s">
        <v>3331</v>
      </c>
      <c r="C2285" s="0" t="s">
        <v>3332</v>
      </c>
      <c r="D2285" s="0" t="s">
        <v>3332</v>
      </c>
      <c r="E2285" s="0" t="s">
        <v>13</v>
      </c>
      <c r="F2285" s="0" t="s">
        <v>128</v>
      </c>
      <c r="G2285" s="0" t="s">
        <v>456</v>
      </c>
      <c r="H2285" s="5">
        <v>7281.952300</v>
      </c>
    </row>
    <row r="2286" spans="1:9">
      <c r="A2286" s="22" t="str">
        <f>HYPERLINK("https://app.vivvix.com/360/KMI/IntelliDrive/ApplUI/Pages/CreativePages/CustomReportCreativeDetail.aspx?App=23&amp;ReportView=4&amp;Qid=1711245&amp;Row=2278&amp;Col=1","No Title Assigned - #15285696363")</f>
        <v/>
      </c>
      <c r="B2286" s="0" t="s">
        <v>3333</v>
      </c>
      <c r="C2286" s="0" t="s">
        <v>3334</v>
      </c>
      <c r="D2286" s="0" t="s">
        <v>3334</v>
      </c>
      <c r="E2286" s="0" t="s">
        <v>13</v>
      </c>
      <c r="F2286" s="0" t="s">
        <v>14</v>
      </c>
      <c r="G2286" s="0" t="s">
        <v>15</v>
      </c>
      <c r="H2286" s="5">
        <v>3696.553900</v>
      </c>
    </row>
    <row r="2287" spans="1:9">
      <c r="A2287" s="22" t="str">
        <f>HYPERLINK("https://app.vivvix.com/360/KMI/IntelliDrive/ApplUI/Pages/CreativePages/CustomReportCreativeDetail.aspx?App=23&amp;ReportView=4&amp;Qid=1711245&amp;Row=2279&amp;Col=1","No Title Assigned - #15285696545")</f>
        <v/>
      </c>
      <c r="B2287" s="0" t="s">
        <v>3335</v>
      </c>
      <c r="C2287" s="0" t="s">
        <v>3336</v>
      </c>
      <c r="D2287" s="0" t="s">
        <v>2845</v>
      </c>
      <c r="E2287" s="0" t="s">
        <v>13</v>
      </c>
      <c r="F2287" s="0" t="s">
        <v>540</v>
      </c>
      <c r="G2287" s="0" t="s">
        <v>541</v>
      </c>
      <c r="H2287" s="5">
        <v>3545.240200</v>
      </c>
    </row>
    <row r="2288" spans="1:9">
      <c r="A2288" s="22" t="str">
        <f>HYPERLINK("https://app.vivvix.com/360/KMI/IntelliDrive/ApplUI/Pages/CreativePages/CustomReportCreativeDetail.aspx?App=23&amp;ReportView=4&amp;Qid=1711245&amp;Row=2280&amp;Col=1","No Title Assigned - #15285697167")</f>
        <v/>
      </c>
      <c r="B2288" s="0" t="s">
        <v>3337</v>
      </c>
      <c r="C2288" s="0" t="s">
        <v>3338</v>
      </c>
      <c r="D2288" s="0" t="s">
        <v>3338</v>
      </c>
      <c r="E2288" s="0" t="s">
        <v>13</v>
      </c>
      <c r="F2288" s="0" t="s">
        <v>14</v>
      </c>
      <c r="G2288" s="0" t="s">
        <v>15</v>
      </c>
      <c r="H2288" s="5">
        <v>543.509900</v>
      </c>
    </row>
    <row r="2289" spans="1:9">
      <c r="A2289" s="22" t="str">
        <f>HYPERLINK("https://app.vivvix.com/360/KMI/IntelliDrive/ApplUI/Pages/CreativePages/CustomReportCreativeDetail.aspx?App=23&amp;ReportView=4&amp;Qid=1711245&amp;Row=2281&amp;Col=1","No Title Assigned - #15285700360")</f>
        <v/>
      </c>
      <c r="B2289" s="0" t="s">
        <v>3339</v>
      </c>
      <c r="C2289" s="0" t="s">
        <v>3340</v>
      </c>
      <c r="D2289" s="0" t="s">
        <v>3340</v>
      </c>
      <c r="E2289" s="0" t="s">
        <v>13</v>
      </c>
      <c r="F2289" s="0" t="s">
        <v>14</v>
      </c>
      <c r="G2289" s="0" t="s">
        <v>15</v>
      </c>
      <c r="H2289" s="5">
        <v>408.399800</v>
      </c>
    </row>
    <row r="2290" spans="1:9">
      <c r="A2290" s="22" t="str">
        <f>HYPERLINK("https://app.vivvix.com/360/KMI/IntelliDrive/ApplUI/Pages/CreativePages/CustomReportCreativeDetail.aspx?App=23&amp;ReportView=4&amp;Qid=1711245&amp;Row=2282&amp;Col=1","No Title Assigned - #15285703677")</f>
        <v/>
      </c>
      <c r="B2290" s="0" t="s">
        <v>3341</v>
      </c>
      <c r="C2290" s="0" t="s">
        <v>3342</v>
      </c>
      <c r="D2290" s="0" t="s">
        <v>3342</v>
      </c>
      <c r="E2290" s="0" t="s">
        <v>13</v>
      </c>
      <c r="F2290" s="0" t="s">
        <v>28</v>
      </c>
      <c r="G2290" s="0" t="s">
        <v>453</v>
      </c>
      <c r="H2290" s="5">
        <v>4380.696700</v>
      </c>
    </row>
    <row r="2291" spans="1:9">
      <c r="A2291" s="22" t="str">
        <f>HYPERLINK("https://app.vivvix.com/360/KMI/IntelliDrive/ApplUI/Pages/CreativePages/CustomReportCreativeDetail.aspx?App=23&amp;ReportView=4&amp;Qid=1711245&amp;Row=2283&amp;Col=1","No Title Assigned - #15285703776")</f>
        <v/>
      </c>
      <c r="B2291" s="0" t="s">
        <v>3343</v>
      </c>
      <c r="C2291" s="0" t="s">
        <v>3344</v>
      </c>
      <c r="D2291" s="0" t="s">
        <v>3344</v>
      </c>
      <c r="E2291" s="0" t="s">
        <v>13</v>
      </c>
      <c r="F2291" s="0" t="s">
        <v>540</v>
      </c>
      <c r="G2291" s="0" t="s">
        <v>541</v>
      </c>
      <c r="H2291" s="5">
        <v>6711.689400</v>
      </c>
    </row>
    <row r="2292" spans="1:9">
      <c r="A2292" s="22" t="str">
        <f>HYPERLINK("https://app.vivvix.com/360/KMI/IntelliDrive/ApplUI/Pages/CreativePages/CustomReportCreativeDetail.aspx?App=23&amp;ReportView=4&amp;Qid=1711245&amp;Row=2284&amp;Col=1","No Title Assigned - #15285703852")</f>
        <v/>
      </c>
      <c r="B2292" s="0" t="s">
        <v>3345</v>
      </c>
      <c r="C2292" s="0" t="s">
        <v>3346</v>
      </c>
      <c r="D2292" s="0" t="s">
        <v>3346</v>
      </c>
      <c r="E2292" s="0" t="s">
        <v>13</v>
      </c>
      <c r="F2292" s="0" t="s">
        <v>128</v>
      </c>
      <c r="G2292" s="0" t="s">
        <v>456</v>
      </c>
      <c r="H2292" s="5">
        <v>6633.025800</v>
      </c>
    </row>
    <row r="2293" spans="1:9">
      <c r="A2293" s="22" t="str">
        <f>HYPERLINK("https://app.vivvix.com/360/KMI/IntelliDrive/ApplUI/Pages/CreativePages/CustomReportCreativeDetail.aspx?App=23&amp;ReportView=4&amp;Qid=1711245&amp;Row=2285&amp;Col=1","No Title Assigned - #15285705157")</f>
        <v/>
      </c>
      <c r="B2293" s="0" t="s">
        <v>3347</v>
      </c>
      <c r="C2293" s="0" t="s">
        <v>3348</v>
      </c>
      <c r="D2293" s="0" t="s">
        <v>3348</v>
      </c>
      <c r="E2293" s="0" t="s">
        <v>13</v>
      </c>
      <c r="F2293" s="0" t="s">
        <v>14</v>
      </c>
      <c r="G2293" s="0" t="s">
        <v>62</v>
      </c>
      <c r="H2293" s="5">
        <v>1050.590300</v>
      </c>
    </row>
    <row r="2294" spans="1:9">
      <c r="A2294" s="22" t="str">
        <f>HYPERLINK("https://app.vivvix.com/360/KMI/IntelliDrive/ApplUI/Pages/CreativePages/CustomReportCreativeDetail.aspx?App=23&amp;ReportView=4&amp;Qid=1711245&amp;Row=2286&amp;Col=1","No Title Assigned - #15285707614")</f>
        <v/>
      </c>
      <c r="B2294" s="0" t="s">
        <v>3349</v>
      </c>
      <c r="C2294" s="0" t="s">
        <v>3350</v>
      </c>
      <c r="D2294" s="0" t="s">
        <v>3350</v>
      </c>
      <c r="E2294" s="0" t="s">
        <v>13</v>
      </c>
      <c r="F2294" s="0" t="s">
        <v>14</v>
      </c>
      <c r="G2294" s="0" t="s">
        <v>15</v>
      </c>
      <c r="H2294" s="5">
        <v>52.645500</v>
      </c>
    </row>
    <row r="2295" spans="1:9">
      <c r="A2295" s="22" t="str">
        <f>HYPERLINK("https://app.vivvix.com/360/KMI/IntelliDrive/ApplUI/Pages/CreativePages/CustomReportCreativeDetail.aspx?App=23&amp;ReportView=4&amp;Qid=1711245&amp;Row=2287&amp;Col=1","No Title Assigned - #15285713691")</f>
        <v/>
      </c>
      <c r="B2295" s="0" t="s">
        <v>3351</v>
      </c>
      <c r="C2295" s="0" t="s">
        <v>3352</v>
      </c>
      <c r="D2295" s="0" t="s">
        <v>3352</v>
      </c>
      <c r="E2295" s="0" t="s">
        <v>13</v>
      </c>
      <c r="F2295" s="0" t="s">
        <v>13</v>
      </c>
      <c r="G2295" s="0" t="s">
        <v>35</v>
      </c>
      <c r="H2295" s="5">
        <v>1347.757900</v>
      </c>
    </row>
    <row r="2296" spans="1:9">
      <c r="A2296" s="22" t="str">
        <f>HYPERLINK("https://app.vivvix.com/360/KMI/IntelliDrive/ApplUI/Pages/CreativePages/CustomReportCreativeDetail.aspx?App=23&amp;ReportView=4&amp;Qid=1711245&amp;Row=2288&amp;Col=1","No Title Assigned - #15285726976")</f>
        <v/>
      </c>
      <c r="B2296" s="0" t="s">
        <v>3353</v>
      </c>
      <c r="C2296" s="0" t="s">
        <v>3354</v>
      </c>
      <c r="D2296" s="0" t="s">
        <v>3354</v>
      </c>
      <c r="E2296" s="0" t="s">
        <v>13</v>
      </c>
      <c r="F2296" s="0" t="s">
        <v>14</v>
      </c>
      <c r="G2296" s="0" t="s">
        <v>15</v>
      </c>
      <c r="H2296" s="5">
        <v>851.706900</v>
      </c>
    </row>
    <row r="2297" spans="1:9">
      <c r="A2297" s="22" t="str">
        <f>HYPERLINK("https://app.vivvix.com/360/KMI/IntelliDrive/ApplUI/Pages/CreativePages/CustomReportCreativeDetail.aspx?App=23&amp;ReportView=4&amp;Qid=1711245&amp;Row=2289&amp;Col=1","No Title Assigned - #15285728216")</f>
        <v/>
      </c>
      <c r="B2297" s="0" t="s">
        <v>3355</v>
      </c>
      <c r="C2297" s="0" t="s">
        <v>3356</v>
      </c>
      <c r="D2297" s="0" t="s">
        <v>3356</v>
      </c>
      <c r="E2297" s="0" t="s">
        <v>13</v>
      </c>
      <c r="F2297" s="0" t="s">
        <v>530</v>
      </c>
      <c r="G2297" s="0" t="s">
        <v>531</v>
      </c>
      <c r="H2297" s="5">
        <v>306.431100</v>
      </c>
    </row>
    <row r="2298" spans="1:9">
      <c r="A2298" s="22" t="str">
        <f>HYPERLINK("https://app.vivvix.com/360/KMI/IntelliDrive/ApplUI/Pages/CreativePages/CustomReportCreativeDetail.aspx?App=23&amp;ReportView=4&amp;Qid=1711245&amp;Row=2290&amp;Col=1","No Title Assigned - #15285730068")</f>
        <v/>
      </c>
      <c r="B2298" s="0" t="s">
        <v>3357</v>
      </c>
      <c r="C2298" s="0" t="s">
        <v>3358</v>
      </c>
      <c r="D2298" s="0" t="s">
        <v>3358</v>
      </c>
      <c r="E2298" s="0" t="s">
        <v>13</v>
      </c>
      <c r="F2298" s="0" t="s">
        <v>530</v>
      </c>
      <c r="G2298" s="0" t="s">
        <v>531</v>
      </c>
      <c r="H2298" s="5">
        <v>3026.486500</v>
      </c>
    </row>
    <row r="2299" spans="1:9">
      <c r="A2299" s="22" t="str">
        <f>HYPERLINK("https://app.vivvix.com/360/KMI/IntelliDrive/ApplUI/Pages/CreativePages/CustomReportCreativeDetail.aspx?App=23&amp;ReportView=4&amp;Qid=1711245&amp;Row=2291&amp;Col=1","No Title Assigned - #15285730185")</f>
        <v/>
      </c>
      <c r="B2299" s="0" t="s">
        <v>3359</v>
      </c>
      <c r="C2299" s="0" t="s">
        <v>3360</v>
      </c>
      <c r="D2299" s="0" t="s">
        <v>3360</v>
      </c>
      <c r="E2299" s="0" t="s">
        <v>13</v>
      </c>
      <c r="F2299" s="0" t="s">
        <v>540</v>
      </c>
      <c r="G2299" s="0" t="s">
        <v>541</v>
      </c>
      <c r="H2299" s="5">
        <v>16856.707700</v>
      </c>
    </row>
    <row r="2300" spans="1:9">
      <c r="A2300" s="22" t="str">
        <f>HYPERLINK("https://app.vivvix.com/360/KMI/IntelliDrive/ApplUI/Pages/CreativePages/CustomReportCreativeDetail.aspx?App=23&amp;ReportView=4&amp;Qid=1711245&amp;Row=2292&amp;Col=1","No Title Assigned - #15285737701")</f>
        <v/>
      </c>
      <c r="B2300" s="0" t="s">
        <v>3361</v>
      </c>
      <c r="C2300" s="0" t="s">
        <v>3362</v>
      </c>
      <c r="D2300" s="0" t="s">
        <v>3362</v>
      </c>
      <c r="E2300" s="0" t="s">
        <v>13</v>
      </c>
      <c r="F2300" s="0" t="s">
        <v>28</v>
      </c>
      <c r="G2300" s="0" t="s">
        <v>453</v>
      </c>
      <c r="H2300" s="5">
        <v>5746.050800</v>
      </c>
    </row>
    <row r="2301" spans="1:9">
      <c r="A2301" s="22" t="str">
        <f>HYPERLINK("https://app.vivvix.com/360/KMI/IntelliDrive/ApplUI/Pages/CreativePages/CustomReportCreativeDetail.aspx?App=23&amp;ReportView=4&amp;Qid=1711245&amp;Row=2293&amp;Col=1","No Title Assigned - #15285737791")</f>
        <v/>
      </c>
      <c r="B2301" s="0" t="s">
        <v>3363</v>
      </c>
      <c r="C2301" s="0" t="s">
        <v>3364</v>
      </c>
      <c r="D2301" s="0" t="s">
        <v>3364</v>
      </c>
      <c r="E2301" s="0" t="s">
        <v>13</v>
      </c>
      <c r="F2301" s="0" t="s">
        <v>14</v>
      </c>
      <c r="G2301" s="0" t="s">
        <v>15</v>
      </c>
      <c r="H2301" s="5">
        <v>3783.402500</v>
      </c>
    </row>
    <row r="2302" spans="1:9">
      <c r="A2302" s="22" t="str">
        <f>HYPERLINK("https://app.vivvix.com/360/KMI/IntelliDrive/ApplUI/Pages/CreativePages/CustomReportCreativeDetail.aspx?App=23&amp;ReportView=4&amp;Qid=1711245&amp;Row=2294&amp;Col=1","No Title Assigned - #15285740188")</f>
        <v/>
      </c>
      <c r="B2302" s="0" t="s">
        <v>3365</v>
      </c>
      <c r="C2302" s="0" t="s">
        <v>3366</v>
      </c>
      <c r="D2302" s="0" t="s">
        <v>3366</v>
      </c>
      <c r="E2302" s="0" t="s">
        <v>13</v>
      </c>
      <c r="F2302" s="0" t="s">
        <v>3367</v>
      </c>
      <c r="G2302" s="0" t="s">
        <v>3368</v>
      </c>
      <c r="H2302" s="5">
        <v>995.734900</v>
      </c>
    </row>
    <row r="2303" spans="1:9">
      <c r="A2303" s="22" t="str">
        <f>HYPERLINK("https://app.vivvix.com/360/KMI/IntelliDrive/ApplUI/Pages/CreativePages/CustomReportCreativeDetail.aspx?App=23&amp;ReportView=4&amp;Qid=1711245&amp;Row=2295&amp;Col=1","No Title Assigned - #15285759485")</f>
        <v/>
      </c>
      <c r="B2303" s="0" t="s">
        <v>3369</v>
      </c>
      <c r="C2303" s="0" t="s">
        <v>3370</v>
      </c>
      <c r="D2303" s="0" t="s">
        <v>3370</v>
      </c>
      <c r="E2303" s="0" t="s">
        <v>13</v>
      </c>
      <c r="F2303" s="0" t="s">
        <v>14</v>
      </c>
      <c r="G2303" s="0" t="s">
        <v>15</v>
      </c>
      <c r="H2303" s="5">
        <v>5871.693500</v>
      </c>
    </row>
    <row r="2304" spans="1:9">
      <c r="A2304" s="22" t="str">
        <f>HYPERLINK("https://app.vivvix.com/360/KMI/IntelliDrive/ApplUI/Pages/CreativePages/CustomReportCreativeDetail.aspx?App=23&amp;ReportView=4&amp;Qid=1711245&amp;Row=2296&amp;Col=1","No Title Assigned - #15285759852")</f>
        <v/>
      </c>
      <c r="B2304" s="0" t="s">
        <v>3371</v>
      </c>
      <c r="C2304" s="0" t="s">
        <v>3372</v>
      </c>
      <c r="D2304" s="0" t="s">
        <v>3372</v>
      </c>
      <c r="E2304" s="0" t="s">
        <v>13</v>
      </c>
      <c r="F2304" s="0" t="s">
        <v>540</v>
      </c>
      <c r="G2304" s="0" t="s">
        <v>541</v>
      </c>
      <c r="H2304" s="5">
        <v>10358.922900</v>
      </c>
    </row>
    <row r="2305" spans="1:9">
      <c r="A2305" s="22" t="str">
        <f>HYPERLINK("https://app.vivvix.com/360/KMI/IntelliDrive/ApplUI/Pages/CreativePages/CustomReportCreativeDetail.aspx?App=23&amp;ReportView=4&amp;Qid=1711245&amp;Row=2297&amp;Col=1","No Title Assigned - #15285765877")</f>
        <v/>
      </c>
      <c r="B2305" s="0" t="s">
        <v>3373</v>
      </c>
      <c r="E2305" s="0" t="s">
        <v>13</v>
      </c>
      <c r="F2305" s="0" t="s">
        <v>13</v>
      </c>
      <c r="G2305" s="0" t="s">
        <v>54</v>
      </c>
      <c r="H2305" s="5">
        <v>2559.371100</v>
      </c>
    </row>
    <row r="2306" spans="1:9">
      <c r="A2306" s="22" t="str">
        <f>HYPERLINK("https://app.vivvix.com/360/KMI/IntelliDrive/ApplUI/Pages/CreativePages/CustomReportCreativeDetail.aspx?App=23&amp;ReportView=4&amp;Qid=1711245&amp;Row=2298&amp;Col=1","No Title Assigned - #15285768402")</f>
        <v/>
      </c>
      <c r="B2306" s="0" t="s">
        <v>3374</v>
      </c>
      <c r="C2306" s="0" t="s">
        <v>3375</v>
      </c>
      <c r="D2306" s="0" t="s">
        <v>3375</v>
      </c>
      <c r="E2306" s="0" t="s">
        <v>13</v>
      </c>
      <c r="F2306" s="0" t="s">
        <v>28</v>
      </c>
      <c r="G2306" s="0" t="s">
        <v>453</v>
      </c>
      <c r="H2306" s="5">
        <v>294.369200</v>
      </c>
    </row>
    <row r="2307" spans="1:9">
      <c r="A2307" s="22" t="str">
        <f>HYPERLINK("https://app.vivvix.com/360/KMI/IntelliDrive/ApplUI/Pages/CreativePages/CustomReportCreativeDetail.aspx?App=23&amp;ReportView=4&amp;Qid=1711245&amp;Row=2299&amp;Col=1","No Title Assigned - #15285771473")</f>
        <v/>
      </c>
      <c r="B2307" s="0" t="s">
        <v>3376</v>
      </c>
      <c r="E2307" s="0" t="s">
        <v>13</v>
      </c>
      <c r="F2307" s="0" t="s">
        <v>13</v>
      </c>
      <c r="G2307" s="0" t="s">
        <v>54</v>
      </c>
      <c r="H2307" s="5">
        <v>320.751400</v>
      </c>
    </row>
    <row r="2308" spans="1:9">
      <c r="A2308" s="22" t="str">
        <f>HYPERLINK("https://app.vivvix.com/360/KMI/IntelliDrive/ApplUI/Pages/CreativePages/CustomReportCreativeDetail.aspx?App=23&amp;ReportView=4&amp;Qid=1711245&amp;Row=2300&amp;Col=1","No Title Assigned - #15285773296")</f>
        <v/>
      </c>
      <c r="B2308" s="0" t="s">
        <v>3377</v>
      </c>
      <c r="C2308" s="0" t="s">
        <v>3378</v>
      </c>
      <c r="D2308" s="0" t="s">
        <v>3378</v>
      </c>
      <c r="E2308" s="0" t="s">
        <v>13</v>
      </c>
      <c r="F2308" s="0" t="s">
        <v>13</v>
      </c>
      <c r="G2308" s="0" t="s">
        <v>945</v>
      </c>
      <c r="H2308" s="5">
        <v>445.349100</v>
      </c>
    </row>
    <row r="2309" spans="1:9">
      <c r="A2309" s="22" t="str">
        <f>HYPERLINK("https://app.vivvix.com/360/KMI/IntelliDrive/ApplUI/Pages/CreativePages/CustomReportCreativeDetail.aspx?App=23&amp;ReportView=4&amp;Qid=1711245&amp;Row=2301&amp;Col=1","No Title Assigned - #15285773557")</f>
        <v/>
      </c>
      <c r="B2309" s="0" t="s">
        <v>3379</v>
      </c>
      <c r="C2309" s="0" t="s">
        <v>3380</v>
      </c>
      <c r="D2309" s="0" t="s">
        <v>3380</v>
      </c>
      <c r="E2309" s="0" t="s">
        <v>13</v>
      </c>
      <c r="F2309" s="0" t="s">
        <v>14</v>
      </c>
      <c r="G2309" s="0" t="s">
        <v>15</v>
      </c>
      <c r="H2309" s="5">
        <v>410.568100</v>
      </c>
    </row>
    <row r="2310" spans="1:9">
      <c r="A2310" s="22" t="str">
        <f>HYPERLINK("https://app.vivvix.com/360/KMI/IntelliDrive/ApplUI/Pages/CreativePages/CustomReportCreativeDetail.aspx?App=23&amp;ReportView=4&amp;Qid=1711245&amp;Row=2302&amp;Col=1","No Title Assigned - #15285774215")</f>
        <v/>
      </c>
      <c r="B2310" s="0" t="s">
        <v>3381</v>
      </c>
      <c r="E2310" s="0" t="s">
        <v>13</v>
      </c>
      <c r="F2310" s="0" t="s">
        <v>13</v>
      </c>
      <c r="G2310" s="0" t="s">
        <v>54</v>
      </c>
      <c r="H2310" s="5">
        <v>865.219600</v>
      </c>
    </row>
    <row r="2311" spans="1:9">
      <c r="A2311" s="22" t="str">
        <f>HYPERLINK("https://app.vivvix.com/360/KMI/IntelliDrive/ApplUI/Pages/CreativePages/CustomReportCreativeDetail.aspx?App=23&amp;ReportView=4&amp;Qid=1711245&amp;Row=2303&amp;Col=1","No Title Assigned - #15285775510")</f>
        <v/>
      </c>
      <c r="B2311" s="0" t="s">
        <v>3382</v>
      </c>
      <c r="C2311" s="0" t="s">
        <v>3383</v>
      </c>
      <c r="D2311" s="0" t="s">
        <v>3383</v>
      </c>
      <c r="E2311" s="0" t="s">
        <v>13</v>
      </c>
      <c r="F2311" s="0" t="s">
        <v>530</v>
      </c>
      <c r="G2311" s="0" t="s">
        <v>531</v>
      </c>
      <c r="H2311" s="5">
        <v>11211.398400</v>
      </c>
    </row>
    <row r="2312" spans="1:9">
      <c r="A2312" s="22" t="str">
        <f>HYPERLINK("https://app.vivvix.com/360/KMI/IntelliDrive/ApplUI/Pages/CreativePages/CustomReportCreativeDetail.aspx?App=23&amp;ReportView=4&amp;Qid=1711245&amp;Row=2304&amp;Col=1","No Title Assigned - #15285776319")</f>
        <v/>
      </c>
      <c r="B2312" s="0" t="s">
        <v>3384</v>
      </c>
      <c r="C2312" s="0" t="s">
        <v>3385</v>
      </c>
      <c r="D2312" s="0" t="s">
        <v>3385</v>
      </c>
      <c r="E2312" s="0" t="s">
        <v>13</v>
      </c>
      <c r="F2312" s="0" t="s">
        <v>14</v>
      </c>
      <c r="G2312" s="0" t="s">
        <v>15</v>
      </c>
      <c r="H2312" s="5">
        <v>61.342000</v>
      </c>
    </row>
    <row r="2313" spans="1:9">
      <c r="A2313" s="22" t="str">
        <f>HYPERLINK("https://app.vivvix.com/360/KMI/IntelliDrive/ApplUI/Pages/CreativePages/CustomReportCreativeDetail.aspx?App=23&amp;ReportView=4&amp;Qid=1711245&amp;Row=2305&amp;Col=1","No Title Assigned - #15285786390")</f>
        <v/>
      </c>
      <c r="B2313" s="0" t="s">
        <v>3386</v>
      </c>
      <c r="E2313" s="0" t="s">
        <v>13</v>
      </c>
      <c r="F2313" s="0" t="s">
        <v>13</v>
      </c>
      <c r="G2313" s="0" t="s">
        <v>54</v>
      </c>
      <c r="H2313" s="5">
        <v>5.493000</v>
      </c>
    </row>
    <row r="2314" spans="1:9">
      <c r="A2314" s="22" t="str">
        <f>HYPERLINK("https://app.vivvix.com/360/KMI/IntelliDrive/ApplUI/Pages/CreativePages/CustomReportCreativeDetail.aspx?App=23&amp;ReportView=4&amp;Qid=1711245&amp;Row=2306&amp;Col=1","No Title Assigned - #15285787384")</f>
        <v/>
      </c>
      <c r="B2314" s="0" t="s">
        <v>3387</v>
      </c>
      <c r="C2314" s="0" t="s">
        <v>3388</v>
      </c>
      <c r="D2314" s="0" t="s">
        <v>3388</v>
      </c>
      <c r="E2314" s="0" t="s">
        <v>13</v>
      </c>
      <c r="F2314" s="0" t="s">
        <v>530</v>
      </c>
      <c r="G2314" s="0" t="s">
        <v>531</v>
      </c>
      <c r="H2314" s="5">
        <v>1509.153700</v>
      </c>
    </row>
    <row r="2315" spans="1:9">
      <c r="A2315" s="22" t="str">
        <f>HYPERLINK("https://app.vivvix.com/360/KMI/IntelliDrive/ApplUI/Pages/CreativePages/CustomReportCreativeDetail.aspx?App=23&amp;ReportView=4&amp;Qid=1711245&amp;Row=2307&amp;Col=1","No Title Assigned - #15285787739")</f>
        <v/>
      </c>
      <c r="B2315" s="0" t="s">
        <v>3389</v>
      </c>
      <c r="C2315" s="0" t="s">
        <v>3390</v>
      </c>
      <c r="D2315" s="0" t="s">
        <v>3390</v>
      </c>
      <c r="E2315" s="0" t="s">
        <v>13</v>
      </c>
      <c r="F2315" s="0" t="s">
        <v>13</v>
      </c>
      <c r="G2315" s="0" t="s">
        <v>54</v>
      </c>
      <c r="H2315" s="5">
        <v>837.150000</v>
      </c>
    </row>
    <row r="2316" spans="1:9">
      <c r="A2316" s="22" t="str">
        <f>HYPERLINK("https://app.vivvix.com/360/KMI/IntelliDrive/ApplUI/Pages/CreativePages/CustomReportCreativeDetail.aspx?App=23&amp;ReportView=4&amp;Qid=1711245&amp;Row=2308&amp;Col=1","No Title Assigned - #15285787849")</f>
        <v/>
      </c>
      <c r="B2316" s="0" t="s">
        <v>3391</v>
      </c>
      <c r="C2316" s="0" t="s">
        <v>3392</v>
      </c>
      <c r="D2316" s="0" t="s">
        <v>3392</v>
      </c>
      <c r="E2316" s="0" t="s">
        <v>13</v>
      </c>
      <c r="F2316" s="0" t="s">
        <v>106</v>
      </c>
      <c r="G2316" s="0" t="s">
        <v>107</v>
      </c>
      <c r="H2316" s="5">
        <v>4153.751000</v>
      </c>
    </row>
    <row r="2317" spans="1:9">
      <c r="A2317" s="22" t="str">
        <f>HYPERLINK("https://app.vivvix.com/360/KMI/IntelliDrive/ApplUI/Pages/CreativePages/CustomReportCreativeDetail.aspx?App=23&amp;ReportView=4&amp;Qid=1711245&amp;Row=2309&amp;Col=1","No Title Assigned - #15285789752")</f>
        <v/>
      </c>
      <c r="B2317" s="0" t="s">
        <v>3393</v>
      </c>
      <c r="E2317" s="0" t="s">
        <v>13</v>
      </c>
      <c r="F2317" s="0" t="s">
        <v>13</v>
      </c>
      <c r="G2317" s="0" t="s">
        <v>54</v>
      </c>
      <c r="H2317" s="5">
        <v>58.895600</v>
      </c>
    </row>
    <row r="2318" spans="1:9">
      <c r="A2318" s="22" t="str">
        <f>HYPERLINK("https://app.vivvix.com/360/KMI/IntelliDrive/ApplUI/Pages/CreativePages/CustomReportCreativeDetail.aspx?App=23&amp;ReportView=4&amp;Qid=1711245&amp;Row=2310&amp;Col=1","No Title Assigned - #15285795816")</f>
        <v/>
      </c>
      <c r="B2318" s="0" t="s">
        <v>3394</v>
      </c>
      <c r="C2318" s="0" t="s">
        <v>3395</v>
      </c>
      <c r="D2318" s="0" t="s">
        <v>3395</v>
      </c>
      <c r="E2318" s="0" t="s">
        <v>13</v>
      </c>
      <c r="F2318" s="0" t="s">
        <v>540</v>
      </c>
      <c r="G2318" s="0" t="s">
        <v>541</v>
      </c>
      <c r="H2318" s="5">
        <v>6976.755400</v>
      </c>
    </row>
    <row r="2319" spans="1:9">
      <c r="A2319" s="22" t="str">
        <f>HYPERLINK("https://app.vivvix.com/360/KMI/IntelliDrive/ApplUI/Pages/CreativePages/CustomReportCreativeDetail.aspx?App=23&amp;ReportView=4&amp;Qid=1711245&amp;Row=2311&amp;Col=1","No Title Assigned - #15285803770")</f>
        <v/>
      </c>
      <c r="B2319" s="0" t="s">
        <v>3396</v>
      </c>
      <c r="E2319" s="0" t="s">
        <v>13</v>
      </c>
      <c r="F2319" s="0" t="s">
        <v>13</v>
      </c>
      <c r="G2319" s="0" t="s">
        <v>54</v>
      </c>
      <c r="H2319" s="5">
        <v>2559.371100</v>
      </c>
    </row>
    <row r="2320" spans="1:9">
      <c r="A2320" s="22" t="str">
        <f>HYPERLINK("https://app.vivvix.com/360/KMI/IntelliDrive/ApplUI/Pages/CreativePages/CustomReportCreativeDetail.aspx?App=23&amp;ReportView=4&amp;Qid=1711245&amp;Row=2312&amp;Col=1","No Title Assigned - #15285808859")</f>
        <v/>
      </c>
      <c r="B2320" s="0" t="s">
        <v>3397</v>
      </c>
      <c r="C2320" s="0" t="s">
        <v>3398</v>
      </c>
      <c r="D2320" s="0" t="s">
        <v>3398</v>
      </c>
      <c r="E2320" s="0" t="s">
        <v>13</v>
      </c>
      <c r="F2320" s="0" t="s">
        <v>540</v>
      </c>
      <c r="G2320" s="0" t="s">
        <v>541</v>
      </c>
      <c r="H2320" s="5">
        <v>2620.866900</v>
      </c>
    </row>
    <row r="2321" spans="1:9">
      <c r="A2321" s="22" t="str">
        <f>HYPERLINK("https://app.vivvix.com/360/KMI/IntelliDrive/ApplUI/Pages/CreativePages/CustomReportCreativeDetail.aspx?App=23&amp;ReportView=4&amp;Qid=1711245&amp;Row=2313&amp;Col=1","No Title Assigned - #15285811342")</f>
        <v/>
      </c>
      <c r="B2321" s="0" t="s">
        <v>3399</v>
      </c>
      <c r="C2321" s="0" t="s">
        <v>3400</v>
      </c>
      <c r="D2321" s="0" t="s">
        <v>3400</v>
      </c>
      <c r="E2321" s="0" t="s">
        <v>13</v>
      </c>
      <c r="F2321" s="0" t="s">
        <v>14</v>
      </c>
      <c r="G2321" s="0" t="s">
        <v>62</v>
      </c>
      <c r="H2321" s="5">
        <v>27708.708900</v>
      </c>
    </row>
    <row r="2322" spans="1:9">
      <c r="A2322" s="22" t="str">
        <f>HYPERLINK("https://app.vivvix.com/360/KMI/IntelliDrive/ApplUI/Pages/CreativePages/CustomReportCreativeDetail.aspx?App=23&amp;ReportView=4&amp;Qid=1711245&amp;Row=2314&amp;Col=1","No Title Assigned - #15285811384")</f>
        <v/>
      </c>
      <c r="B2322" s="0" t="s">
        <v>3401</v>
      </c>
      <c r="C2322" s="0" t="s">
        <v>3402</v>
      </c>
      <c r="D2322" s="0" t="s">
        <v>3402</v>
      </c>
      <c r="E2322" s="0" t="s">
        <v>13</v>
      </c>
      <c r="F2322" s="0" t="s">
        <v>14</v>
      </c>
      <c r="G2322" s="0" t="s">
        <v>15</v>
      </c>
      <c r="H2322" s="5">
        <v>4153.751000</v>
      </c>
    </row>
    <row r="2323" spans="1:9">
      <c r="A2323" s="22" t="str">
        <f>HYPERLINK("https://app.vivvix.com/360/KMI/IntelliDrive/ApplUI/Pages/CreativePages/CustomReportCreativeDetail.aspx?App=23&amp;ReportView=4&amp;Qid=1711245&amp;Row=2315&amp;Col=1","No Title Assigned - #15285811536")</f>
        <v/>
      </c>
      <c r="B2323" s="0" t="s">
        <v>3403</v>
      </c>
      <c r="C2323" s="0" t="s">
        <v>3404</v>
      </c>
      <c r="D2323" s="0" t="s">
        <v>3404</v>
      </c>
      <c r="E2323" s="0" t="s">
        <v>13</v>
      </c>
      <c r="F2323" s="0" t="s">
        <v>530</v>
      </c>
      <c r="G2323" s="0" t="s">
        <v>531</v>
      </c>
      <c r="H2323" s="5">
        <v>2711.752700</v>
      </c>
    </row>
    <row r="2324" spans="1:9">
      <c r="A2324" s="22" t="str">
        <f>HYPERLINK("https://app.vivvix.com/360/KMI/IntelliDrive/ApplUI/Pages/CreativePages/CustomReportCreativeDetail.aspx?App=23&amp;ReportView=4&amp;Qid=1711245&amp;Row=2316&amp;Col=1","No Title Assigned - #15285812134")</f>
        <v/>
      </c>
      <c r="B2324" s="0" t="s">
        <v>3405</v>
      </c>
      <c r="C2324" s="0" t="s">
        <v>3406</v>
      </c>
      <c r="D2324" s="0" t="s">
        <v>3406</v>
      </c>
      <c r="E2324" s="0" t="s">
        <v>13</v>
      </c>
      <c r="F2324" s="0" t="s">
        <v>106</v>
      </c>
      <c r="G2324" s="0" t="s">
        <v>107</v>
      </c>
      <c r="H2324" s="5">
        <v>6645.026200</v>
      </c>
    </row>
    <row r="2325" spans="1:9">
      <c r="A2325" s="22" t="str">
        <f>HYPERLINK("https://app.vivvix.com/360/KMI/IntelliDrive/ApplUI/Pages/CreativePages/CustomReportCreativeDetail.aspx?App=23&amp;ReportView=4&amp;Qid=1711245&amp;Row=2317&amp;Col=1","No Title Assigned - #15285812849")</f>
        <v/>
      </c>
      <c r="B2325" s="0" t="s">
        <v>3407</v>
      </c>
      <c r="E2325" s="0" t="s">
        <v>13</v>
      </c>
      <c r="F2325" s="0" t="s">
        <v>13</v>
      </c>
      <c r="G2325" s="0" t="s">
        <v>54</v>
      </c>
      <c r="H2325" s="5">
        <v>320.751400</v>
      </c>
    </row>
    <row r="2326" spans="1:9">
      <c r="A2326" s="22" t="str">
        <f>HYPERLINK("https://app.vivvix.com/360/KMI/IntelliDrive/ApplUI/Pages/CreativePages/CustomReportCreativeDetail.aspx?App=23&amp;ReportView=4&amp;Qid=1711245&amp;Row=2318&amp;Col=1","No Title Assigned - #15285817786")</f>
        <v/>
      </c>
      <c r="B2326" s="0" t="s">
        <v>3408</v>
      </c>
      <c r="C2326" s="0" t="s">
        <v>3409</v>
      </c>
      <c r="D2326" s="0" t="s">
        <v>3409</v>
      </c>
      <c r="E2326" s="0" t="s">
        <v>13</v>
      </c>
      <c r="F2326" s="0" t="s">
        <v>14</v>
      </c>
      <c r="G2326" s="0" t="s">
        <v>15</v>
      </c>
      <c r="H2326" s="5">
        <v>5.930600</v>
      </c>
    </row>
    <row r="2327" spans="1:9">
      <c r="A2327" s="22" t="str">
        <f>HYPERLINK("https://app.vivvix.com/360/KMI/IntelliDrive/ApplUI/Pages/CreativePages/CustomReportCreativeDetail.aspx?App=23&amp;ReportView=4&amp;Qid=1711245&amp;Row=2319&amp;Col=1","No Title Assigned - #15285828933")</f>
        <v/>
      </c>
      <c r="B2327" s="0" t="s">
        <v>3410</v>
      </c>
      <c r="C2327" s="0" t="s">
        <v>3411</v>
      </c>
      <c r="D2327" s="0" t="s">
        <v>3411</v>
      </c>
      <c r="E2327" s="0" t="s">
        <v>13</v>
      </c>
      <c r="F2327" s="0" t="s">
        <v>14</v>
      </c>
      <c r="G2327" s="0" t="s">
        <v>15</v>
      </c>
      <c r="H2327" s="5">
        <v>21027.573000</v>
      </c>
    </row>
    <row r="2328" spans="1:9">
      <c r="A2328" s="22" t="str">
        <f>HYPERLINK("https://app.vivvix.com/360/KMI/IntelliDrive/ApplUI/Pages/CreativePages/CustomReportCreativeDetail.aspx?App=23&amp;ReportView=4&amp;Qid=1711245&amp;Row=2320&amp;Col=1","No Title Assigned - #15285832301")</f>
        <v/>
      </c>
      <c r="B2328" s="0" t="s">
        <v>3412</v>
      </c>
      <c r="C2328" s="0" t="s">
        <v>3413</v>
      </c>
      <c r="D2328" s="0" t="s">
        <v>3413</v>
      </c>
      <c r="E2328" s="0" t="s">
        <v>13</v>
      </c>
      <c r="F2328" s="0" t="s">
        <v>540</v>
      </c>
      <c r="G2328" s="0" t="s">
        <v>541</v>
      </c>
      <c r="H2328" s="5">
        <v>2597.483200</v>
      </c>
    </row>
    <row r="2329" spans="1:9">
      <c r="A2329" s="22" t="str">
        <f>HYPERLINK("https://app.vivvix.com/360/KMI/IntelliDrive/ApplUI/Pages/CreativePages/CustomReportCreativeDetail.aspx?App=23&amp;ReportView=4&amp;Qid=1711245&amp;Row=2321&amp;Col=1","No Title Assigned - #15285832593")</f>
        <v/>
      </c>
      <c r="B2329" s="0" t="s">
        <v>3414</v>
      </c>
      <c r="C2329" s="0" t="s">
        <v>3415</v>
      </c>
      <c r="D2329" s="0" t="s">
        <v>3415</v>
      </c>
      <c r="E2329" s="0" t="s">
        <v>13</v>
      </c>
      <c r="F2329" s="0" t="s">
        <v>28</v>
      </c>
      <c r="G2329" s="0" t="s">
        <v>453</v>
      </c>
      <c r="H2329" s="5">
        <v>1118.316200</v>
      </c>
    </row>
    <row r="2330" spans="1:9">
      <c r="A2330" s="22" t="str">
        <f>HYPERLINK("https://app.vivvix.com/360/KMI/IntelliDrive/ApplUI/Pages/CreativePages/CustomReportCreativeDetail.aspx?App=23&amp;ReportView=4&amp;Qid=1711245&amp;Row=2322&amp;Col=1","No Title Assigned - #15285839703")</f>
        <v/>
      </c>
      <c r="B2330" s="0" t="s">
        <v>3416</v>
      </c>
      <c r="C2330" s="0" t="s">
        <v>3417</v>
      </c>
      <c r="D2330" s="0" t="s">
        <v>3417</v>
      </c>
      <c r="E2330" s="0" t="s">
        <v>13</v>
      </c>
      <c r="F2330" s="0" t="s">
        <v>106</v>
      </c>
      <c r="G2330" s="0" t="s">
        <v>107</v>
      </c>
      <c r="H2330" s="5">
        <v>659.530600</v>
      </c>
    </row>
    <row r="2331" spans="1:9">
      <c r="A2331" s="22" t="str">
        <f>HYPERLINK("https://app.vivvix.com/360/KMI/IntelliDrive/ApplUI/Pages/CreativePages/CustomReportCreativeDetail.aspx?App=23&amp;ReportView=4&amp;Qid=1711245&amp;Row=2323&amp;Col=1","No Title Assigned - #15285839917")</f>
        <v/>
      </c>
      <c r="B2331" s="0" t="s">
        <v>3418</v>
      </c>
      <c r="E2331" s="0" t="s">
        <v>13</v>
      </c>
      <c r="F2331" s="0" t="s">
        <v>13</v>
      </c>
      <c r="G2331" s="0" t="s">
        <v>54</v>
      </c>
      <c r="H2331" s="5">
        <v>2559.371100</v>
      </c>
    </row>
    <row r="2332" spans="1:9">
      <c r="A2332" s="22" t="str">
        <f>HYPERLINK("https://app.vivvix.com/360/KMI/IntelliDrive/ApplUI/Pages/CreativePages/CustomReportCreativeDetail.aspx?App=23&amp;ReportView=4&amp;Qid=1711245&amp;Row=2324&amp;Col=1","No Title Assigned - #15285841611")</f>
        <v/>
      </c>
      <c r="B2332" s="0" t="s">
        <v>3419</v>
      </c>
      <c r="C2332" s="0" t="s">
        <v>3420</v>
      </c>
      <c r="D2332" s="0" t="s">
        <v>3420</v>
      </c>
      <c r="E2332" s="0" t="s">
        <v>13</v>
      </c>
      <c r="F2332" s="0" t="s">
        <v>13</v>
      </c>
      <c r="G2332" s="0" t="s">
        <v>54</v>
      </c>
      <c r="H2332" s="5">
        <v>134.067100</v>
      </c>
    </row>
    <row r="2333" spans="1:9">
      <c r="A2333" s="22" t="str">
        <f>HYPERLINK("https://app.vivvix.com/360/KMI/IntelliDrive/ApplUI/Pages/CreativePages/CustomReportCreativeDetail.aspx?App=23&amp;ReportView=4&amp;Qid=1711245&amp;Row=2325&amp;Col=1","No Title Assigned - #15285842408")</f>
        <v/>
      </c>
      <c r="B2333" s="0" t="s">
        <v>3421</v>
      </c>
      <c r="C2333" s="0" t="s">
        <v>3422</v>
      </c>
      <c r="D2333" s="0" t="s">
        <v>3422</v>
      </c>
      <c r="E2333" s="0" t="s">
        <v>13</v>
      </c>
      <c r="F2333" s="0" t="s">
        <v>14</v>
      </c>
      <c r="G2333" s="0" t="s">
        <v>15</v>
      </c>
      <c r="H2333" s="5">
        <v>416.148500</v>
      </c>
    </row>
    <row r="2334" spans="1:9">
      <c r="A2334" s="22" t="str">
        <f>HYPERLINK("https://app.vivvix.com/360/KMI/IntelliDrive/ApplUI/Pages/CreativePages/CustomReportCreativeDetail.aspx?App=23&amp;ReportView=4&amp;Qid=1711245&amp;Row=2326&amp;Col=1","No Title Assigned - #15285867214")</f>
        <v/>
      </c>
      <c r="B2334" s="0" t="s">
        <v>3423</v>
      </c>
      <c r="C2334" s="0" t="s">
        <v>3424</v>
      </c>
      <c r="D2334" s="0" t="s">
        <v>3425</v>
      </c>
      <c r="E2334" s="0" t="s">
        <v>13</v>
      </c>
      <c r="F2334" s="0" t="s">
        <v>128</v>
      </c>
      <c r="G2334" s="0" t="s">
        <v>456</v>
      </c>
      <c r="H2334" s="5">
        <v>478.980000</v>
      </c>
    </row>
    <row r="2335" spans="1:9">
      <c r="A2335" s="22" t="str">
        <f>HYPERLINK("https://app.vivvix.com/360/KMI/IntelliDrive/ApplUI/Pages/CreativePages/CustomReportCreativeDetail.aspx?App=23&amp;ReportView=4&amp;Qid=1711245&amp;Row=2327&amp;Col=1","No Title Assigned - #15285869322")</f>
        <v/>
      </c>
      <c r="B2335" s="0" t="s">
        <v>3426</v>
      </c>
      <c r="C2335" s="0" t="s">
        <v>3427</v>
      </c>
      <c r="D2335" s="0" t="s">
        <v>3427</v>
      </c>
      <c r="E2335" s="0" t="s">
        <v>13</v>
      </c>
      <c r="F2335" s="0" t="s">
        <v>128</v>
      </c>
      <c r="G2335" s="0" t="s">
        <v>456</v>
      </c>
      <c r="H2335" s="5">
        <v>452.621800</v>
      </c>
    </row>
    <row r="2336" spans="1:9">
      <c r="A2336" s="22" t="str">
        <f>HYPERLINK("https://app.vivvix.com/360/KMI/IntelliDrive/ApplUI/Pages/CreativePages/CustomReportCreativeDetail.aspx?App=23&amp;ReportView=4&amp;Qid=1711245&amp;Row=2328&amp;Col=1","No Title Assigned - #15285894719")</f>
        <v/>
      </c>
      <c r="B2336" s="0" t="s">
        <v>3428</v>
      </c>
      <c r="C2336" s="0" t="s">
        <v>3429</v>
      </c>
      <c r="D2336" s="0" t="s">
        <v>3429</v>
      </c>
      <c r="E2336" s="0" t="s">
        <v>13</v>
      </c>
      <c r="F2336" s="0" t="s">
        <v>13</v>
      </c>
      <c r="G2336" s="0" t="s">
        <v>121</v>
      </c>
      <c r="H2336" s="5">
        <v>722.449500</v>
      </c>
    </row>
    <row r="2337" spans="1:9">
      <c r="A2337" s="22" t="str">
        <f>HYPERLINK("https://app.vivvix.com/360/KMI/IntelliDrive/ApplUI/Pages/CreativePages/CustomReportCreativeDetail.aspx?App=23&amp;ReportView=4&amp;Qid=1711245&amp;Row=2329&amp;Col=1","No Title Assigned - #15285894804")</f>
        <v/>
      </c>
      <c r="B2337" s="0" t="s">
        <v>3430</v>
      </c>
      <c r="C2337" s="0" t="s">
        <v>3431</v>
      </c>
      <c r="D2337" s="0" t="s">
        <v>3431</v>
      </c>
      <c r="E2337" s="0" t="s">
        <v>13</v>
      </c>
      <c r="F2337" s="0" t="s">
        <v>540</v>
      </c>
      <c r="G2337" s="0" t="s">
        <v>541</v>
      </c>
      <c r="H2337" s="5">
        <v>609.639500</v>
      </c>
    </row>
    <row r="2338" spans="1:9">
      <c r="A2338" s="22" t="str">
        <f>HYPERLINK("https://app.vivvix.com/360/KMI/IntelliDrive/ApplUI/Pages/CreativePages/CustomReportCreativeDetail.aspx?App=23&amp;ReportView=4&amp;Qid=1711245&amp;Row=2330&amp;Col=1","No Title Assigned - #15285895249")</f>
        <v/>
      </c>
      <c r="B2338" s="0" t="s">
        <v>3432</v>
      </c>
      <c r="C2338" s="0" t="s">
        <v>3433</v>
      </c>
      <c r="D2338" s="0" t="s">
        <v>3433</v>
      </c>
      <c r="E2338" s="0" t="s">
        <v>13</v>
      </c>
      <c r="F2338" s="0" t="s">
        <v>106</v>
      </c>
      <c r="G2338" s="0" t="s">
        <v>107</v>
      </c>
      <c r="H2338" s="5">
        <v>296.703600</v>
      </c>
    </row>
    <row r="2339" spans="1:9">
      <c r="A2339" s="22" t="str">
        <f>HYPERLINK("https://app.vivvix.com/360/KMI/IntelliDrive/ApplUI/Pages/CreativePages/CustomReportCreativeDetail.aspx?App=23&amp;ReportView=4&amp;Qid=1711245&amp;Row=2331&amp;Col=1","No Title Assigned - #15285900738")</f>
        <v/>
      </c>
      <c r="B2339" s="0" t="s">
        <v>3434</v>
      </c>
      <c r="C2339" s="0" t="s">
        <v>3435</v>
      </c>
      <c r="D2339" s="0" t="s">
        <v>3435</v>
      </c>
      <c r="E2339" s="0" t="s">
        <v>13</v>
      </c>
      <c r="F2339" s="0" t="s">
        <v>540</v>
      </c>
      <c r="G2339" s="0" t="s">
        <v>541</v>
      </c>
      <c r="H2339" s="5">
        <v>438.462100</v>
      </c>
    </row>
    <row r="2340" spans="1:9">
      <c r="A2340" s="22" t="str">
        <f>HYPERLINK("https://app.vivvix.com/360/KMI/IntelliDrive/ApplUI/Pages/CreativePages/CustomReportCreativeDetail.aspx?App=23&amp;ReportView=4&amp;Qid=1711245&amp;Row=2332&amp;Col=1","No Title Assigned - #15285901946")</f>
        <v/>
      </c>
      <c r="B2340" s="0" t="s">
        <v>3436</v>
      </c>
      <c r="C2340" s="0" t="s">
        <v>3437</v>
      </c>
      <c r="D2340" s="0" t="s">
        <v>3437</v>
      </c>
      <c r="E2340" s="0" t="s">
        <v>13</v>
      </c>
      <c r="F2340" s="0" t="s">
        <v>540</v>
      </c>
      <c r="G2340" s="0" t="s">
        <v>541</v>
      </c>
      <c r="H2340" s="5">
        <v>330.687600</v>
      </c>
    </row>
    <row r="2341" spans="1:9">
      <c r="A2341" s="22" t="str">
        <f>HYPERLINK("https://app.vivvix.com/360/KMI/IntelliDrive/ApplUI/Pages/CreativePages/CustomReportCreativeDetail.aspx?App=23&amp;ReportView=4&amp;Qid=1711245&amp;Row=2333&amp;Col=1","No Title Assigned - #15285903582")</f>
        <v/>
      </c>
      <c r="B2341" s="0" t="s">
        <v>3438</v>
      </c>
      <c r="C2341" s="0" t="s">
        <v>3439</v>
      </c>
      <c r="D2341" s="0" t="s">
        <v>3439</v>
      </c>
      <c r="E2341" s="0" t="s">
        <v>13</v>
      </c>
      <c r="F2341" s="0" t="s">
        <v>3175</v>
      </c>
      <c r="G2341" s="0" t="s">
        <v>3176</v>
      </c>
      <c r="H2341" s="5">
        <v>23.029500</v>
      </c>
    </row>
    <row r="2342" spans="1:9">
      <c r="A2342" s="22" t="str">
        <f>HYPERLINK("https://app.vivvix.com/360/KMI/IntelliDrive/ApplUI/Pages/CreativePages/CustomReportCreativeDetail.aspx?App=23&amp;ReportView=4&amp;Qid=1711245&amp;Row=2334&amp;Col=1","No Title Assigned - #15285904539")</f>
        <v/>
      </c>
      <c r="B2342" s="0" t="s">
        <v>3440</v>
      </c>
      <c r="C2342" s="0" t="s">
        <v>3441</v>
      </c>
      <c r="D2342" s="0" t="s">
        <v>3441</v>
      </c>
      <c r="E2342" s="0" t="s">
        <v>13</v>
      </c>
      <c r="F2342" s="0" t="s">
        <v>14</v>
      </c>
      <c r="G2342" s="0" t="s">
        <v>15</v>
      </c>
      <c r="H2342" s="5">
        <v>2671.496300</v>
      </c>
    </row>
    <row r="2343" spans="1:9">
      <c r="A2343" s="22" t="str">
        <f>HYPERLINK("https://app.vivvix.com/360/KMI/IntelliDrive/ApplUI/Pages/CreativePages/CustomReportCreativeDetail.aspx?App=23&amp;ReportView=4&amp;Qid=1711245&amp;Row=2335&amp;Col=1","No Title Assigned - #15285906074")</f>
        <v/>
      </c>
      <c r="B2343" s="0" t="s">
        <v>3442</v>
      </c>
      <c r="C2343" s="0" t="s">
        <v>3443</v>
      </c>
      <c r="D2343" s="0" t="s">
        <v>3443</v>
      </c>
      <c r="E2343" s="0" t="s">
        <v>13</v>
      </c>
      <c r="F2343" s="0" t="s">
        <v>14</v>
      </c>
      <c r="G2343" s="0" t="s">
        <v>15</v>
      </c>
      <c r="H2343" s="5">
        <v>541.489600</v>
      </c>
    </row>
    <row r="2344" spans="1:9">
      <c r="A2344" s="22" t="str">
        <f>HYPERLINK("https://app.vivvix.com/360/KMI/IntelliDrive/ApplUI/Pages/CreativePages/CustomReportCreativeDetail.aspx?App=23&amp;ReportView=4&amp;Qid=1711245&amp;Row=2336&amp;Col=1","No Title Assigned - #15285906187")</f>
        <v/>
      </c>
      <c r="B2344" s="0" t="s">
        <v>3444</v>
      </c>
      <c r="C2344" s="0" t="s">
        <v>3445</v>
      </c>
      <c r="D2344" s="0" t="s">
        <v>3445</v>
      </c>
      <c r="E2344" s="0" t="s">
        <v>13</v>
      </c>
      <c r="F2344" s="0" t="s">
        <v>530</v>
      </c>
      <c r="G2344" s="0" t="s">
        <v>531</v>
      </c>
      <c r="H2344" s="5">
        <v>807.828000</v>
      </c>
    </row>
    <row r="2345" spans="1:9">
      <c r="A2345" s="22" t="str">
        <f>HYPERLINK("https://app.vivvix.com/360/KMI/IntelliDrive/ApplUI/Pages/CreativePages/CustomReportCreativeDetail.aspx?App=23&amp;ReportView=4&amp;Qid=1711245&amp;Row=2337&amp;Col=1","No Title Assigned - #15285906450")</f>
        <v/>
      </c>
      <c r="B2345" s="0" t="s">
        <v>3446</v>
      </c>
      <c r="C2345" s="0" t="s">
        <v>3447</v>
      </c>
      <c r="D2345" s="0" t="s">
        <v>3447</v>
      </c>
      <c r="E2345" s="0" t="s">
        <v>13</v>
      </c>
      <c r="F2345" s="0" t="s">
        <v>106</v>
      </c>
      <c r="G2345" s="0" t="s">
        <v>107</v>
      </c>
      <c r="H2345" s="5">
        <v>201.722300</v>
      </c>
    </row>
    <row r="2346" spans="1:9">
      <c r="A2346" s="22" t="str">
        <f>HYPERLINK("https://app.vivvix.com/360/KMI/IntelliDrive/ApplUI/Pages/CreativePages/CustomReportCreativeDetail.aspx?App=23&amp;ReportView=4&amp;Qid=1711245&amp;Row=2338&amp;Col=1","No Title Assigned - #15285907049")</f>
        <v/>
      </c>
      <c r="B2346" s="0" t="s">
        <v>3448</v>
      </c>
      <c r="C2346" s="0" t="s">
        <v>3449</v>
      </c>
      <c r="D2346" s="0" t="s">
        <v>3449</v>
      </c>
      <c r="E2346" s="0" t="s">
        <v>13</v>
      </c>
      <c r="F2346" s="0" t="s">
        <v>14</v>
      </c>
      <c r="G2346" s="0" t="s">
        <v>15</v>
      </c>
      <c r="H2346" s="5">
        <v>600.774600</v>
      </c>
    </row>
    <row r="2347" spans="1:9">
      <c r="A2347" s="22" t="str">
        <f>HYPERLINK("https://app.vivvix.com/360/KMI/IntelliDrive/ApplUI/Pages/CreativePages/CustomReportCreativeDetail.aspx?App=23&amp;ReportView=4&amp;Qid=1711245&amp;Row=2339&amp;Col=1","No Title Assigned - #15285907573")</f>
        <v/>
      </c>
      <c r="B2347" s="0" t="s">
        <v>3450</v>
      </c>
      <c r="C2347" s="0" t="s">
        <v>3451</v>
      </c>
      <c r="D2347" s="0" t="s">
        <v>3451</v>
      </c>
      <c r="E2347" s="0" t="s">
        <v>13</v>
      </c>
      <c r="F2347" s="0" t="s">
        <v>13</v>
      </c>
      <c r="G2347" s="0" t="s">
        <v>35</v>
      </c>
      <c r="H2347" s="5">
        <v>23338.605400</v>
      </c>
    </row>
    <row r="2348" spans="1:9">
      <c r="A2348" s="22" t="str">
        <f>HYPERLINK("https://app.vivvix.com/360/KMI/IntelliDrive/ApplUI/Pages/CreativePages/CustomReportCreativeDetail.aspx?App=23&amp;ReportView=4&amp;Qid=1711245&amp;Row=2340&amp;Col=1","No Title Assigned - #15285913023")</f>
        <v/>
      </c>
      <c r="B2348" s="0" t="s">
        <v>3452</v>
      </c>
      <c r="C2348" s="0" t="s">
        <v>3453</v>
      </c>
      <c r="D2348" s="0" t="s">
        <v>3453</v>
      </c>
      <c r="E2348" s="0" t="s">
        <v>13</v>
      </c>
      <c r="F2348" s="0" t="s">
        <v>128</v>
      </c>
      <c r="G2348" s="0" t="s">
        <v>456</v>
      </c>
      <c r="H2348" s="5">
        <v>4751.023900</v>
      </c>
    </row>
    <row r="2349" spans="1:9">
      <c r="A2349" s="22" t="str">
        <f>HYPERLINK("https://app.vivvix.com/360/KMI/IntelliDrive/ApplUI/Pages/CreativePages/CustomReportCreativeDetail.aspx?App=23&amp;ReportView=4&amp;Qid=1711245&amp;Row=2341&amp;Col=1","No Title Assigned - #15285933227")</f>
        <v/>
      </c>
      <c r="B2349" s="0" t="s">
        <v>3454</v>
      </c>
      <c r="C2349" s="0" t="s">
        <v>3455</v>
      </c>
      <c r="D2349" s="0" t="s">
        <v>3455</v>
      </c>
      <c r="E2349" s="0" t="s">
        <v>13</v>
      </c>
      <c r="F2349" s="0" t="s">
        <v>128</v>
      </c>
      <c r="G2349" s="0" t="s">
        <v>456</v>
      </c>
      <c r="H2349" s="5">
        <v>2873.025400</v>
      </c>
    </row>
    <row r="2350" spans="1:9">
      <c r="A2350" s="22" t="str">
        <f>HYPERLINK("https://app.vivvix.com/360/KMI/IntelliDrive/ApplUI/Pages/CreativePages/CustomReportCreativeDetail.aspx?App=23&amp;ReportView=4&amp;Qid=1711245&amp;Row=2342&amp;Col=1","No Title Assigned - #15285935576")</f>
        <v/>
      </c>
      <c r="B2350" s="0" t="s">
        <v>3456</v>
      </c>
      <c r="C2350" s="0" t="s">
        <v>3457</v>
      </c>
      <c r="D2350" s="0" t="s">
        <v>3457</v>
      </c>
      <c r="E2350" s="0" t="s">
        <v>13</v>
      </c>
      <c r="F2350" s="0" t="s">
        <v>540</v>
      </c>
      <c r="G2350" s="0" t="s">
        <v>541</v>
      </c>
      <c r="H2350" s="5">
        <v>659.530600</v>
      </c>
    </row>
    <row r="2351" spans="1:9">
      <c r="A2351" s="22" t="str">
        <f>HYPERLINK("https://app.vivvix.com/360/KMI/IntelliDrive/ApplUI/Pages/CreativePages/CustomReportCreativeDetail.aspx?App=23&amp;ReportView=4&amp;Qid=1711245&amp;Row=2343&amp;Col=1","No Title Assigned - #15285942884")</f>
        <v/>
      </c>
      <c r="B2351" s="0" t="s">
        <v>3458</v>
      </c>
      <c r="C2351" s="0" t="s">
        <v>3459</v>
      </c>
      <c r="D2351" s="0" t="s">
        <v>3459</v>
      </c>
      <c r="E2351" s="0" t="s">
        <v>13</v>
      </c>
      <c r="F2351" s="0" t="s">
        <v>540</v>
      </c>
      <c r="G2351" s="0" t="s">
        <v>541</v>
      </c>
      <c r="H2351" s="5">
        <v>865.219600</v>
      </c>
    </row>
    <row r="2352" spans="1:9">
      <c r="A2352" s="22" t="str">
        <f>HYPERLINK("https://app.vivvix.com/360/KMI/IntelliDrive/ApplUI/Pages/CreativePages/CustomReportCreativeDetail.aspx?App=23&amp;ReportView=4&amp;Qid=1711245&amp;Row=2344&amp;Col=1","No Title Assigned - #15285944808")</f>
        <v/>
      </c>
      <c r="B2352" s="0" t="s">
        <v>3460</v>
      </c>
      <c r="C2352" s="0" t="s">
        <v>3461</v>
      </c>
      <c r="D2352" s="0" t="s">
        <v>3461</v>
      </c>
      <c r="E2352" s="0" t="s">
        <v>13</v>
      </c>
      <c r="F2352" s="0" t="s">
        <v>14</v>
      </c>
      <c r="G2352" s="0" t="s">
        <v>15</v>
      </c>
      <c r="H2352" s="5">
        <v>38.231600</v>
      </c>
    </row>
    <row r="2353" spans="1:9">
      <c r="A2353" s="22" t="str">
        <f>HYPERLINK("https://app.vivvix.com/360/KMI/IntelliDrive/ApplUI/Pages/CreativePages/CustomReportCreativeDetail.aspx?App=23&amp;ReportView=4&amp;Qid=1711245&amp;Row=2345&amp;Col=1","No Title Assigned - #15285949666")</f>
        <v/>
      </c>
      <c r="B2353" s="0" t="s">
        <v>3462</v>
      </c>
      <c r="C2353" s="0" t="s">
        <v>3463</v>
      </c>
      <c r="D2353" s="0" t="s">
        <v>3463</v>
      </c>
      <c r="E2353" s="0" t="s">
        <v>13</v>
      </c>
      <c r="F2353" s="0" t="s">
        <v>14</v>
      </c>
      <c r="G2353" s="0" t="s">
        <v>15</v>
      </c>
      <c r="H2353" s="5">
        <v>38.231600</v>
      </c>
    </row>
    <row r="2354" spans="1:9">
      <c r="A2354" s="22" t="str">
        <f>HYPERLINK("https://app.vivvix.com/360/KMI/IntelliDrive/ApplUI/Pages/CreativePages/CustomReportCreativeDetail.aspx?App=23&amp;ReportView=4&amp;Qid=1711245&amp;Row=2346&amp;Col=1","No Title Assigned - #15285954573")</f>
        <v/>
      </c>
      <c r="B2354" s="0" t="s">
        <v>3464</v>
      </c>
      <c r="C2354" s="0" t="s">
        <v>3465</v>
      </c>
      <c r="D2354" s="0" t="s">
        <v>3465</v>
      </c>
      <c r="E2354" s="0" t="s">
        <v>13</v>
      </c>
      <c r="F2354" s="0" t="s">
        <v>14</v>
      </c>
      <c r="G2354" s="0" t="s">
        <v>15</v>
      </c>
      <c r="H2354" s="5">
        <v>24.149000</v>
      </c>
    </row>
    <row r="2355" spans="1:9">
      <c r="A2355" s="22" t="str">
        <f>HYPERLINK("https://app.vivvix.com/360/KMI/IntelliDrive/ApplUI/Pages/CreativePages/CustomReportCreativeDetail.aspx?App=23&amp;ReportView=4&amp;Qid=1711245&amp;Row=2347&amp;Col=1","No Title Assigned - #15285956069")</f>
        <v/>
      </c>
      <c r="B2355" s="0" t="s">
        <v>3466</v>
      </c>
      <c r="C2355" s="0" t="s">
        <v>3467</v>
      </c>
      <c r="D2355" s="0" t="s">
        <v>3467</v>
      </c>
      <c r="E2355" s="0" t="s">
        <v>13</v>
      </c>
      <c r="F2355" s="0" t="s">
        <v>14</v>
      </c>
      <c r="G2355" s="0" t="s">
        <v>15</v>
      </c>
      <c r="H2355" s="5">
        <v>3003.939000</v>
      </c>
    </row>
    <row r="2356" spans="1:9">
      <c r="A2356" s="22" t="str">
        <f>HYPERLINK("https://app.vivvix.com/360/KMI/IntelliDrive/ApplUI/Pages/CreativePages/CustomReportCreativeDetail.aspx?App=23&amp;ReportView=4&amp;Qid=1711245&amp;Row=2348&amp;Col=1","No Title Assigned - #15285957631")</f>
        <v/>
      </c>
      <c r="B2356" s="0" t="s">
        <v>3468</v>
      </c>
      <c r="C2356" s="0" t="s">
        <v>3469</v>
      </c>
      <c r="D2356" s="0" t="s">
        <v>3469</v>
      </c>
      <c r="E2356" s="0" t="s">
        <v>13</v>
      </c>
      <c r="F2356" s="0" t="s">
        <v>14</v>
      </c>
      <c r="G2356" s="0" t="s">
        <v>15</v>
      </c>
      <c r="H2356" s="5">
        <v>3417.174000</v>
      </c>
    </row>
    <row r="2357" spans="1:9">
      <c r="A2357" s="22" t="str">
        <f>HYPERLINK("https://app.vivvix.com/360/KMI/IntelliDrive/ApplUI/Pages/CreativePages/CustomReportCreativeDetail.aspx?App=23&amp;ReportView=4&amp;Qid=1711245&amp;Row=2349&amp;Col=1","No Title Assigned - #15285960255")</f>
        <v/>
      </c>
      <c r="B2357" s="0" t="s">
        <v>3470</v>
      </c>
      <c r="C2357" s="0" t="s">
        <v>3471</v>
      </c>
      <c r="D2357" s="0" t="s">
        <v>3471</v>
      </c>
      <c r="E2357" s="0" t="s">
        <v>13</v>
      </c>
      <c r="F2357" s="0" t="s">
        <v>14</v>
      </c>
      <c r="G2357" s="0" t="s">
        <v>15</v>
      </c>
      <c r="H2357" s="5">
        <v>165.128800</v>
      </c>
    </row>
    <row r="2358" spans="1:9">
      <c r="A2358" s="22" t="str">
        <f>HYPERLINK("https://app.vivvix.com/360/KMI/IntelliDrive/ApplUI/Pages/CreativePages/CustomReportCreativeDetail.aspx?App=23&amp;ReportView=4&amp;Qid=1711245&amp;Row=2350&amp;Col=1","No Title Assigned - #15285961891")</f>
        <v/>
      </c>
      <c r="B2358" s="0" t="s">
        <v>3472</v>
      </c>
      <c r="C2358" s="0" t="s">
        <v>3473</v>
      </c>
      <c r="D2358" s="0" t="s">
        <v>3473</v>
      </c>
      <c r="E2358" s="0" t="s">
        <v>13</v>
      </c>
      <c r="F2358" s="0" t="s">
        <v>128</v>
      </c>
      <c r="G2358" s="0" t="s">
        <v>456</v>
      </c>
      <c r="H2358" s="5">
        <v>304.222300</v>
      </c>
    </row>
    <row r="2359" spans="1:9">
      <c r="A2359" s="22" t="str">
        <f>HYPERLINK("https://app.vivvix.com/360/KMI/IntelliDrive/ApplUI/Pages/CreativePages/CustomReportCreativeDetail.aspx?App=23&amp;ReportView=4&amp;Qid=1711245&amp;Row=2351&amp;Col=1","No Title Assigned - #15285964540")</f>
        <v/>
      </c>
      <c r="B2359" s="0" t="s">
        <v>3474</v>
      </c>
      <c r="C2359" s="0" t="s">
        <v>3475</v>
      </c>
      <c r="D2359" s="0" t="s">
        <v>3475</v>
      </c>
      <c r="E2359" s="0" t="s">
        <v>13</v>
      </c>
      <c r="F2359" s="0" t="s">
        <v>14</v>
      </c>
      <c r="G2359" s="0" t="s">
        <v>15</v>
      </c>
      <c r="H2359" s="5">
        <v>210.582000</v>
      </c>
    </row>
    <row r="2360" spans="1:9">
      <c r="A2360" s="22" t="str">
        <f>HYPERLINK("https://app.vivvix.com/360/KMI/IntelliDrive/ApplUI/Pages/CreativePages/CustomReportCreativeDetail.aspx?App=23&amp;ReportView=4&amp;Qid=1711245&amp;Row=2352&amp;Col=1","No Title Assigned - #15285966526")</f>
        <v/>
      </c>
      <c r="B2360" s="0" t="s">
        <v>3476</v>
      </c>
      <c r="C2360" s="0" t="s">
        <v>3477</v>
      </c>
      <c r="D2360" s="0" t="s">
        <v>3477</v>
      </c>
      <c r="E2360" s="0" t="s">
        <v>13</v>
      </c>
      <c r="F2360" s="0" t="s">
        <v>530</v>
      </c>
      <c r="G2360" s="0" t="s">
        <v>531</v>
      </c>
      <c r="H2360" s="5">
        <v>2084.622600</v>
      </c>
    </row>
    <row r="2361" spans="1:9">
      <c r="A2361" s="22" t="str">
        <f>HYPERLINK("https://app.vivvix.com/360/KMI/IntelliDrive/ApplUI/Pages/CreativePages/CustomReportCreativeDetail.aspx?App=23&amp;ReportView=4&amp;Qid=1711245&amp;Row=2353&amp;Col=1","No Title Assigned - #15285988108")</f>
        <v/>
      </c>
      <c r="B2361" s="0" t="s">
        <v>3478</v>
      </c>
      <c r="C2361" s="0" t="s">
        <v>3479</v>
      </c>
      <c r="D2361" s="0" t="s">
        <v>3479</v>
      </c>
      <c r="E2361" s="0" t="s">
        <v>13</v>
      </c>
      <c r="F2361" s="0" t="s">
        <v>14</v>
      </c>
      <c r="G2361" s="0" t="s">
        <v>15</v>
      </c>
      <c r="H2361" s="5">
        <v>22.345200</v>
      </c>
    </row>
    <row r="2362" spans="1:9">
      <c r="A2362" s="22" t="str">
        <f>HYPERLINK("https://app.vivvix.com/360/KMI/IntelliDrive/ApplUI/Pages/CreativePages/CustomReportCreativeDetail.aspx?App=23&amp;ReportView=4&amp;Qid=1711245&amp;Row=2354&amp;Col=1","No Title Assigned - #15285988423")</f>
        <v/>
      </c>
      <c r="B2362" s="0" t="s">
        <v>3480</v>
      </c>
      <c r="C2362" s="0" t="s">
        <v>3481</v>
      </c>
      <c r="D2362" s="0" t="s">
        <v>3481</v>
      </c>
      <c r="E2362" s="0" t="s">
        <v>13</v>
      </c>
      <c r="F2362" s="0" t="s">
        <v>106</v>
      </c>
      <c r="G2362" s="0" t="s">
        <v>107</v>
      </c>
      <c r="H2362" s="5">
        <v>1973.326900</v>
      </c>
    </row>
    <row r="2363" spans="1:9">
      <c r="A2363" s="22" t="str">
        <f>HYPERLINK("https://app.vivvix.com/360/KMI/IntelliDrive/ApplUI/Pages/CreativePages/CustomReportCreativeDetail.aspx?App=23&amp;ReportView=4&amp;Qid=1711245&amp;Row=2355&amp;Col=1","No Title Assigned - #15285997377")</f>
        <v/>
      </c>
      <c r="B2363" s="0" t="s">
        <v>3482</v>
      </c>
      <c r="C2363" s="0" t="s">
        <v>3483</v>
      </c>
      <c r="D2363" s="0" t="s">
        <v>3483</v>
      </c>
      <c r="E2363" s="0" t="s">
        <v>13</v>
      </c>
      <c r="F2363" s="0" t="s">
        <v>540</v>
      </c>
      <c r="G2363" s="0" t="s">
        <v>541</v>
      </c>
      <c r="H2363" s="5">
        <v>5241.733800</v>
      </c>
    </row>
    <row r="2364" spans="1:9">
      <c r="A2364" s="22" t="str">
        <f>HYPERLINK("https://app.vivvix.com/360/KMI/IntelliDrive/ApplUI/Pages/CreativePages/CustomReportCreativeDetail.aspx?App=23&amp;ReportView=4&amp;Qid=1711245&amp;Row=2356&amp;Col=1","No Title Assigned - #15285998955")</f>
        <v/>
      </c>
      <c r="B2364" s="0" t="s">
        <v>3484</v>
      </c>
      <c r="C2364" s="0" t="s">
        <v>3485</v>
      </c>
      <c r="D2364" s="0" t="s">
        <v>3485</v>
      </c>
      <c r="E2364" s="0" t="s">
        <v>13</v>
      </c>
      <c r="F2364" s="0" t="s">
        <v>540</v>
      </c>
      <c r="G2364" s="0" t="s">
        <v>541</v>
      </c>
      <c r="H2364" s="5">
        <v>2620.866900</v>
      </c>
    </row>
    <row r="2365" spans="1:9">
      <c r="A2365" s="22" t="str">
        <f>HYPERLINK("https://app.vivvix.com/360/KMI/IntelliDrive/ApplUI/Pages/CreativePages/CustomReportCreativeDetail.aspx?App=23&amp;ReportView=4&amp;Qid=1711245&amp;Row=2357&amp;Col=1","No Title Assigned - #15285999171")</f>
        <v/>
      </c>
      <c r="B2365" s="0" t="s">
        <v>3486</v>
      </c>
      <c r="C2365" s="0" t="s">
        <v>3487</v>
      </c>
      <c r="D2365" s="0" t="s">
        <v>3487</v>
      </c>
      <c r="E2365" s="0" t="s">
        <v>13</v>
      </c>
      <c r="F2365" s="0" t="s">
        <v>106</v>
      </c>
      <c r="G2365" s="0" t="s">
        <v>107</v>
      </c>
      <c r="H2365" s="5">
        <v>132.485200</v>
      </c>
    </row>
    <row r="2366" spans="1:9">
      <c r="A2366" s="22" t="str">
        <f>HYPERLINK("https://app.vivvix.com/360/KMI/IntelliDrive/ApplUI/Pages/CreativePages/CustomReportCreativeDetail.aspx?App=23&amp;ReportView=4&amp;Qid=1711245&amp;Row=2358&amp;Col=1","No Title Assigned - #15286001233")</f>
        <v/>
      </c>
      <c r="B2366" s="0" t="s">
        <v>3488</v>
      </c>
      <c r="C2366" s="0" t="s">
        <v>3489</v>
      </c>
      <c r="D2366" s="0" t="s">
        <v>3489</v>
      </c>
      <c r="E2366" s="0" t="s">
        <v>13</v>
      </c>
      <c r="F2366" s="0" t="s">
        <v>530</v>
      </c>
      <c r="G2366" s="0" t="s">
        <v>531</v>
      </c>
      <c r="H2366" s="5">
        <v>450.131000</v>
      </c>
    </row>
    <row r="2367" spans="1:9">
      <c r="A2367" s="22" t="str">
        <f>HYPERLINK("https://app.vivvix.com/360/KMI/IntelliDrive/ApplUI/Pages/CreativePages/CustomReportCreativeDetail.aspx?App=23&amp;ReportView=4&amp;Qid=1711245&amp;Row=2359&amp;Col=1","No Title Assigned - #15286004047")</f>
        <v/>
      </c>
      <c r="B2367" s="0" t="s">
        <v>3490</v>
      </c>
      <c r="C2367" s="0" t="s">
        <v>3491</v>
      </c>
      <c r="D2367" s="0" t="s">
        <v>3491</v>
      </c>
      <c r="E2367" s="0" t="s">
        <v>13</v>
      </c>
      <c r="F2367" s="0" t="s">
        <v>14</v>
      </c>
      <c r="G2367" s="0" t="s">
        <v>15</v>
      </c>
      <c r="H2367" s="5">
        <v>252.425100</v>
      </c>
    </row>
    <row r="2368" spans="1:9">
      <c r="A2368" s="22" t="str">
        <f>HYPERLINK("https://app.vivvix.com/360/KMI/IntelliDrive/ApplUI/Pages/CreativePages/CustomReportCreativeDetail.aspx?App=23&amp;ReportView=4&amp;Qid=1711245&amp;Row=2360&amp;Col=1","No Title Assigned - #15286020634")</f>
        <v/>
      </c>
      <c r="B2368" s="0" t="s">
        <v>3492</v>
      </c>
      <c r="C2368" s="0" t="s">
        <v>3493</v>
      </c>
      <c r="D2368" s="0" t="s">
        <v>3493</v>
      </c>
      <c r="E2368" s="0" t="s">
        <v>13</v>
      </c>
      <c r="F2368" s="0" t="s">
        <v>540</v>
      </c>
      <c r="G2368" s="0" t="s">
        <v>541</v>
      </c>
      <c r="H2368" s="5">
        <v>2452.888700</v>
      </c>
    </row>
    <row r="2369" spans="1:9">
      <c r="A2369" s="22" t="str">
        <f>HYPERLINK("https://app.vivvix.com/360/KMI/IntelliDrive/ApplUI/Pages/CreativePages/CustomReportCreativeDetail.aspx?App=23&amp;ReportView=4&amp;Qid=1711245&amp;Row=2361&amp;Col=1","No Title Assigned - #15286032241")</f>
        <v/>
      </c>
      <c r="B2369" s="0" t="s">
        <v>3494</v>
      </c>
      <c r="C2369" s="0" t="s">
        <v>3495</v>
      </c>
      <c r="D2369" s="0" t="s">
        <v>3495</v>
      </c>
      <c r="E2369" s="0" t="s">
        <v>13</v>
      </c>
      <c r="F2369" s="0" t="s">
        <v>14</v>
      </c>
      <c r="G2369" s="0" t="s">
        <v>15</v>
      </c>
      <c r="H2369" s="5">
        <v>865.219600</v>
      </c>
    </row>
    <row r="2370" spans="1:9">
      <c r="A2370" s="22" t="str">
        <f>HYPERLINK("https://app.vivvix.com/360/KMI/IntelliDrive/ApplUI/Pages/CreativePages/CustomReportCreativeDetail.aspx?App=23&amp;ReportView=4&amp;Qid=1711245&amp;Row=2362&amp;Col=1","No Title Assigned - #15286034933")</f>
        <v/>
      </c>
      <c r="B2370" s="0" t="s">
        <v>3496</v>
      </c>
      <c r="C2370" s="0" t="s">
        <v>3497</v>
      </c>
      <c r="D2370" s="0" t="s">
        <v>3497</v>
      </c>
      <c r="E2370" s="0" t="s">
        <v>13</v>
      </c>
      <c r="F2370" s="0" t="s">
        <v>14</v>
      </c>
      <c r="G2370" s="0" t="s">
        <v>15</v>
      </c>
      <c r="H2370" s="5">
        <v>38.231600</v>
      </c>
    </row>
    <row r="2371" spans="1:9">
      <c r="A2371" s="22" t="str">
        <f>HYPERLINK("https://app.vivvix.com/360/KMI/IntelliDrive/ApplUI/Pages/CreativePages/CustomReportCreativeDetail.aspx?App=23&amp;ReportView=4&amp;Qid=1711245&amp;Row=2363&amp;Col=1","No Title Assigned - #15286036142")</f>
        <v/>
      </c>
      <c r="B2371" s="0" t="s">
        <v>3498</v>
      </c>
      <c r="C2371" s="0" t="s">
        <v>3499</v>
      </c>
      <c r="D2371" s="0" t="s">
        <v>3499</v>
      </c>
      <c r="E2371" s="0" t="s">
        <v>13</v>
      </c>
      <c r="F2371" s="0" t="s">
        <v>530</v>
      </c>
      <c r="G2371" s="0" t="s">
        <v>531</v>
      </c>
      <c r="H2371" s="5">
        <v>306.431100</v>
      </c>
    </row>
    <row r="2372" spans="1:9">
      <c r="A2372" s="22" t="str">
        <f>HYPERLINK("https://app.vivvix.com/360/KMI/IntelliDrive/ApplUI/Pages/CreativePages/CustomReportCreativeDetail.aspx?App=23&amp;ReportView=4&amp;Qid=1711245&amp;Row=2364&amp;Col=1","No Title Assigned - #15286036381")</f>
        <v/>
      </c>
      <c r="B2372" s="0" t="s">
        <v>3500</v>
      </c>
      <c r="C2372" s="0" t="s">
        <v>3501</v>
      </c>
      <c r="D2372" s="0" t="s">
        <v>3501</v>
      </c>
      <c r="E2372" s="0" t="s">
        <v>13</v>
      </c>
      <c r="F2372" s="0" t="s">
        <v>14</v>
      </c>
      <c r="G2372" s="0" t="s">
        <v>15</v>
      </c>
      <c r="H2372" s="5">
        <v>735.558300</v>
      </c>
    </row>
    <row r="2373" spans="1:9">
      <c r="A2373" s="22" t="str">
        <f>HYPERLINK("https://app.vivvix.com/360/KMI/IntelliDrive/ApplUI/Pages/CreativePages/CustomReportCreativeDetail.aspx?App=23&amp;ReportView=4&amp;Qid=1711245&amp;Row=2365&amp;Col=1","No Title Assigned - #15286040098")</f>
        <v/>
      </c>
      <c r="B2373" s="0" t="s">
        <v>3502</v>
      </c>
      <c r="C2373" s="0" t="s">
        <v>3503</v>
      </c>
      <c r="D2373" s="0" t="s">
        <v>3503</v>
      </c>
      <c r="E2373" s="0" t="s">
        <v>13</v>
      </c>
      <c r="F2373" s="0" t="s">
        <v>14</v>
      </c>
      <c r="G2373" s="0" t="s">
        <v>15</v>
      </c>
      <c r="H2373" s="5">
        <v>76.463200</v>
      </c>
    </row>
    <row r="2374" spans="1:9">
      <c r="A2374" s="22" t="str">
        <f>HYPERLINK("https://app.vivvix.com/360/KMI/IntelliDrive/ApplUI/Pages/CreativePages/CustomReportCreativeDetail.aspx?App=23&amp;ReportView=4&amp;Qid=1711245&amp;Row=2366&amp;Col=1","No Title Assigned - #15286058073")</f>
        <v/>
      </c>
      <c r="B2374" s="0" t="s">
        <v>3504</v>
      </c>
      <c r="C2374" s="0" t="s">
        <v>3505</v>
      </c>
      <c r="D2374" s="0" t="s">
        <v>3505</v>
      </c>
      <c r="E2374" s="0" t="s">
        <v>13</v>
      </c>
      <c r="F2374" s="0" t="s">
        <v>14</v>
      </c>
      <c r="G2374" s="0" t="s">
        <v>15</v>
      </c>
      <c r="H2374" s="5">
        <v>499.529300</v>
      </c>
    </row>
    <row r="2375" spans="1:9">
      <c r="A2375" s="22" t="str">
        <f>HYPERLINK("https://app.vivvix.com/360/KMI/IntelliDrive/ApplUI/Pages/CreativePages/CustomReportCreativeDetail.aspx?App=23&amp;ReportView=4&amp;Qid=1711245&amp;Row=2367&amp;Col=1","No Title Assigned - #586450289")</f>
        <v/>
      </c>
      <c r="B2375" s="0" t="s">
        <v>3506</v>
      </c>
      <c r="C2375" s="0" t="s">
        <v>87</v>
      </c>
      <c r="D2375" s="0" t="s">
        <v>87</v>
      </c>
      <c r="E2375" s="0" t="s">
        <v>13</v>
      </c>
      <c r="F2375" s="0" t="s">
        <v>14</v>
      </c>
      <c r="G2375" s="0" t="s">
        <v>15</v>
      </c>
      <c r="H2375" s="5">
        <v>8748.000000</v>
      </c>
    </row>
    <row r="2376" spans="1:9">
      <c r="A2376" s="22" t="str">
        <f>HYPERLINK("https://app.vivvix.com/360/KMI/IntelliDrive/ApplUI/Pages/CreativePages/CustomReportCreativeDetail.aspx?App=23&amp;ReportView=4&amp;Qid=1711245&amp;Row=2368&amp;Col=1","No Title Assigned - #586542916")</f>
        <v/>
      </c>
      <c r="B2376" s="0" t="s">
        <v>3507</v>
      </c>
      <c r="C2376" s="0" t="s">
        <v>346</v>
      </c>
      <c r="D2376" s="0" t="s">
        <v>346</v>
      </c>
      <c r="E2376" s="0" t="s">
        <v>13</v>
      </c>
      <c r="F2376" s="0" t="s">
        <v>14</v>
      </c>
      <c r="G2376" s="0" t="s">
        <v>15</v>
      </c>
      <c r="H2376" s="5">
        <v>239634.000000</v>
      </c>
    </row>
    <row r="2377" spans="1:9">
      <c r="A2377" s="22" t="str">
        <f>HYPERLINK("https://app.vivvix.com/360/KMI/IntelliDrive/ApplUI/Pages/CreativePages/CustomReportCreativeDetail.aspx?App=23&amp;ReportView=4&amp;Qid=1711245&amp;Row=2369&amp;Col=1","No Title Assigned - #586542916")</f>
        <v/>
      </c>
      <c r="B2377" s="0" t="s">
        <v>3507</v>
      </c>
      <c r="C2377" s="0" t="s">
        <v>346</v>
      </c>
      <c r="D2377" s="0" t="s">
        <v>346</v>
      </c>
      <c r="E2377" s="0" t="s">
        <v>13</v>
      </c>
      <c r="F2377" s="0" t="s">
        <v>14</v>
      </c>
      <c r="G2377" s="0" t="s">
        <v>15</v>
      </c>
      <c r="H2377" s="5">
        <v>20498.000000</v>
      </c>
    </row>
    <row r="2378" spans="1:9">
      <c r="A2378" s="22" t="str">
        <f>HYPERLINK("https://app.vivvix.com/360/KMI/IntelliDrive/ApplUI/Pages/CreativePages/CustomReportCreativeDetail.aspx?App=23&amp;ReportView=4&amp;Qid=1711245&amp;Row=2370&amp;Col=1","No Title Assigned - #586542916")</f>
        <v/>
      </c>
      <c r="B2378" s="0" t="s">
        <v>3507</v>
      </c>
      <c r="C2378" s="0" t="s">
        <v>346</v>
      </c>
      <c r="D2378" s="0" t="s">
        <v>346</v>
      </c>
      <c r="E2378" s="0" t="s">
        <v>13</v>
      </c>
      <c r="F2378" s="0" t="s">
        <v>14</v>
      </c>
      <c r="G2378" s="0" t="s">
        <v>15</v>
      </c>
      <c r="H2378" s="5">
        <v>290.000000</v>
      </c>
    </row>
    <row r="2379" spans="1:9">
      <c r="A2379" s="22" t="str">
        <f>HYPERLINK("https://app.vivvix.com/360/KMI/IntelliDrive/ApplUI/Pages/CreativePages/CustomReportCreativeDetail.aspx?App=23&amp;ReportView=4&amp;Qid=1711245&amp;Row=2371&amp;Col=1","No Title Assigned - #586550420")</f>
        <v/>
      </c>
      <c r="B2379" s="0" t="s">
        <v>3508</v>
      </c>
      <c r="C2379" s="0" t="s">
        <v>346</v>
      </c>
      <c r="D2379" s="0" t="s">
        <v>346</v>
      </c>
      <c r="E2379" s="0" t="s">
        <v>13</v>
      </c>
      <c r="F2379" s="0" t="s">
        <v>14</v>
      </c>
      <c r="G2379" s="0" t="s">
        <v>15</v>
      </c>
      <c r="H2379" s="5">
        <v>728.000000</v>
      </c>
    </row>
    <row r="2380" spans="1:9">
      <c r="A2380" s="22" t="str">
        <f>HYPERLINK("https://app.vivvix.com/360/KMI/IntelliDrive/ApplUI/Pages/CreativePages/CustomReportCreativeDetail.aspx?App=23&amp;ReportView=4&amp;Qid=1711245&amp;Row=2372&amp;Col=1","No Title Assigned - #586550420")</f>
        <v/>
      </c>
      <c r="B2380" s="0" t="s">
        <v>3508</v>
      </c>
      <c r="C2380" s="0" t="s">
        <v>346</v>
      </c>
      <c r="D2380" s="0" t="s">
        <v>346</v>
      </c>
      <c r="E2380" s="0" t="s">
        <v>13</v>
      </c>
      <c r="F2380" s="0" t="s">
        <v>14</v>
      </c>
      <c r="G2380" s="0" t="s">
        <v>15</v>
      </c>
      <c r="H2380" s="5">
        <v>20039.000000</v>
      </c>
    </row>
    <row r="2381" spans="1:9">
      <c r="A2381" s="22" t="str">
        <f>HYPERLINK("https://app.vivvix.com/360/KMI/IntelliDrive/ApplUI/Pages/CreativePages/CustomReportCreativeDetail.aspx?App=23&amp;ReportView=4&amp;Qid=1711245&amp;Row=2373&amp;Col=1","No Title Assigned - #586550420")</f>
        <v/>
      </c>
      <c r="B2381" s="0" t="s">
        <v>3508</v>
      </c>
      <c r="C2381" s="0" t="s">
        <v>346</v>
      </c>
      <c r="D2381" s="0" t="s">
        <v>346</v>
      </c>
      <c r="E2381" s="0" t="s">
        <v>13</v>
      </c>
      <c r="F2381" s="0" t="s">
        <v>14</v>
      </c>
      <c r="G2381" s="0" t="s">
        <v>15</v>
      </c>
      <c r="H2381" s="5">
        <v>131018.000000</v>
      </c>
    </row>
    <row r="2382" spans="1:9">
      <c r="A2382" s="22" t="str">
        <f>HYPERLINK("https://app.vivvix.com/360/KMI/IntelliDrive/ApplUI/Pages/CreativePages/CustomReportCreativeDetail.aspx?App=23&amp;ReportView=4&amp;Qid=1711245&amp;Row=2374&amp;Col=1","No Title Assigned - #586559817")</f>
        <v/>
      </c>
      <c r="B2382" s="0" t="s">
        <v>3509</v>
      </c>
      <c r="C2382" s="0" t="s">
        <v>346</v>
      </c>
      <c r="D2382" s="0" t="s">
        <v>346</v>
      </c>
      <c r="E2382" s="0" t="s">
        <v>13</v>
      </c>
      <c r="F2382" s="0" t="s">
        <v>14</v>
      </c>
      <c r="G2382" s="0" t="s">
        <v>15</v>
      </c>
      <c r="H2382" s="5">
        <v>12529.000000</v>
      </c>
    </row>
    <row r="2383" spans="1:9">
      <c r="A2383" s="22" t="str">
        <f>HYPERLINK("https://app.vivvix.com/360/KMI/IntelliDrive/ApplUI/Pages/CreativePages/CustomReportCreativeDetail.aspx?App=23&amp;ReportView=4&amp;Qid=1711245&amp;Row=2375&amp;Col=1","No Title Assigned - #586559817")</f>
        <v/>
      </c>
      <c r="B2383" s="0" t="s">
        <v>3509</v>
      </c>
      <c r="C2383" s="0" t="s">
        <v>346</v>
      </c>
      <c r="D2383" s="0" t="s">
        <v>346</v>
      </c>
      <c r="E2383" s="0" t="s">
        <v>13</v>
      </c>
      <c r="F2383" s="0" t="s">
        <v>14</v>
      </c>
      <c r="G2383" s="0" t="s">
        <v>15</v>
      </c>
      <c r="H2383" s="5">
        <v>94133.000000</v>
      </c>
    </row>
    <row r="2384" spans="1:9">
      <c r="A2384" s="22" t="str">
        <f>HYPERLINK("https://app.vivvix.com/360/KMI/IntelliDrive/ApplUI/Pages/CreativePages/CustomReportCreativeDetail.aspx?App=23&amp;ReportView=4&amp;Qid=1711245&amp;Row=2376&amp;Col=1","No Title Assigned - #586559817")</f>
        <v/>
      </c>
      <c r="B2384" s="0" t="s">
        <v>3509</v>
      </c>
      <c r="C2384" s="0" t="s">
        <v>346</v>
      </c>
      <c r="D2384" s="0" t="s">
        <v>346</v>
      </c>
      <c r="E2384" s="0" t="s">
        <v>13</v>
      </c>
      <c r="F2384" s="0" t="s">
        <v>14</v>
      </c>
      <c r="G2384" s="0" t="s">
        <v>15</v>
      </c>
      <c r="H2384" s="5">
        <v>225.000000</v>
      </c>
    </row>
    <row r="2385" spans="1:9">
      <c r="A2385" s="22" t="str">
        <f>HYPERLINK("https://app.vivvix.com/360/KMI/IntelliDrive/ApplUI/Pages/CreativePages/CustomReportCreativeDetail.aspx?App=23&amp;ReportView=4&amp;Qid=1711245&amp;Row=2377&amp;Col=1","No Title Assigned - #586581463")</f>
        <v/>
      </c>
      <c r="B2385" s="0" t="s">
        <v>3510</v>
      </c>
      <c r="C2385" s="0" t="s">
        <v>320</v>
      </c>
      <c r="D2385" s="0" t="s">
        <v>320</v>
      </c>
      <c r="E2385" s="0" t="s">
        <v>13</v>
      </c>
      <c r="F2385" s="0" t="s">
        <v>14</v>
      </c>
      <c r="G2385" s="0" t="s">
        <v>15</v>
      </c>
      <c r="H2385" s="5">
        <v>254027.000000</v>
      </c>
    </row>
    <row r="2386" spans="1:9">
      <c r="A2386" s="22" t="str">
        <f>HYPERLINK("https://app.vivvix.com/360/KMI/IntelliDrive/ApplUI/Pages/CreativePages/CustomReportCreativeDetail.aspx?App=23&amp;ReportView=4&amp;Qid=1711245&amp;Row=2378&amp;Col=1","No Title Assigned - #586607994")</f>
        <v/>
      </c>
      <c r="B2386" s="0" t="s">
        <v>3511</v>
      </c>
      <c r="E2386" s="0" t="s">
        <v>13</v>
      </c>
      <c r="F2386" s="0" t="s">
        <v>13</v>
      </c>
      <c r="G2386" s="0" t="s">
        <v>35</v>
      </c>
      <c r="H2386" s="5">
        <v>564.000000</v>
      </c>
    </row>
    <row r="2387" spans="1:9">
      <c r="A2387" s="22" t="str">
        <f>HYPERLINK("https://app.vivvix.com/360/KMI/IntelliDrive/ApplUI/Pages/CreativePages/CustomReportCreativeDetail.aspx?App=23&amp;ReportView=4&amp;Qid=1711245&amp;Row=2379&amp;Col=1","No Title Assigned - #586608681")</f>
        <v/>
      </c>
      <c r="B2387" s="0" t="s">
        <v>3512</v>
      </c>
      <c r="C2387" s="0" t="s">
        <v>377</v>
      </c>
      <c r="D2387" s="0" t="s">
        <v>377</v>
      </c>
      <c r="E2387" s="0" t="s">
        <v>13</v>
      </c>
      <c r="F2387" s="0" t="s">
        <v>14</v>
      </c>
      <c r="G2387" s="0" t="s">
        <v>15</v>
      </c>
      <c r="H2387" s="5">
        <v>54816.000000</v>
      </c>
    </row>
    <row r="2388" spans="1:9">
      <c r="A2388" s="22" t="str">
        <f>HYPERLINK("https://app.vivvix.com/360/KMI/IntelliDrive/ApplUI/Pages/CreativePages/CustomReportCreativeDetail.aspx?App=23&amp;ReportView=4&amp;Qid=1711245&amp;Row=2380&amp;Col=1","No Title Assigned - #586777995")</f>
        <v/>
      </c>
      <c r="B2388" s="0" t="s">
        <v>3513</v>
      </c>
      <c r="C2388" s="0" t="s">
        <v>3514</v>
      </c>
      <c r="D2388" s="0" t="s">
        <v>3514</v>
      </c>
      <c r="E2388" s="0" t="s">
        <v>13</v>
      </c>
      <c r="F2388" s="0" t="s">
        <v>13</v>
      </c>
      <c r="G2388" s="0" t="s">
        <v>122</v>
      </c>
      <c r="H2388" s="5">
        <v>35741.000000</v>
      </c>
    </row>
    <row r="2389" spans="1:9">
      <c r="A2389" s="22" t="str">
        <f>HYPERLINK("https://app.vivvix.com/360/KMI/IntelliDrive/ApplUI/Pages/CreativePages/CustomReportCreativeDetail.aspx?App=23&amp;ReportView=4&amp;Qid=1711245&amp;Row=2381&amp;Col=1","No Title Assigned - #586946682")</f>
        <v/>
      </c>
      <c r="B2389" s="0" t="s">
        <v>3515</v>
      </c>
      <c r="C2389" s="0" t="s">
        <v>346</v>
      </c>
      <c r="D2389" s="0" t="s">
        <v>346</v>
      </c>
      <c r="E2389" s="0" t="s">
        <v>13</v>
      </c>
      <c r="F2389" s="0" t="s">
        <v>14</v>
      </c>
      <c r="G2389" s="0" t="s">
        <v>15</v>
      </c>
      <c r="H2389" s="5">
        <v>39135.000000</v>
      </c>
    </row>
    <row r="2390" spans="1:9">
      <c r="A2390" s="22" t="str">
        <f>HYPERLINK("https://app.vivvix.com/360/KMI/IntelliDrive/ApplUI/Pages/CreativePages/CustomReportCreativeDetail.aspx?App=23&amp;ReportView=4&amp;Qid=1711245&amp;Row=2382&amp;Col=1","No Title Assigned - #587171268")</f>
        <v/>
      </c>
      <c r="B2390" s="0" t="s">
        <v>3516</v>
      </c>
      <c r="C2390" s="0" t="s">
        <v>105</v>
      </c>
      <c r="D2390" s="0" t="s">
        <v>105</v>
      </c>
      <c r="E2390" s="0" t="s">
        <v>13</v>
      </c>
      <c r="F2390" s="0" t="s">
        <v>106</v>
      </c>
      <c r="G2390" s="0" t="s">
        <v>107</v>
      </c>
      <c r="H2390" s="5">
        <v>130054.000000</v>
      </c>
    </row>
    <row r="2391" spans="1:9">
      <c r="A2391" s="22" t="str">
        <f>HYPERLINK("https://app.vivvix.com/360/KMI/IntelliDrive/ApplUI/Pages/CreativePages/CustomReportCreativeDetail.aspx?App=23&amp;ReportView=4&amp;Qid=1711245&amp;Row=2383&amp;Col=1","No Title Assigned - #587177516")</f>
        <v/>
      </c>
      <c r="B2391" s="0" t="s">
        <v>3517</v>
      </c>
      <c r="C2391" s="0" t="s">
        <v>165</v>
      </c>
      <c r="D2391" s="0" t="s">
        <v>165</v>
      </c>
      <c r="E2391" s="0" t="s">
        <v>13</v>
      </c>
      <c r="F2391" s="0" t="s">
        <v>14</v>
      </c>
      <c r="G2391" s="0" t="s">
        <v>62</v>
      </c>
      <c r="H2391" s="5">
        <v>4182.000000</v>
      </c>
    </row>
    <row r="2392" spans="1:9">
      <c r="A2392" s="22" t="str">
        <f>HYPERLINK("https://app.vivvix.com/360/KMI/IntelliDrive/ApplUI/Pages/CreativePages/CustomReportCreativeDetail.aspx?App=23&amp;ReportView=4&amp;Qid=1711245&amp;Row=2384&amp;Col=1","No Title Assigned - #587195530")</f>
        <v/>
      </c>
      <c r="B2392" s="0" t="s">
        <v>3518</v>
      </c>
      <c r="C2392" s="0" t="s">
        <v>327</v>
      </c>
      <c r="D2392" s="0" t="s">
        <v>327</v>
      </c>
      <c r="E2392" s="0" t="s">
        <v>13</v>
      </c>
      <c r="F2392" s="0" t="s">
        <v>14</v>
      </c>
      <c r="G2392" s="0" t="s">
        <v>62</v>
      </c>
      <c r="H2392" s="5">
        <v>65121.000000</v>
      </c>
    </row>
    <row r="2393" spans="1:9">
      <c r="A2393" s="22" t="str">
        <f>HYPERLINK("https://app.vivvix.com/360/KMI/IntelliDrive/ApplUI/Pages/CreativePages/CustomReportCreativeDetail.aspx?App=23&amp;ReportView=4&amp;Qid=1711245&amp;Row=2385&amp;Col=1","No Title Assigned - #587197252")</f>
        <v/>
      </c>
      <c r="B2393" s="0" t="s">
        <v>3519</v>
      </c>
      <c r="C2393" s="0" t="s">
        <v>327</v>
      </c>
      <c r="D2393" s="0" t="s">
        <v>327</v>
      </c>
      <c r="E2393" s="0" t="s">
        <v>13</v>
      </c>
      <c r="F2393" s="0" t="s">
        <v>14</v>
      </c>
      <c r="G2393" s="0" t="s">
        <v>62</v>
      </c>
      <c r="H2393" s="5">
        <v>83354.000000</v>
      </c>
    </row>
    <row r="2394" spans="1:9">
      <c r="A2394" s="22" t="str">
        <f>HYPERLINK("https://app.vivvix.com/360/KMI/IntelliDrive/ApplUI/Pages/CreativePages/CustomReportCreativeDetail.aspx?App=23&amp;ReportView=4&amp;Qid=1711245&amp;Row=2386&amp;Col=1","No Title Assigned - #587197289")</f>
        <v/>
      </c>
      <c r="B2394" s="0" t="s">
        <v>3520</v>
      </c>
      <c r="C2394" s="0" t="s">
        <v>327</v>
      </c>
      <c r="D2394" s="0" t="s">
        <v>327</v>
      </c>
      <c r="E2394" s="0" t="s">
        <v>13</v>
      </c>
      <c r="F2394" s="0" t="s">
        <v>14</v>
      </c>
      <c r="G2394" s="0" t="s">
        <v>62</v>
      </c>
      <c r="H2394" s="5">
        <v>7935.000000</v>
      </c>
    </row>
    <row r="2395" spans="1:9">
      <c r="A2395" s="22" t="str">
        <f>HYPERLINK("https://app.vivvix.com/360/KMI/IntelliDrive/ApplUI/Pages/CreativePages/CustomReportCreativeDetail.aspx?App=23&amp;ReportView=4&amp;Qid=1711245&amp;Row=2387&amp;Col=1","No Title Assigned - #587208468")</f>
        <v/>
      </c>
      <c r="B2395" s="0" t="s">
        <v>3521</v>
      </c>
      <c r="C2395" s="0" t="s">
        <v>327</v>
      </c>
      <c r="D2395" s="0" t="s">
        <v>327</v>
      </c>
      <c r="E2395" s="0" t="s">
        <v>13</v>
      </c>
      <c r="F2395" s="0" t="s">
        <v>14</v>
      </c>
      <c r="G2395" s="0" t="s">
        <v>62</v>
      </c>
      <c r="H2395" s="5">
        <v>7776.000000</v>
      </c>
    </row>
    <row r="2396" spans="1:9">
      <c r="A2396" s="22" t="str">
        <f>HYPERLINK("https://app.vivvix.com/360/KMI/IntelliDrive/ApplUI/Pages/CreativePages/CustomReportCreativeDetail.aspx?App=23&amp;ReportView=4&amp;Qid=1711245&amp;Row=2388&amp;Col=1","No Title Assigned - #587208531")</f>
        <v/>
      </c>
      <c r="B2396" s="0" t="s">
        <v>3522</v>
      </c>
      <c r="C2396" s="0" t="s">
        <v>327</v>
      </c>
      <c r="D2396" s="0" t="s">
        <v>327</v>
      </c>
      <c r="E2396" s="0" t="s">
        <v>13</v>
      </c>
      <c r="F2396" s="0" t="s">
        <v>14</v>
      </c>
      <c r="G2396" s="0" t="s">
        <v>62</v>
      </c>
      <c r="H2396" s="5">
        <v>1942.000000</v>
      </c>
    </row>
    <row r="2397" spans="1:9">
      <c r="A2397" s="22" t="str">
        <f>HYPERLINK("https://app.vivvix.com/360/KMI/IntelliDrive/ApplUI/Pages/CreativePages/CustomReportCreativeDetail.aspx?App=23&amp;ReportView=4&amp;Qid=1711245&amp;Row=2389&amp;Col=1","No Title Assigned - #587212255")</f>
        <v/>
      </c>
      <c r="B2397" s="0" t="s">
        <v>3523</v>
      </c>
      <c r="C2397" s="0" t="s">
        <v>327</v>
      </c>
      <c r="D2397" s="0" t="s">
        <v>327</v>
      </c>
      <c r="E2397" s="0" t="s">
        <v>13</v>
      </c>
      <c r="F2397" s="0" t="s">
        <v>14</v>
      </c>
      <c r="G2397" s="0" t="s">
        <v>62</v>
      </c>
      <c r="H2397" s="5">
        <v>25901.000000</v>
      </c>
    </row>
    <row r="2398" spans="1:9">
      <c r="A2398" s="22" t="str">
        <f>HYPERLINK("https://app.vivvix.com/360/KMI/IntelliDrive/ApplUI/Pages/CreativePages/CustomReportCreativeDetail.aspx?App=23&amp;ReportView=4&amp;Qid=1711245&amp;Row=2390&amp;Col=1","No Title Assigned - #587212291")</f>
        <v/>
      </c>
      <c r="B2398" s="0" t="s">
        <v>3524</v>
      </c>
      <c r="C2398" s="0" t="s">
        <v>327</v>
      </c>
      <c r="D2398" s="0" t="s">
        <v>327</v>
      </c>
      <c r="E2398" s="0" t="s">
        <v>13</v>
      </c>
      <c r="F2398" s="0" t="s">
        <v>14</v>
      </c>
      <c r="G2398" s="0" t="s">
        <v>62</v>
      </c>
      <c r="H2398" s="5">
        <v>15848.000000</v>
      </c>
    </row>
    <row r="2399" spans="1:9">
      <c r="A2399" s="22" t="str">
        <f>HYPERLINK("https://app.vivvix.com/360/KMI/IntelliDrive/ApplUI/Pages/CreativePages/CustomReportCreativeDetail.aspx?App=23&amp;ReportView=4&amp;Qid=1711245&amp;Row=2391&amp;Col=1","No Title Assigned - #587216403")</f>
        <v/>
      </c>
      <c r="B2399" s="0" t="s">
        <v>3525</v>
      </c>
      <c r="C2399" s="0" t="s">
        <v>327</v>
      </c>
      <c r="D2399" s="0" t="s">
        <v>327</v>
      </c>
      <c r="E2399" s="0" t="s">
        <v>13</v>
      </c>
      <c r="F2399" s="0" t="s">
        <v>14</v>
      </c>
      <c r="G2399" s="0" t="s">
        <v>62</v>
      </c>
      <c r="H2399" s="5">
        <v>1942.000000</v>
      </c>
    </row>
    <row r="2400" spans="1:9">
      <c r="A2400" s="22" t="str">
        <f>HYPERLINK("https://app.vivvix.com/360/KMI/IntelliDrive/ApplUI/Pages/CreativePages/CustomReportCreativeDetail.aspx?App=23&amp;ReportView=4&amp;Qid=1711245&amp;Row=2392&amp;Col=1","No Title Assigned - #587219091")</f>
        <v/>
      </c>
      <c r="B2400" s="0" t="s">
        <v>3526</v>
      </c>
      <c r="C2400" s="0" t="s">
        <v>327</v>
      </c>
      <c r="D2400" s="0" t="s">
        <v>327</v>
      </c>
      <c r="E2400" s="0" t="s">
        <v>13</v>
      </c>
      <c r="F2400" s="0" t="s">
        <v>14</v>
      </c>
      <c r="G2400" s="0" t="s">
        <v>62</v>
      </c>
      <c r="H2400" s="5">
        <v>5281.000000</v>
      </c>
    </row>
    <row r="2401" spans="1:9">
      <c r="A2401" s="22" t="str">
        <f>HYPERLINK("https://app.vivvix.com/360/KMI/IntelliDrive/ApplUI/Pages/CreativePages/CustomReportCreativeDetail.aspx?App=23&amp;ReportView=4&amp;Qid=1711245&amp;Row=2393&amp;Col=1","No Title Assigned - #587219178")</f>
        <v/>
      </c>
      <c r="B2401" s="0" t="s">
        <v>3527</v>
      </c>
      <c r="C2401" s="0" t="s">
        <v>327</v>
      </c>
      <c r="D2401" s="0" t="s">
        <v>327</v>
      </c>
      <c r="E2401" s="0" t="s">
        <v>13</v>
      </c>
      <c r="F2401" s="0" t="s">
        <v>14</v>
      </c>
      <c r="G2401" s="0" t="s">
        <v>62</v>
      </c>
      <c r="H2401" s="5">
        <v>10430.000000</v>
      </c>
    </row>
    <row r="2402" spans="1:9">
      <c r="A2402" s="22" t="str">
        <f>HYPERLINK("https://app.vivvix.com/360/KMI/IntelliDrive/ApplUI/Pages/CreativePages/CustomReportCreativeDetail.aspx?App=23&amp;ReportView=4&amp;Qid=1711245&amp;Row=2394&amp;Col=1","No Title Assigned - #587227607")</f>
        <v/>
      </c>
      <c r="B2402" s="0" t="s">
        <v>3528</v>
      </c>
      <c r="C2402" s="0" t="s">
        <v>327</v>
      </c>
      <c r="D2402" s="0" t="s">
        <v>327</v>
      </c>
      <c r="E2402" s="0" t="s">
        <v>13</v>
      </c>
      <c r="F2402" s="0" t="s">
        <v>14</v>
      </c>
      <c r="G2402" s="0" t="s">
        <v>62</v>
      </c>
      <c r="H2402" s="5">
        <v>20860.000000</v>
      </c>
    </row>
    <row r="2403" spans="1:9">
      <c r="A2403" s="22" t="str">
        <f>HYPERLINK("https://app.vivvix.com/360/KMI/IntelliDrive/ApplUI/Pages/CreativePages/CustomReportCreativeDetail.aspx?App=23&amp;ReportView=4&amp;Qid=1711245&amp;Row=2395&amp;Col=1","Official Vehicle Of US Open")</f>
        <v/>
      </c>
      <c r="B2403" s="0" t="s">
        <v>3529</v>
      </c>
      <c r="C2403" s="0" t="s">
        <v>3530</v>
      </c>
      <c r="D2403" s="0" t="s">
        <v>3530</v>
      </c>
      <c r="E2403" s="0" t="s">
        <v>13</v>
      </c>
      <c r="F2403" s="0" t="s">
        <v>14</v>
      </c>
      <c r="G2403" s="0" t="s">
        <v>15</v>
      </c>
      <c r="H2403" s="5">
        <v>62335.000000</v>
      </c>
    </row>
    <row r="2404" spans="1:9">
      <c r="A2404" s="22" t="str">
        <f>HYPERLINK("https://app.vivvix.com/360/KMI/IntelliDrive/ApplUI/Pages/CreativePages/CustomReportCreativeDetail.aspx?App=23&amp;ReportView=4&amp;Qid=1711245&amp;Row=2396&amp;Col=1","OVER 300 MILE RANGE")</f>
        <v/>
      </c>
      <c r="B2404" s="0" t="s">
        <v>3531</v>
      </c>
      <c r="E2404" s="0" t="s">
        <v>13</v>
      </c>
      <c r="F2404" s="0" t="s">
        <v>14</v>
      </c>
      <c r="G2404" s="0" t="s">
        <v>15</v>
      </c>
      <c r="H2404" s="5">
        <v>10688.990000</v>
      </c>
    </row>
    <row r="2405" spans="1:9">
      <c r="A2405" s="22" t="str">
        <f>HYPERLINK("https://app.vivvix.com/360/KMI/IntelliDrive/ApplUI/Pages/CreativePages/CustomReportCreativeDetail.aspx?App=23&amp;ReportView=4&amp;Qid=1711245&amp;Row=2397&amp;Col=1","OVER 300 MILE RANGE")</f>
        <v/>
      </c>
      <c r="B2405" s="0" t="s">
        <v>3531</v>
      </c>
      <c r="E2405" s="0" t="s">
        <v>13</v>
      </c>
      <c r="F2405" s="0" t="s">
        <v>14</v>
      </c>
      <c r="G2405" s="0" t="s">
        <v>15</v>
      </c>
      <c r="H2405" s="5">
        <v>328.608000</v>
      </c>
    </row>
    <row r="2406" spans="1:9">
      <c r="A2406" s="22" t="str">
        <f>HYPERLINK("https://app.vivvix.com/360/KMI/IntelliDrive/ApplUI/Pages/CreativePages/CustomReportCreativeDetail.aspx?App=23&amp;ReportView=4&amp;Qid=1711245&amp;Row=2398&amp;Col=1","Over 300 Mile Range")</f>
        <v/>
      </c>
      <c r="B2406" s="0" t="s">
        <v>3532</v>
      </c>
      <c r="C2406" s="0" t="s">
        <v>3533</v>
      </c>
      <c r="D2406" s="0" t="s">
        <v>3533</v>
      </c>
      <c r="E2406" s="0" t="s">
        <v>13</v>
      </c>
      <c r="F2406" s="0" t="s">
        <v>14</v>
      </c>
      <c r="G2406" s="0" t="s">
        <v>15</v>
      </c>
      <c r="H2406" s="5">
        <v>27943.000000</v>
      </c>
    </row>
    <row r="2407" spans="1:9">
      <c r="A2407" s="22" t="str">
        <f>HYPERLINK("https://app.vivvix.com/360/KMI/IntelliDrive/ApplUI/Pages/CreativePages/CustomReportCreativeDetail.aspx?App=23&amp;ReportView=4&amp;Qid=1711245&amp;Row=2399&amp;Col=1","OVER 300 MILE RANGE EXPERIENCE YOURS TODAY")</f>
        <v/>
      </c>
      <c r="B2407" s="0" t="s">
        <v>3534</v>
      </c>
      <c r="E2407" s="0" t="s">
        <v>13</v>
      </c>
      <c r="F2407" s="0" t="s">
        <v>14</v>
      </c>
      <c r="G2407" s="0" t="s">
        <v>15</v>
      </c>
      <c r="H2407" s="5">
        <v>155684.987000</v>
      </c>
    </row>
    <row r="2408" spans="1:9">
      <c r="A2408" s="22" t="str">
        <f>HYPERLINK("https://app.vivvix.com/360/KMI/IntelliDrive/ApplUI/Pages/CreativePages/CustomReportCreativeDetail.aspx?App=23&amp;ReportView=4&amp;Qid=1711245&amp;Row=2400&amp;Col=1","oVER 300 MILE RANGE INGRID SILVA")</f>
        <v/>
      </c>
      <c r="B2408" s="0" t="s">
        <v>3535</v>
      </c>
      <c r="E2408" s="0" t="s">
        <v>13</v>
      </c>
      <c r="F2408" s="0" t="s">
        <v>14</v>
      </c>
      <c r="G2408" s="0" t="s">
        <v>15</v>
      </c>
      <c r="H2408" s="5">
        <v>8863.714000</v>
      </c>
    </row>
    <row r="2409" spans="1:9">
      <c r="A2409" s="22" t="str">
        <f>HYPERLINK("https://app.vivvix.com/360/KMI/IntelliDrive/ApplUI/Pages/CreativePages/CustomReportCreativeDetail.aspx?App=23&amp;ReportView=4&amp;Qid=1711245&amp;Row=2401&amp;Col=1","oVER 300 MILE RANGE INGRID SILVA")</f>
        <v/>
      </c>
      <c r="B2409" s="0" t="s">
        <v>3535</v>
      </c>
      <c r="C2409" s="0" t="s">
        <v>3536</v>
      </c>
      <c r="D2409" s="0" t="s">
        <v>3536</v>
      </c>
      <c r="E2409" s="0" t="s">
        <v>13</v>
      </c>
      <c r="F2409" s="0" t="s">
        <v>14</v>
      </c>
      <c r="G2409" s="0" t="s">
        <v>15</v>
      </c>
      <c r="H2409" s="5">
        <v>10449.373000</v>
      </c>
    </row>
    <row r="2410" spans="1:9">
      <c r="A2410" s="22" t="str">
        <f>HYPERLINK("https://app.vivvix.com/360/KMI/IntelliDrive/ApplUI/Pages/CreativePages/CustomReportCreativeDetail.aspx?App=23&amp;ReportView=4&amp;Qid=1711245&amp;Row=2402&amp;Col=1","OVER 300 MILE RANGE.")</f>
        <v/>
      </c>
      <c r="B2410" s="0" t="s">
        <v>3537</v>
      </c>
      <c r="C2410" s="0" t="s">
        <v>3538</v>
      </c>
      <c r="D2410" s="0" t="s">
        <v>184</v>
      </c>
      <c r="E2410" s="0" t="s">
        <v>13</v>
      </c>
      <c r="F2410" s="0" t="s">
        <v>14</v>
      </c>
      <c r="G2410" s="0" t="s">
        <v>15</v>
      </c>
      <c r="H2410" s="5">
        <v>37604.328000</v>
      </c>
    </row>
    <row r="2411" spans="1:9">
      <c r="A2411" s="22" t="str">
        <f>HYPERLINK("https://app.vivvix.com/360/KMI/IntelliDrive/ApplUI/Pages/CreativePages/CustomReportCreativeDetail.aspx?App=23&amp;ReportView=4&amp;Qid=1711245&amp;Row=2403&amp;Col=1","Premium Luxury Deal")</f>
        <v/>
      </c>
      <c r="B2411" s="0" t="s">
        <v>3539</v>
      </c>
      <c r="C2411" s="0" t="s">
        <v>3540</v>
      </c>
      <c r="D2411" s="0" t="s">
        <v>3540</v>
      </c>
      <c r="E2411" s="0" t="s">
        <v>13</v>
      </c>
      <c r="F2411" s="0" t="s">
        <v>28</v>
      </c>
      <c r="G2411" s="0" t="s">
        <v>29</v>
      </c>
      <c r="H2411" s="5">
        <v>30223.000000</v>
      </c>
    </row>
    <row r="2412" spans="1:9">
      <c r="A2412" s="22" t="str">
        <f>HYPERLINK("https://app.vivvix.com/360/KMI/IntelliDrive/ApplUI/Pages/CreativePages/CustomReportCreativeDetail.aspx?App=23&amp;ReportView=4&amp;Qid=1711245&amp;Row=2404&amp;Col=1","Premium Luxury Deal")</f>
        <v/>
      </c>
      <c r="B2412" s="0" t="s">
        <v>3541</v>
      </c>
      <c r="C2412" s="0" t="s">
        <v>3540</v>
      </c>
      <c r="D2412" s="0" t="s">
        <v>3540</v>
      </c>
      <c r="E2412" s="0" t="s">
        <v>13</v>
      </c>
      <c r="F2412" s="0" t="s">
        <v>28</v>
      </c>
      <c r="G2412" s="0" t="s">
        <v>29</v>
      </c>
      <c r="H2412" s="5">
        <v>16057.000000</v>
      </c>
    </row>
    <row r="2413" spans="1:9">
      <c r="A2413" s="22" t="str">
        <f>HYPERLINK("https://app.vivvix.com/360/KMI/IntelliDrive/ApplUI/Pages/CreativePages/CustomReportCreativeDetail.aspx?App=23&amp;ReportView=4&amp;Qid=1711245&amp;Row=2405&amp;Col=1","privacy statement")</f>
        <v/>
      </c>
      <c r="B2413" s="0" t="s">
        <v>3542</v>
      </c>
      <c r="E2413" s="0" t="s">
        <v>13</v>
      </c>
      <c r="F2413" s="0" t="s">
        <v>3543</v>
      </c>
      <c r="G2413" s="0" t="s">
        <v>3544</v>
      </c>
      <c r="H2413" s="5">
        <v>186093.411000</v>
      </c>
    </row>
    <row r="2414" spans="1:9">
      <c r="A2414" s="22" t="str">
        <f>HYPERLINK("https://app.vivvix.com/360/KMI/IntelliDrive/ApplUI/Pages/CreativePages/CustomReportCreativeDetail.aspx?App=23&amp;ReportView=4&amp;Qid=1711245&amp;Row=2406&amp;Col=1","privacy statement")</f>
        <v/>
      </c>
      <c r="B2414" s="0" t="s">
        <v>3542</v>
      </c>
      <c r="E2414" s="0" t="s">
        <v>13</v>
      </c>
      <c r="F2414" s="0" t="s">
        <v>3543</v>
      </c>
      <c r="G2414" s="0" t="s">
        <v>3544</v>
      </c>
      <c r="H2414" s="5">
        <v>10927.054000</v>
      </c>
    </row>
    <row r="2415" spans="1:9">
      <c r="A2415" s="22" t="str">
        <f>HYPERLINK("https://app.vivvix.com/360/KMI/IntelliDrive/ApplUI/Pages/CreativePages/CustomReportCreativeDetail.aspx?App=23&amp;ReportView=4&amp;Qid=1711245&amp;Row=2407&amp;Col=1","product display 347")</f>
        <v/>
      </c>
      <c r="B2415" s="0" t="s">
        <v>3545</v>
      </c>
      <c r="E2415" s="0" t="s">
        <v>13</v>
      </c>
      <c r="F2415" s="0" t="s">
        <v>13</v>
      </c>
      <c r="G2415" s="0" t="s">
        <v>35</v>
      </c>
      <c r="H2415" s="5">
        <v>63363.000000</v>
      </c>
    </row>
    <row r="2416" spans="1:9">
      <c r="A2416" s="22" t="str">
        <f>HYPERLINK("https://app.vivvix.com/360/KMI/IntelliDrive/ApplUI/Pages/CreativePages/CustomReportCreativeDetail.aspx?App=23&amp;ReportView=4&amp;Qid=1711245&amp;Row=2408&amp;Col=1","product display 347")</f>
        <v/>
      </c>
      <c r="B2416" s="0" t="s">
        <v>3545</v>
      </c>
      <c r="E2416" s="0" t="s">
        <v>13</v>
      </c>
      <c r="F2416" s="0" t="s">
        <v>13</v>
      </c>
      <c r="G2416" s="0" t="s">
        <v>35</v>
      </c>
      <c r="H2416" s="5">
        <v>24166.000000</v>
      </c>
    </row>
    <row r="2417" spans="1:9">
      <c r="A2417" s="22" t="str">
        <f>HYPERLINK("https://app.vivvix.com/360/KMI/IntelliDrive/ApplUI/Pages/CreativePages/CustomReportCreativeDetail.aspx?App=23&amp;ReportView=4&amp;Qid=1711245&amp;Row=2409&amp;Col=1","pURCHASE ALLOWANCE 30 SEC")</f>
        <v/>
      </c>
      <c r="B2417" s="0" t="s">
        <v>3546</v>
      </c>
      <c r="C2417" s="0" t="s">
        <v>3547</v>
      </c>
      <c r="D2417" s="0" t="s">
        <v>3547</v>
      </c>
      <c r="E2417" s="0" t="s">
        <v>13</v>
      </c>
      <c r="F2417" s="0" t="s">
        <v>14</v>
      </c>
      <c r="G2417" s="0" t="s">
        <v>15</v>
      </c>
      <c r="H2417" s="5">
        <v>828.172000</v>
      </c>
    </row>
    <row r="2418" spans="1:9">
      <c r="A2418" s="22" t="str">
        <f>HYPERLINK("https://app.vivvix.com/360/KMI/IntelliDrive/ApplUI/Pages/CreativePages/CustomReportCreativeDetail.aspx?App=23&amp;ReportView=4&amp;Qid=1711245&amp;Row=2410&amp;Col=1","Range and Super Cruise")</f>
        <v/>
      </c>
      <c r="B2418" s="0" t="s">
        <v>3548</v>
      </c>
      <c r="C2418" s="0" t="s">
        <v>194</v>
      </c>
      <c r="D2418" s="0" t="s">
        <v>194</v>
      </c>
      <c r="E2418" s="0" t="s">
        <v>13</v>
      </c>
      <c r="F2418" s="0" t="s">
        <v>14</v>
      </c>
      <c r="G2418" s="0" t="s">
        <v>15</v>
      </c>
      <c r="H2418" s="5">
        <v>289772.000000</v>
      </c>
    </row>
    <row r="2419" spans="1:9">
      <c r="A2419" s="22" t="str">
        <f>HYPERLINK("https://app.vivvix.com/360/KMI/IntelliDrive/ApplUI/Pages/CreativePages/CustomReportCreativeDetail.aspx?App=23&amp;ReportView=4&amp;Qid=1711245&amp;Row=2411&amp;Col=1","Range and Super Cruise")</f>
        <v/>
      </c>
      <c r="B2419" s="0" t="s">
        <v>3548</v>
      </c>
      <c r="C2419" s="0" t="s">
        <v>194</v>
      </c>
      <c r="D2419" s="0" t="s">
        <v>194</v>
      </c>
      <c r="E2419" s="0" t="s">
        <v>13</v>
      </c>
      <c r="F2419" s="0" t="s">
        <v>14</v>
      </c>
      <c r="G2419" s="0" t="s">
        <v>15</v>
      </c>
      <c r="H2419" s="5">
        <v>1718644.000000</v>
      </c>
    </row>
    <row r="2420" spans="1:9">
      <c r="A2420" s="22" t="str">
        <f>HYPERLINK("https://app.vivvix.com/360/KMI/IntelliDrive/ApplUI/Pages/CreativePages/CustomReportCreativeDetail.aspx?App=23&amp;ReportView=4&amp;Qid=1711245&amp;Row=2412&amp;Col=1","Range and Super Cruise")</f>
        <v/>
      </c>
      <c r="B2420" s="0" t="s">
        <v>3548</v>
      </c>
      <c r="C2420" s="0" t="s">
        <v>194</v>
      </c>
      <c r="D2420" s="0" t="s">
        <v>194</v>
      </c>
      <c r="E2420" s="0" t="s">
        <v>13</v>
      </c>
      <c r="F2420" s="0" t="s">
        <v>14</v>
      </c>
      <c r="G2420" s="0" t="s">
        <v>15</v>
      </c>
      <c r="H2420" s="5">
        <v>3452303.000000</v>
      </c>
    </row>
    <row r="2421" spans="1:9">
      <c r="A2421" s="22" t="str">
        <f>HYPERLINK("https://app.vivvix.com/360/KMI/IntelliDrive/ApplUI/Pages/CreativePages/CustomReportCreativeDetail.aspx?App=23&amp;ReportView=4&amp;Qid=1711245&amp;Row=2413&amp;Col=1","Receive Up To 10,000 My Cadillac Rwards Points")</f>
        <v/>
      </c>
      <c r="B2421" s="0" t="s">
        <v>3549</v>
      </c>
      <c r="C2421" s="0" t="s">
        <v>3550</v>
      </c>
      <c r="D2421" s="0" t="s">
        <v>3550</v>
      </c>
      <c r="E2421" s="0" t="s">
        <v>13</v>
      </c>
      <c r="F2421" s="0" t="s">
        <v>13</v>
      </c>
      <c r="G2421" s="0" t="s">
        <v>78</v>
      </c>
      <c r="H2421" s="5">
        <v>4102.722000</v>
      </c>
    </row>
    <row r="2422" spans="1:9">
      <c r="A2422" s="22" t="str">
        <f>HYPERLINK("https://app.vivvix.com/360/KMI/IntelliDrive/ApplUI/Pages/CreativePages/CustomReportCreativeDetail.aspx?App=23&amp;ReportView=4&amp;Qid=1711245&amp;Row=2414&amp;Col=1","Receive Up To 10,000 My Cadillac Rwards Points")</f>
        <v/>
      </c>
      <c r="B2422" s="0" t="s">
        <v>3549</v>
      </c>
      <c r="E2422" s="0" t="s">
        <v>13</v>
      </c>
      <c r="F2422" s="0" t="s">
        <v>13</v>
      </c>
      <c r="G2422" s="0" t="s">
        <v>78</v>
      </c>
      <c r="H2422" s="5">
        <v>14770.163000</v>
      </c>
    </row>
    <row r="2423" spans="1:9">
      <c r="A2423" s="22" t="str">
        <f>HYPERLINK("https://app.vivvix.com/360/KMI/IntelliDrive/ApplUI/Pages/CreativePages/CustomReportCreativeDetail.aspx?App=23&amp;ReportView=4&amp;Qid=1711245&amp;Row=2415&amp;Col=1","Redefining the Originality and Passion")</f>
        <v/>
      </c>
      <c r="B2423" s="0" t="s">
        <v>3551</v>
      </c>
      <c r="C2423" s="0" t="s">
        <v>3552</v>
      </c>
      <c r="D2423" s="0" t="s">
        <v>3552</v>
      </c>
      <c r="E2423" s="0" t="s">
        <v>13</v>
      </c>
      <c r="F2423" s="0" t="s">
        <v>13</v>
      </c>
      <c r="G2423" s="0" t="s">
        <v>3553</v>
      </c>
      <c r="H2423" s="5">
        <v>9.000000</v>
      </c>
    </row>
    <row r="2424" spans="1:9">
      <c r="A2424" s="22" t="str">
        <f>HYPERLINK("https://app.vivvix.com/360/KMI/IntelliDrive/ApplUI/Pages/CreativePages/CustomReportCreativeDetail.aspx?App=23&amp;ReportView=4&amp;Qid=1711245&amp;Row=2416&amp;Col=1","Season's Best Sales Event")</f>
        <v/>
      </c>
      <c r="B2424" s="0" t="s">
        <v>3554</v>
      </c>
      <c r="C2424" s="0" t="s">
        <v>3555</v>
      </c>
      <c r="D2424" s="0" t="s">
        <v>3555</v>
      </c>
      <c r="E2424" s="0" t="s">
        <v>13</v>
      </c>
      <c r="F2424" s="0" t="s">
        <v>14</v>
      </c>
      <c r="G2424" s="0" t="s">
        <v>62</v>
      </c>
      <c r="H2424" s="5">
        <v>7783.000000</v>
      </c>
    </row>
    <row r="2425" spans="1:9">
      <c r="A2425" s="22" t="str">
        <f>HYPERLINK("https://app.vivvix.com/360/KMI/IntelliDrive/ApplUI/Pages/CreativePages/CustomReportCreativeDetail.aspx?App=23&amp;ReportView=4&amp;Qid=1711245&amp;Row=2417&amp;Col=1","Season's Best Sales Event")</f>
        <v/>
      </c>
      <c r="B2425" s="0" t="s">
        <v>3554</v>
      </c>
      <c r="C2425" s="0" t="s">
        <v>3555</v>
      </c>
      <c r="D2425" s="0" t="s">
        <v>3555</v>
      </c>
      <c r="E2425" s="0" t="s">
        <v>13</v>
      </c>
      <c r="F2425" s="0" t="s">
        <v>14</v>
      </c>
      <c r="G2425" s="0" t="s">
        <v>62</v>
      </c>
      <c r="H2425" s="5">
        <v>70105.000000</v>
      </c>
    </row>
    <row r="2426" spans="1:9">
      <c r="A2426" s="22" t="str">
        <f>HYPERLINK("https://app.vivvix.com/360/KMI/IntelliDrive/ApplUI/Pages/CreativePages/CustomReportCreativeDetail.aspx?App=23&amp;ReportView=4&amp;Qid=1711245&amp;Row=2418&amp;Col=1","Season's Best Sales Event")</f>
        <v/>
      </c>
      <c r="B2426" s="0" t="s">
        <v>3556</v>
      </c>
      <c r="C2426" s="0" t="s">
        <v>3557</v>
      </c>
      <c r="D2426" s="0" t="s">
        <v>3557</v>
      </c>
      <c r="E2426" s="0" t="s">
        <v>13</v>
      </c>
      <c r="F2426" s="0" t="s">
        <v>128</v>
      </c>
      <c r="G2426" s="0" t="s">
        <v>3558</v>
      </c>
      <c r="H2426" s="5">
        <v>25309.000000</v>
      </c>
    </row>
    <row r="2427" spans="1:9">
      <c r="A2427" s="22" t="str">
        <f>HYPERLINK("https://app.vivvix.com/360/KMI/IntelliDrive/ApplUI/Pages/CreativePages/CustomReportCreativeDetail.aspx?App=23&amp;ReportView=4&amp;Qid=1711245&amp;Row=2419&amp;Col=1","Season's Best Sales Event, Get Best Deals On Car")</f>
        <v/>
      </c>
      <c r="B2427" s="0" t="s">
        <v>3559</v>
      </c>
      <c r="C2427" s="0" t="s">
        <v>3560</v>
      </c>
      <c r="D2427" s="0" t="s">
        <v>3560</v>
      </c>
      <c r="E2427" s="0" t="s">
        <v>13</v>
      </c>
      <c r="F2427" s="0" t="s">
        <v>14</v>
      </c>
      <c r="G2427" s="0" t="s">
        <v>103</v>
      </c>
      <c r="H2427" s="5">
        <v>108266.000000</v>
      </c>
    </row>
    <row r="2428" spans="1:9">
      <c r="A2428" s="22" t="str">
        <f>HYPERLINK("https://app.vivvix.com/360/KMI/IntelliDrive/ApplUI/Pages/CreativePages/CustomReportCreativeDetail.aspx?App=23&amp;ReportView=4&amp;Qid=1711245&amp;Row=2420&amp;Col=1","Season's Best Sales Event, Get Best Deals On Car")</f>
        <v/>
      </c>
      <c r="B2428" s="0" t="s">
        <v>3559</v>
      </c>
      <c r="C2428" s="0" t="s">
        <v>3560</v>
      </c>
      <c r="D2428" s="0" t="s">
        <v>3560</v>
      </c>
      <c r="E2428" s="0" t="s">
        <v>13</v>
      </c>
      <c r="F2428" s="0" t="s">
        <v>14</v>
      </c>
      <c r="G2428" s="0" t="s">
        <v>103</v>
      </c>
      <c r="H2428" s="5">
        <v>201.000000</v>
      </c>
    </row>
    <row r="2429" spans="1:9">
      <c r="A2429" s="22" t="str">
        <f>HYPERLINK("https://app.vivvix.com/360/KMI/IntelliDrive/ApplUI/Pages/CreativePages/CustomReportCreativeDetail.aspx?App=23&amp;ReportView=4&amp;Qid=1711245&amp;Row=2421&amp;Col=1","Season's Best Sales Event, Get The Best Deals")</f>
        <v/>
      </c>
      <c r="B2429" s="0" t="s">
        <v>3561</v>
      </c>
      <c r="C2429" s="0" t="s">
        <v>3562</v>
      </c>
      <c r="D2429" s="0" t="s">
        <v>3562</v>
      </c>
      <c r="E2429" s="0" t="s">
        <v>13</v>
      </c>
      <c r="F2429" s="0" t="s">
        <v>14</v>
      </c>
      <c r="G2429" s="0" t="s">
        <v>62</v>
      </c>
      <c r="H2429" s="5">
        <v>51215.354000</v>
      </c>
    </row>
    <row r="2430" spans="1:9">
      <c r="A2430" s="22" t="str">
        <f>HYPERLINK("https://app.vivvix.com/360/KMI/IntelliDrive/ApplUI/Pages/CreativePages/CustomReportCreativeDetail.aspx?App=23&amp;ReportView=4&amp;Qid=1711245&amp;Row=2422&amp;Col=1","Season's Best Sales Event, Get The Best Deals")</f>
        <v/>
      </c>
      <c r="B2430" s="0" t="s">
        <v>3563</v>
      </c>
      <c r="C2430" s="0" t="s">
        <v>3564</v>
      </c>
      <c r="D2430" s="0" t="s">
        <v>3564</v>
      </c>
      <c r="E2430" s="0" t="s">
        <v>13</v>
      </c>
      <c r="F2430" s="0" t="s">
        <v>14</v>
      </c>
      <c r="G2430" s="0" t="s">
        <v>62</v>
      </c>
      <c r="H2430" s="5">
        <v>9086.622000</v>
      </c>
    </row>
    <row r="2431" spans="1:9">
      <c r="A2431" s="22" t="str">
        <f>HYPERLINK("https://app.vivvix.com/360/KMI/IntelliDrive/ApplUI/Pages/CreativePages/CustomReportCreativeDetail.aspx?App=23&amp;ReportView=4&amp;Qid=1711245&amp;Row=2423&amp;Col=1","Season's Best Sales Event, Get The Best Deals")</f>
        <v/>
      </c>
      <c r="B2431" s="0" t="s">
        <v>3565</v>
      </c>
      <c r="C2431" s="0" t="s">
        <v>3566</v>
      </c>
      <c r="D2431" s="0" t="s">
        <v>3566</v>
      </c>
      <c r="E2431" s="0" t="s">
        <v>13</v>
      </c>
      <c r="F2431" s="0" t="s">
        <v>330</v>
      </c>
      <c r="G2431" s="0" t="s">
        <v>331</v>
      </c>
      <c r="H2431" s="5">
        <v>45334.000000</v>
      </c>
    </row>
    <row r="2432" spans="1:9">
      <c r="A2432" s="22" t="str">
        <f>HYPERLINK("https://app.vivvix.com/360/KMI/IntelliDrive/ApplUI/Pages/CreativePages/CustomReportCreativeDetail.aspx?App=23&amp;ReportView=4&amp;Qid=1711245&amp;Row=2424&amp;Col=1","Seasons Best Sales Event, Explore Offers")</f>
        <v/>
      </c>
      <c r="B2432" s="0" t="s">
        <v>3567</v>
      </c>
      <c r="C2432" s="0" t="s">
        <v>3568</v>
      </c>
      <c r="D2432" s="0" t="s">
        <v>3568</v>
      </c>
      <c r="E2432" s="0" t="s">
        <v>13</v>
      </c>
      <c r="F2432" s="0" t="s">
        <v>330</v>
      </c>
      <c r="G2432" s="0" t="s">
        <v>331</v>
      </c>
      <c r="H2432" s="5">
        <v>31719.000000</v>
      </c>
    </row>
    <row r="2433" spans="1:9">
      <c r="A2433" s="22" t="str">
        <f>HYPERLINK("https://app.vivvix.com/360/KMI/IntelliDrive/ApplUI/Pages/CreativePages/CustomReportCreativeDetail.aspx?App=23&amp;ReportView=4&amp;Qid=1711245&amp;Row=2425&amp;Col=1","Seasons Best Sales Event, Get Best Deal")</f>
        <v/>
      </c>
      <c r="B2433" s="0" t="s">
        <v>3569</v>
      </c>
      <c r="C2433" s="0" t="s">
        <v>3570</v>
      </c>
      <c r="D2433" s="0" t="s">
        <v>3570</v>
      </c>
      <c r="E2433" s="0" t="s">
        <v>13</v>
      </c>
      <c r="F2433" s="0" t="s">
        <v>14</v>
      </c>
      <c r="G2433" s="0" t="s">
        <v>103</v>
      </c>
      <c r="H2433" s="5">
        <v>10690.881000</v>
      </c>
    </row>
    <row r="2434" spans="1:9">
      <c r="A2434" s="22" t="str">
        <f>HYPERLINK("https://app.vivvix.com/360/KMI/IntelliDrive/ApplUI/Pages/CreativePages/CustomReportCreativeDetail.aspx?App=23&amp;ReportView=4&amp;Qid=1711245&amp;Row=2426&amp;Col=1","Seasons Best Sales Event, Make Getting There")</f>
        <v/>
      </c>
      <c r="B2434" s="0" t="s">
        <v>3571</v>
      </c>
      <c r="C2434" s="0" t="s">
        <v>3572</v>
      </c>
      <c r="D2434" s="0" t="s">
        <v>3572</v>
      </c>
      <c r="E2434" s="0" t="s">
        <v>13</v>
      </c>
      <c r="F2434" s="0" t="s">
        <v>14</v>
      </c>
      <c r="G2434" s="0" t="s">
        <v>62</v>
      </c>
      <c r="H2434" s="5">
        <v>21404.000000</v>
      </c>
    </row>
    <row r="2435" spans="1:9">
      <c r="A2435" s="22" t="str">
        <f>HYPERLINK("https://app.vivvix.com/360/KMI/IntelliDrive/ApplUI/Pages/CreativePages/CustomReportCreativeDetail.aspx?App=23&amp;ReportView=4&amp;Qid=1711245&amp;Row=2427&amp;Col=1","Seasons Best Sales Event, Make Getting There")</f>
        <v/>
      </c>
      <c r="B2435" s="0" t="s">
        <v>3571</v>
      </c>
      <c r="C2435" s="0" t="s">
        <v>3572</v>
      </c>
      <c r="D2435" s="0" t="s">
        <v>3572</v>
      </c>
      <c r="E2435" s="0" t="s">
        <v>13</v>
      </c>
      <c r="F2435" s="0" t="s">
        <v>14</v>
      </c>
      <c r="G2435" s="0" t="s">
        <v>62</v>
      </c>
      <c r="H2435" s="5">
        <v>493.000000</v>
      </c>
    </row>
    <row r="2436" spans="1:9">
      <c r="A2436" s="22" t="str">
        <f>HYPERLINK("https://app.vivvix.com/360/KMI/IntelliDrive/ApplUI/Pages/CreativePages/CustomReportCreativeDetail.aspx?App=23&amp;ReportView=4&amp;Qid=1711245&amp;Row=2428&amp;Col=1","Seasons Best Sales Event, Make Getting there")</f>
        <v/>
      </c>
      <c r="B2436" s="0" t="s">
        <v>3573</v>
      </c>
      <c r="C2436" s="0" t="s">
        <v>3574</v>
      </c>
      <c r="D2436" s="0" t="s">
        <v>3574</v>
      </c>
      <c r="E2436" s="0" t="s">
        <v>13</v>
      </c>
      <c r="F2436" s="0" t="s">
        <v>14</v>
      </c>
      <c r="G2436" s="0" t="s">
        <v>62</v>
      </c>
      <c r="H2436" s="5">
        <v>1416.000000</v>
      </c>
    </row>
    <row r="2437" spans="1:9">
      <c r="A2437" s="22" t="str">
        <f>HYPERLINK("https://app.vivvix.com/360/KMI/IntelliDrive/ApplUI/Pages/CreativePages/CustomReportCreativeDetail.aspx?App=23&amp;ReportView=4&amp;Qid=1711245&amp;Row=2429&amp;Col=1","Seasons Best Sales Event, Make Getting there")</f>
        <v/>
      </c>
      <c r="B2437" s="0" t="s">
        <v>3573</v>
      </c>
      <c r="C2437" s="0" t="s">
        <v>3574</v>
      </c>
      <c r="D2437" s="0" t="s">
        <v>3574</v>
      </c>
      <c r="E2437" s="0" t="s">
        <v>13</v>
      </c>
      <c r="F2437" s="0" t="s">
        <v>14</v>
      </c>
      <c r="G2437" s="0" t="s">
        <v>62</v>
      </c>
      <c r="H2437" s="5">
        <v>32492.000000</v>
      </c>
    </row>
    <row r="2438" spans="1:9">
      <c r="A2438" s="22" t="str">
        <f>HYPERLINK("https://app.vivvix.com/360/KMI/IntelliDrive/ApplUI/Pages/CreativePages/CustomReportCreativeDetail.aspx?App=23&amp;ReportView=4&amp;Qid=1711245&amp;Row=2430&amp;Col=1","Seasons Best Sales Event, Make Getting there")</f>
        <v/>
      </c>
      <c r="B2438" s="0" t="s">
        <v>3573</v>
      </c>
      <c r="C2438" s="0" t="s">
        <v>3574</v>
      </c>
      <c r="D2438" s="0" t="s">
        <v>3574</v>
      </c>
      <c r="E2438" s="0" t="s">
        <v>13</v>
      </c>
      <c r="F2438" s="0" t="s">
        <v>14</v>
      </c>
      <c r="G2438" s="0" t="s">
        <v>62</v>
      </c>
      <c r="H2438" s="5">
        <v>3341.000000</v>
      </c>
    </row>
    <row r="2439" spans="1:9">
      <c r="A2439" s="22" t="str">
        <f>HYPERLINK("https://app.vivvix.com/360/KMI/IntelliDrive/ApplUI/Pages/CreativePages/CustomReportCreativeDetail.aspx?App=23&amp;ReportView=4&amp;Qid=1711245&amp;Row=2431&amp;Col=1","Seasons Best Sales Event, Make Getting there")</f>
        <v/>
      </c>
      <c r="B2439" s="0" t="s">
        <v>3575</v>
      </c>
      <c r="C2439" s="0" t="s">
        <v>3576</v>
      </c>
      <c r="D2439" s="0" t="s">
        <v>3576</v>
      </c>
      <c r="E2439" s="0" t="s">
        <v>13</v>
      </c>
      <c r="F2439" s="0" t="s">
        <v>14</v>
      </c>
      <c r="G2439" s="0" t="s">
        <v>62</v>
      </c>
      <c r="H2439" s="5">
        <v>3312.000000</v>
      </c>
    </row>
    <row r="2440" spans="1:9">
      <c r="A2440" s="22" t="str">
        <f>HYPERLINK("https://app.vivvix.com/360/KMI/IntelliDrive/ApplUI/Pages/CreativePages/CustomReportCreativeDetail.aspx?App=23&amp;ReportView=4&amp;Qid=1711245&amp;Row=2432&amp;Col=1","Seasons Best Sales Event, Make Getting there")</f>
        <v/>
      </c>
      <c r="B2440" s="0" t="s">
        <v>3575</v>
      </c>
      <c r="C2440" s="0" t="s">
        <v>3576</v>
      </c>
      <c r="D2440" s="0" t="s">
        <v>3576</v>
      </c>
      <c r="E2440" s="0" t="s">
        <v>13</v>
      </c>
      <c r="F2440" s="0" t="s">
        <v>14</v>
      </c>
      <c r="G2440" s="0" t="s">
        <v>62</v>
      </c>
      <c r="H2440" s="5">
        <v>2543.000000</v>
      </c>
    </row>
    <row r="2441" spans="1:9">
      <c r="A2441" s="22" t="str">
        <f>HYPERLINK("https://app.vivvix.com/360/KMI/IntelliDrive/ApplUI/Pages/CreativePages/CustomReportCreativeDetail.aspx?App=23&amp;ReportView=4&amp;Qid=1711245&amp;Row=2433&amp;Col=1","Seasons Best, Luxury One")</f>
        <v/>
      </c>
      <c r="B2441" s="0" t="s">
        <v>3577</v>
      </c>
      <c r="C2441" s="0" t="s">
        <v>3578</v>
      </c>
      <c r="D2441" s="0" t="s">
        <v>3578</v>
      </c>
      <c r="E2441" s="0" t="s">
        <v>13</v>
      </c>
      <c r="F2441" s="0" t="s">
        <v>14</v>
      </c>
      <c r="G2441" s="0" t="s">
        <v>62</v>
      </c>
      <c r="H2441" s="5">
        <v>682.000000</v>
      </c>
    </row>
    <row r="2442" spans="1:9">
      <c r="A2442" s="22" t="str">
        <f>HYPERLINK("https://app.vivvix.com/360/KMI/IntelliDrive/ApplUI/Pages/CreativePages/CustomReportCreativeDetail.aspx?App=23&amp;ReportView=4&amp;Qid=1711245&amp;Row=2434&amp;Col=1","Seasons Best, Luxury One")</f>
        <v/>
      </c>
      <c r="B2442" s="0" t="s">
        <v>3577</v>
      </c>
      <c r="C2442" s="0" t="s">
        <v>3578</v>
      </c>
      <c r="D2442" s="0" t="s">
        <v>3578</v>
      </c>
      <c r="E2442" s="0" t="s">
        <v>13</v>
      </c>
      <c r="F2442" s="0" t="s">
        <v>14</v>
      </c>
      <c r="G2442" s="0" t="s">
        <v>62</v>
      </c>
      <c r="H2442" s="5">
        <v>19526.000000</v>
      </c>
    </row>
    <row r="2443" spans="1:9">
      <c r="A2443" s="22" t="str">
        <f>HYPERLINK("https://app.vivvix.com/360/KMI/IntelliDrive/ApplUI/Pages/CreativePages/CustomReportCreativeDetail.aspx?App=23&amp;ReportView=4&amp;Qid=1711245&amp;Row=2435&amp;Col=1","Shop Now")</f>
        <v/>
      </c>
      <c r="B2443" s="0" t="s">
        <v>3579</v>
      </c>
      <c r="C2443" s="0" t="s">
        <v>3580</v>
      </c>
      <c r="D2443" s="0" t="s">
        <v>3580</v>
      </c>
      <c r="E2443" s="0" t="s">
        <v>13</v>
      </c>
      <c r="F2443" s="0" t="s">
        <v>14</v>
      </c>
      <c r="G2443" s="0" t="s">
        <v>15</v>
      </c>
      <c r="H2443" s="5">
        <v>2472.572000</v>
      </c>
    </row>
    <row r="2444" spans="1:9">
      <c r="A2444" s="22" t="str">
        <f>HYPERLINK("https://app.vivvix.com/360/KMI/IntelliDrive/ApplUI/Pages/CreativePages/CustomReportCreativeDetail.aspx?App=23&amp;ReportView=4&amp;Qid=1711245&amp;Row=2436&amp;Col=1","Summer Sales Event Deals")</f>
        <v/>
      </c>
      <c r="B2444" s="0" t="s">
        <v>3581</v>
      </c>
      <c r="C2444" s="0" t="s">
        <v>3582</v>
      </c>
      <c r="D2444" s="0" t="s">
        <v>3582</v>
      </c>
      <c r="E2444" s="0" t="s">
        <v>13</v>
      </c>
      <c r="F2444" s="0" t="s">
        <v>13</v>
      </c>
      <c r="G2444" s="0" t="s">
        <v>122</v>
      </c>
      <c r="H2444" s="5">
        <v>222070.000000</v>
      </c>
    </row>
    <row r="2445" spans="1:9">
      <c r="A2445" s="22" t="str">
        <f>HYPERLINK("https://app.vivvix.com/360/KMI/IntelliDrive/ApplUI/Pages/CreativePages/CustomReportCreativeDetail.aspx?App=23&amp;ReportView=4&amp;Qid=1711245&amp;Row=2437&amp;Col=1","Summer Sales Event, Made To Be Electrifying")</f>
        <v/>
      </c>
      <c r="B2445" s="0" t="s">
        <v>3583</v>
      </c>
      <c r="C2445" s="0" t="s">
        <v>3514</v>
      </c>
      <c r="D2445" s="0" t="s">
        <v>3514</v>
      </c>
      <c r="E2445" s="0" t="s">
        <v>13</v>
      </c>
      <c r="F2445" s="0" t="s">
        <v>13</v>
      </c>
      <c r="G2445" s="0" t="s">
        <v>122</v>
      </c>
      <c r="H2445" s="5">
        <v>1544965.000000</v>
      </c>
    </row>
    <row r="2446" spans="1:9">
      <c r="A2446" s="22" t="str">
        <f>HYPERLINK("https://app.vivvix.com/360/KMI/IntelliDrive/ApplUI/Pages/CreativePages/CustomReportCreativeDetail.aspx?App=23&amp;ReportView=4&amp;Qid=1711245&amp;Row=2438&amp;Col=1","Summer Sales Event, Made To Be Electrifying")</f>
        <v/>
      </c>
      <c r="B2446" s="0" t="s">
        <v>3583</v>
      </c>
      <c r="C2446" s="0" t="s">
        <v>3514</v>
      </c>
      <c r="D2446" s="0" t="s">
        <v>3514</v>
      </c>
      <c r="E2446" s="0" t="s">
        <v>13</v>
      </c>
      <c r="F2446" s="0" t="s">
        <v>13</v>
      </c>
      <c r="G2446" s="0" t="s">
        <v>122</v>
      </c>
      <c r="H2446" s="5">
        <v>224.000000</v>
      </c>
    </row>
    <row r="2447" spans="1:9">
      <c r="A2447" s="22" t="str">
        <f>HYPERLINK("https://app.vivvix.com/360/KMI/IntelliDrive/ApplUI/Pages/CreativePages/CustomReportCreativeDetail.aspx?App=23&amp;ReportView=4&amp;Qid=1711245&amp;Row=2439&amp;Col=1","Summer Sales Event, Made To Be Electrifying")</f>
        <v/>
      </c>
      <c r="B2447" s="0" t="s">
        <v>3583</v>
      </c>
      <c r="C2447" s="0" t="s">
        <v>3514</v>
      </c>
      <c r="D2447" s="0" t="s">
        <v>3514</v>
      </c>
      <c r="E2447" s="0" t="s">
        <v>13</v>
      </c>
      <c r="F2447" s="0" t="s">
        <v>13</v>
      </c>
      <c r="G2447" s="0" t="s">
        <v>122</v>
      </c>
      <c r="H2447" s="5">
        <v>95112.000000</v>
      </c>
    </row>
    <row r="2448" spans="1:9">
      <c r="A2448" s="22" t="str">
        <f>HYPERLINK("https://app.vivvix.com/360/KMI/IntelliDrive/ApplUI/Pages/CreativePages/CustomReportCreativeDetail.aspx?App=23&amp;ReportView=4&amp;Qid=1711245&amp;Row=2440&amp;Col=1","SUPER CRUISE HANDS - FREE DRIVER -ASSISTANT...")</f>
        <v/>
      </c>
      <c r="B2448" s="0" t="s">
        <v>3584</v>
      </c>
      <c r="C2448" s="0" t="s">
        <v>3585</v>
      </c>
      <c r="D2448" s="0" t="s">
        <v>3585</v>
      </c>
      <c r="E2448" s="0" t="s">
        <v>13</v>
      </c>
      <c r="F2448" s="0" t="s">
        <v>14</v>
      </c>
      <c r="G2448" s="0" t="s">
        <v>15</v>
      </c>
      <c r="H2448" s="5">
        <v>1092.498000</v>
      </c>
    </row>
    <row r="2449" spans="1:9">
      <c r="A2449" s="22" t="str">
        <f>HYPERLINK("https://app.vivvix.com/360/KMI/IntelliDrive/ApplUI/Pages/CreativePages/CustomReportCreativeDetail.aspx?App=23&amp;ReportView=4&amp;Qid=1711245&amp;Row=2441&amp;Col=1","Super Drive")</f>
        <v/>
      </c>
      <c r="B2449" s="0" t="s">
        <v>3586</v>
      </c>
      <c r="E2449" s="0" t="s">
        <v>13</v>
      </c>
      <c r="F2449" s="0" t="s">
        <v>13</v>
      </c>
      <c r="G2449" s="0" t="s">
        <v>54</v>
      </c>
      <c r="H2449" s="5">
        <v>43346.913000</v>
      </c>
    </row>
    <row r="2450" spans="1:9">
      <c r="A2450" s="22" t="str">
        <f>HYPERLINK("https://app.vivvix.com/360/KMI/IntelliDrive/ApplUI/Pages/CreativePages/CustomReportCreativeDetail.aspx?App=23&amp;ReportView=4&amp;Qid=1711245&amp;Row=2442&amp;Col=1","TECHNOLOGY &amp; CONNECTIVITY GOOGLE BUILT-IN")</f>
        <v/>
      </c>
      <c r="B2450" s="0" t="s">
        <v>3587</v>
      </c>
      <c r="C2450" s="0" t="s">
        <v>3588</v>
      </c>
      <c r="D2450" s="0" t="s">
        <v>3588</v>
      </c>
      <c r="E2450" s="0" t="s">
        <v>13</v>
      </c>
      <c r="F2450" s="0" t="s">
        <v>13</v>
      </c>
      <c r="G2450" s="0" t="s">
        <v>576</v>
      </c>
      <c r="H2450" s="5">
        <v>2680.011000</v>
      </c>
    </row>
    <row r="2451" spans="1:9">
      <c r="A2451" s="22" t="str">
        <f>HYPERLINK("https://app.vivvix.com/360/KMI/IntelliDrive/ApplUI/Pages/CreativePages/CustomReportCreativeDetail.aspx?App=23&amp;ReportView=4&amp;Qid=1711245&amp;Row=2443&amp;Col=1","TECHNOLOGY &amp; CONNECTIVITY GOOGLE BUILT-IN")</f>
        <v/>
      </c>
      <c r="B2451" s="0" t="s">
        <v>3587</v>
      </c>
      <c r="E2451" s="0" t="s">
        <v>13</v>
      </c>
      <c r="F2451" s="0" t="s">
        <v>13</v>
      </c>
      <c r="G2451" s="0" t="s">
        <v>576</v>
      </c>
      <c r="H2451" s="5">
        <v>67496.490000</v>
      </c>
    </row>
    <row r="2452" spans="1:9">
      <c r="A2452" s="22" t="str">
        <f>HYPERLINK("https://app.vivvix.com/360/KMI/IntelliDrive/ApplUI/Pages/CreativePages/CustomReportCreativeDetail.aspx?App=23&amp;ReportView=4&amp;Qid=1711245&amp;Row=2444&amp;Col=1","THE ALL-ELECTRIC 2025")</f>
        <v/>
      </c>
      <c r="B2452" s="0" t="s">
        <v>3589</v>
      </c>
      <c r="C2452" s="0" t="s">
        <v>3590</v>
      </c>
      <c r="D2452" s="0" t="s">
        <v>3590</v>
      </c>
      <c r="E2452" s="0" t="s">
        <v>13</v>
      </c>
      <c r="F2452" s="0" t="s">
        <v>3175</v>
      </c>
      <c r="G2452" s="0" t="s">
        <v>3176</v>
      </c>
      <c r="H2452" s="5">
        <v>81022.000000</v>
      </c>
    </row>
    <row r="2453" spans="1:9">
      <c r="A2453" s="22" t="str">
        <f>HYPERLINK("https://app.vivvix.com/360/KMI/IntelliDrive/ApplUI/Pages/CreativePages/CustomReportCreativeDetail.aspx?App=23&amp;ReportView=4&amp;Qid=1711245&amp;Row=2445&amp;Col=1","THE ALL-ELECTRIC 2025")</f>
        <v/>
      </c>
      <c r="B2453" s="0" t="s">
        <v>3591</v>
      </c>
      <c r="C2453" s="0" t="s">
        <v>3590</v>
      </c>
      <c r="D2453" s="0" t="s">
        <v>3590</v>
      </c>
      <c r="E2453" s="0" t="s">
        <v>13</v>
      </c>
      <c r="F2453" s="0" t="s">
        <v>3175</v>
      </c>
      <c r="G2453" s="0" t="s">
        <v>3176</v>
      </c>
      <c r="H2453" s="5">
        <v>81022.000000</v>
      </c>
    </row>
    <row r="2454" spans="1:9">
      <c r="A2454" s="22" t="str">
        <f>HYPERLINK("https://app.vivvix.com/360/KMI/IntelliDrive/ApplUI/Pages/CreativePages/CustomReportCreativeDetail.aspx?App=23&amp;ReportView=4&amp;Qid=1711245&amp;Row=2446&amp;Col=1","the all-electric lyriq")</f>
        <v/>
      </c>
      <c r="B2454" s="0" t="s">
        <v>3592</v>
      </c>
      <c r="C2454" s="0" t="s">
        <v>3593</v>
      </c>
      <c r="D2454" s="0" t="s">
        <v>3593</v>
      </c>
      <c r="E2454" s="0" t="s">
        <v>13</v>
      </c>
      <c r="F2454" s="0" t="s">
        <v>14</v>
      </c>
      <c r="G2454" s="0" t="s">
        <v>15</v>
      </c>
      <c r="H2454" s="5">
        <v>2986.608000</v>
      </c>
    </row>
    <row r="2455" spans="1:9">
      <c r="A2455" s="22" t="str">
        <f>HYPERLINK("https://app.vivvix.com/360/KMI/IntelliDrive/ApplUI/Pages/CreativePages/CustomReportCreativeDetail.aspx?App=23&amp;ReportView=4&amp;Qid=1711245&amp;Row=2447&amp;Col=1","The Bryon Nelson Needs To Be Very Best: J. Drago")</f>
        <v/>
      </c>
      <c r="B2455" s="0" t="s">
        <v>3594</v>
      </c>
      <c r="C2455" s="0" t="s">
        <v>3595</v>
      </c>
      <c r="D2455" s="0" t="s">
        <v>3595</v>
      </c>
      <c r="E2455" s="0" t="s">
        <v>13</v>
      </c>
      <c r="F2455" s="0" t="s">
        <v>3596</v>
      </c>
      <c r="G2455" s="0" t="s">
        <v>3597</v>
      </c>
      <c r="H2455" s="5">
        <v>136196.000000</v>
      </c>
    </row>
    <row r="2456" spans="1:9">
      <c r="A2456" s="22" t="str">
        <f>HYPERLINK("https://app.vivvix.com/360/KMI/IntelliDrive/ApplUI/Pages/CreativePages/CustomReportCreativeDetail.aspx?App=23&amp;ReportView=4&amp;Qid=1711245&amp;Row=2448&amp;Col=1","The Fastest Growing EV")</f>
        <v/>
      </c>
      <c r="B2456" s="0" t="s">
        <v>3598</v>
      </c>
      <c r="C2456" s="0" t="s">
        <v>3599</v>
      </c>
      <c r="D2456" s="0" t="s">
        <v>3599</v>
      </c>
      <c r="E2456" s="0" t="s">
        <v>13</v>
      </c>
      <c r="F2456" s="0" t="s">
        <v>14</v>
      </c>
      <c r="G2456" s="0" t="s">
        <v>15</v>
      </c>
      <c r="H2456" s="5">
        <v>6639.000000</v>
      </c>
    </row>
    <row r="2457" spans="1:9">
      <c r="A2457" s="22" t="str">
        <f>HYPERLINK("https://app.vivvix.com/360/KMI/IntelliDrive/ApplUI/Pages/CreativePages/CustomReportCreativeDetail.aspx?App=23&amp;ReportView=4&amp;Qid=1711245&amp;Row=2449&amp;Col=1","The Most Reliable Electric SUV Is Here")</f>
        <v/>
      </c>
      <c r="B2457" s="0" t="s">
        <v>3600</v>
      </c>
      <c r="C2457" s="0" t="s">
        <v>3601</v>
      </c>
      <c r="D2457" s="0" t="s">
        <v>3601</v>
      </c>
      <c r="E2457" s="0" t="s">
        <v>13</v>
      </c>
      <c r="F2457" s="0" t="s">
        <v>14</v>
      </c>
      <c r="G2457" s="0" t="s">
        <v>22</v>
      </c>
      <c r="H2457" s="5">
        <v>45534.845000</v>
      </c>
    </row>
    <row r="2458" spans="1:9">
      <c r="A2458" s="22" t="str">
        <f>HYPERLINK("https://app.vivvix.com/360/KMI/IntelliDrive/ApplUI/Pages/CreativePages/CustomReportCreativeDetail.aspx?App=23&amp;ReportView=4&amp;Qid=1711245&amp;Row=2450&amp;Col=1","THE TIME IS NOW")</f>
        <v/>
      </c>
      <c r="B2458" s="0" t="s">
        <v>3602</v>
      </c>
      <c r="C2458" s="0" t="s">
        <v>3603</v>
      </c>
      <c r="D2458" s="0" t="s">
        <v>3603</v>
      </c>
      <c r="E2458" s="0" t="s">
        <v>13</v>
      </c>
      <c r="F2458" s="0" t="s">
        <v>14</v>
      </c>
      <c r="G2458" s="0" t="s">
        <v>22</v>
      </c>
      <c r="H2458" s="5">
        <v>8782.000000</v>
      </c>
    </row>
    <row r="2459" spans="1:9">
      <c r="A2459" s="22" t="str">
        <f>HYPERLINK("https://app.vivvix.com/360/KMI/IntelliDrive/ApplUI/Pages/CreativePages/CustomReportCreativeDetail.aspx?App=23&amp;ReportView=4&amp;Qid=1711245&amp;Row=2451&amp;Col=1","The Time Is Now")</f>
        <v/>
      </c>
      <c r="B2459" s="0" t="s">
        <v>3604</v>
      </c>
      <c r="C2459" s="0" t="s">
        <v>3605</v>
      </c>
      <c r="D2459" s="0" t="s">
        <v>3605</v>
      </c>
      <c r="E2459" s="0" t="s">
        <v>13</v>
      </c>
      <c r="F2459" s="0" t="s">
        <v>14</v>
      </c>
      <c r="G2459" s="0" t="s">
        <v>15</v>
      </c>
      <c r="H2459" s="5">
        <v>2678.000000</v>
      </c>
    </row>
    <row r="2460" spans="1:9">
      <c r="A2460" s="22" t="str">
        <f>HYPERLINK("https://app.vivvix.com/360/KMI/IntelliDrive/ApplUI/Pages/CreativePages/CustomReportCreativeDetail.aspx?App=23&amp;ReportView=4&amp;Qid=1711245&amp;Row=2452&amp;Col=1","THE TIME IS NOW OVER 300 MILE RANGE")</f>
        <v/>
      </c>
      <c r="B2460" s="0" t="s">
        <v>3606</v>
      </c>
      <c r="E2460" s="0" t="s">
        <v>13</v>
      </c>
      <c r="F2460" s="0" t="s">
        <v>13</v>
      </c>
      <c r="G2460" s="0" t="s">
        <v>3607</v>
      </c>
      <c r="H2460" s="5">
        <v>2834.410000</v>
      </c>
    </row>
    <row r="2461" spans="1:9">
      <c r="A2461" s="22" t="str">
        <f>HYPERLINK("https://app.vivvix.com/360/KMI/IntelliDrive/ApplUI/Pages/CreativePages/CustomReportCreativeDetail.aspx?App=23&amp;ReportView=4&amp;Qid=1711245&amp;Row=2453&amp;Col=1","the time is now, to go electric")</f>
        <v/>
      </c>
      <c r="B2461" s="0" t="s">
        <v>3608</v>
      </c>
      <c r="E2461" s="0" t="s">
        <v>13</v>
      </c>
      <c r="F2461" s="0" t="s">
        <v>14</v>
      </c>
      <c r="G2461" s="0" t="s">
        <v>15</v>
      </c>
      <c r="H2461" s="5">
        <v>14270.234000</v>
      </c>
    </row>
    <row r="2462" spans="1:9">
      <c r="A2462" s="22" t="str">
        <f>HYPERLINK("https://app.vivvix.com/360/KMI/IntelliDrive/ApplUI/Pages/CreativePages/CustomReportCreativeDetail.aspx?App=23&amp;ReportView=4&amp;Qid=1711245&amp;Row=2454&amp;Col=1","the time is now, to go electric")</f>
        <v/>
      </c>
      <c r="B2462" s="0" t="s">
        <v>3608</v>
      </c>
      <c r="C2462" s="0" t="s">
        <v>3609</v>
      </c>
      <c r="D2462" s="0" t="s">
        <v>3609</v>
      </c>
      <c r="E2462" s="0" t="s">
        <v>13</v>
      </c>
      <c r="F2462" s="0" t="s">
        <v>14</v>
      </c>
      <c r="G2462" s="0" t="s">
        <v>15</v>
      </c>
      <c r="H2462" s="5">
        <v>9.002000</v>
      </c>
    </row>
    <row r="2463" spans="1:9">
      <c r="A2463" s="22" t="str">
        <f>HYPERLINK("https://app.vivvix.com/360/KMI/IntelliDrive/ApplUI/Pages/CreativePages/CustomReportCreativeDetail.aspx?App=23&amp;ReportView=4&amp;Qid=1711245&amp;Row=2455&amp;Col=1","Time To Drive The Luxury")</f>
        <v/>
      </c>
      <c r="B2463" s="0" t="s">
        <v>3610</v>
      </c>
      <c r="C2463" s="0" t="s">
        <v>3611</v>
      </c>
      <c r="D2463" s="0" t="s">
        <v>3611</v>
      </c>
      <c r="E2463" s="0" t="s">
        <v>13</v>
      </c>
      <c r="F2463" s="0" t="s">
        <v>14</v>
      </c>
      <c r="G2463" s="0" t="s">
        <v>15</v>
      </c>
      <c r="H2463" s="5">
        <v>2178.807000</v>
      </c>
    </row>
    <row r="2464" spans="1:9">
      <c r="A2464" s="22" t="str">
        <f>HYPERLINK("https://app.vivvix.com/360/KMI/IntelliDrive/ApplUI/Pages/CreativePages/CustomReportCreativeDetail.aspx?App=23&amp;ReportView=4&amp;Qid=1711245&amp;Row=2456&amp;Col=1","TO GO ELECTRIC")</f>
        <v/>
      </c>
      <c r="B2464" s="0" t="s">
        <v>3612</v>
      </c>
      <c r="E2464" s="0" t="s">
        <v>13</v>
      </c>
      <c r="F2464" s="0" t="s">
        <v>14</v>
      </c>
      <c r="G2464" s="0" t="s">
        <v>15</v>
      </c>
      <c r="H2464" s="5">
        <v>44503.923000</v>
      </c>
    </row>
    <row r="2465" spans="1:9">
      <c r="A2465" s="22" t="str">
        <f>HYPERLINK("https://app.vivvix.com/360/KMI/IntelliDrive/ApplUI/Pages/CreativePages/CustomReportCreativeDetail.aspx?App=23&amp;ReportView=4&amp;Qid=1711245&amp;Row=2457&amp;Col=1","TO GO ELECTRIC")</f>
        <v/>
      </c>
      <c r="B2465" s="0" t="s">
        <v>3612</v>
      </c>
      <c r="E2465" s="0" t="s">
        <v>13</v>
      </c>
      <c r="F2465" s="0" t="s">
        <v>14</v>
      </c>
      <c r="G2465" s="0" t="s">
        <v>15</v>
      </c>
      <c r="H2465" s="5">
        <v>4416.435000</v>
      </c>
    </row>
    <row r="2466" spans="1:9">
      <c r="A2466" s="22" t="str">
        <f>HYPERLINK("https://app.vivvix.com/360/KMI/IntelliDrive/ApplUI/Pages/CreativePages/CustomReportCreativeDetail.aspx?App=23&amp;ReportView=4&amp;Qid=1711245&amp;Row=2458&amp;Col=1","tRE PRICE MATCH ...")</f>
        <v/>
      </c>
      <c r="B2466" s="0" t="s">
        <v>3613</v>
      </c>
      <c r="C2466" s="0" t="s">
        <v>3614</v>
      </c>
      <c r="D2466" s="0" t="s">
        <v>3614</v>
      </c>
      <c r="E2466" s="0" t="s">
        <v>13</v>
      </c>
      <c r="F2466" s="0" t="s">
        <v>13</v>
      </c>
      <c r="G2466" s="0" t="s">
        <v>78</v>
      </c>
      <c r="H2466" s="5">
        <v>24494.810000</v>
      </c>
    </row>
    <row r="2467" spans="1:9">
      <c r="A2467" s="22" t="str">
        <f>HYPERLINK("https://app.vivvix.com/360/KMI/IntelliDrive/ApplUI/Pages/CreativePages/CustomReportCreativeDetail.aspx?App=23&amp;ReportView=4&amp;Qid=1711245&amp;Row=2459&amp;Col=1","ULTRA LOW MILEAGE ....")</f>
        <v/>
      </c>
      <c r="B2467" s="0" t="s">
        <v>3615</v>
      </c>
      <c r="E2467" s="0" t="s">
        <v>13</v>
      </c>
      <c r="F2467" s="0" t="s">
        <v>14</v>
      </c>
      <c r="G2467" s="0" t="s">
        <v>22</v>
      </c>
      <c r="H2467" s="5">
        <v>958039.655000</v>
      </c>
    </row>
    <row r="2468" spans="1:9">
      <c r="A2468" s="22" t="str">
        <f>HYPERLINK("https://app.vivvix.com/360/KMI/IntelliDrive/ApplUI/Pages/CreativePages/CustomReportCreativeDetail.aspx?App=23&amp;ReportView=4&amp;Qid=1711245&amp;Row=2460&amp;Col=1","Unleash Your Desire For Adventure")</f>
        <v/>
      </c>
      <c r="B2468" s="0" t="s">
        <v>3616</v>
      </c>
      <c r="C2468" s="0" t="s">
        <v>3617</v>
      </c>
      <c r="D2468" s="0" t="s">
        <v>3617</v>
      </c>
      <c r="E2468" s="0" t="s">
        <v>13</v>
      </c>
      <c r="F2468" s="0" t="s">
        <v>13</v>
      </c>
      <c r="G2468" s="0" t="s">
        <v>35</v>
      </c>
      <c r="H2468" s="5">
        <v>4976.195000</v>
      </c>
    </row>
    <row r="2469" spans="1:9">
      <c r="A2469" s="22" t="str">
        <f>HYPERLINK("https://app.vivvix.com/360/KMI/IntelliDrive/ApplUI/Pages/CreativePages/CustomReportCreativeDetail.aspx?App=23&amp;ReportView=4&amp;Qid=1711245&amp;Row=2461&amp;Col=1","Unleash Your Desire For Adventure")</f>
        <v/>
      </c>
      <c r="B2469" s="0" t="s">
        <v>3616</v>
      </c>
      <c r="E2469" s="0" t="s">
        <v>13</v>
      </c>
      <c r="F2469" s="0" t="s">
        <v>13</v>
      </c>
      <c r="G2469" s="0" t="s">
        <v>35</v>
      </c>
      <c r="H2469" s="5">
        <v>49331.120000</v>
      </c>
    </row>
    <row r="2470" spans="1:9">
      <c r="A2470" s="22" t="str">
        <f>HYPERLINK("https://app.vivvix.com/360/KMI/IntelliDrive/ApplUI/Pages/CreativePages/CustomReportCreativeDetail.aspx?App=23&amp;ReportView=4&amp;Qid=1711245&amp;Row=2462&amp;Col=1","V. Hancock: Get The Highest Quality")</f>
        <v/>
      </c>
      <c r="B2470" s="0" t="s">
        <v>3618</v>
      </c>
      <c r="C2470" s="0" t="s">
        <v>3619</v>
      </c>
      <c r="D2470" s="0" t="s">
        <v>3619</v>
      </c>
      <c r="E2470" s="0" t="s">
        <v>13</v>
      </c>
      <c r="F2470" s="0" t="s">
        <v>13</v>
      </c>
      <c r="G2470" s="0" t="s">
        <v>35</v>
      </c>
      <c r="H2470" s="5">
        <v>6242.224000</v>
      </c>
    </row>
    <row r="2471" spans="1:9">
      <c r="A2471" s="22" t="str">
        <f>HYPERLINK("https://app.vivvix.com/360/KMI/IntelliDrive/ApplUI/Pages/CreativePages/CustomReportCreativeDetail.aspx?App=23&amp;ReportView=4&amp;Qid=1711245&amp;Row=2463&amp;Col=1","V. Hancock: Get The Highest Quality")</f>
        <v/>
      </c>
      <c r="B2471" s="0" t="s">
        <v>3620</v>
      </c>
      <c r="C2471" s="0" t="s">
        <v>3621</v>
      </c>
      <c r="D2471" s="0" t="s">
        <v>3621</v>
      </c>
      <c r="E2471" s="0" t="s">
        <v>13</v>
      </c>
      <c r="F2471" s="0" t="s">
        <v>13</v>
      </c>
      <c r="G2471" s="0" t="s">
        <v>35</v>
      </c>
      <c r="H2471" s="5">
        <v>1194317.000000</v>
      </c>
    </row>
    <row r="2472" spans="1:9">
      <c r="A2472" s="22" t="str">
        <f>HYPERLINK("https://app.vivvix.com/360/KMI/IntelliDrive/ApplUI/Pages/CreativePages/CustomReportCreativeDetail.aspx?App=23&amp;ReportView=4&amp;Qid=1711245&amp;Row=2464&amp;Col=1","V. Hancock: Get The Highest Quality")</f>
        <v/>
      </c>
      <c r="B2472" s="0" t="s">
        <v>3622</v>
      </c>
      <c r="C2472" s="0" t="s">
        <v>3623</v>
      </c>
      <c r="D2472" s="0" t="s">
        <v>3623</v>
      </c>
      <c r="E2472" s="0" t="s">
        <v>13</v>
      </c>
      <c r="F2472" s="0" t="s">
        <v>3624</v>
      </c>
      <c r="G2472" s="0" t="s">
        <v>3625</v>
      </c>
      <c r="H2472" s="5">
        <v>273330.000000</v>
      </c>
    </row>
    <row r="2473" spans="1:9">
      <c r="A2473" s="22" t="str">
        <f>HYPERLINK("https://app.vivvix.com/360/KMI/IntelliDrive/ApplUI/Pages/CreativePages/CustomReportCreativeDetail.aspx?App=23&amp;ReportView=4&amp;Qid=1711245&amp;Row=2465&amp;Col=1","Visit for Bold Ones")</f>
        <v/>
      </c>
      <c r="B2473" s="0" t="s">
        <v>3626</v>
      </c>
      <c r="C2473" s="0" t="s">
        <v>3627</v>
      </c>
      <c r="D2473" s="0" t="s">
        <v>3627</v>
      </c>
      <c r="E2473" s="0" t="s">
        <v>13</v>
      </c>
      <c r="F2473" s="0" t="s">
        <v>17</v>
      </c>
      <c r="G2473" s="0" t="s">
        <v>18</v>
      </c>
      <c r="H2473" s="5">
        <v>428.000000</v>
      </c>
    </row>
    <row r="2474" spans="1:9">
      <c r="A2474" s="22" t="str">
        <f>HYPERLINK("https://app.vivvix.com/360/KMI/IntelliDrive/ApplUI/Pages/CreativePages/CustomReportCreativeDetail.aspx?App=23&amp;ReportView=4&amp;Qid=1711245&amp;Row=2466&amp;Col=1","Visit for Bold Ones/$3,119")</f>
        <v/>
      </c>
      <c r="B2474" s="0" t="s">
        <v>3628</v>
      </c>
      <c r="C2474" s="0" t="s">
        <v>3629</v>
      </c>
      <c r="D2474" s="0" t="s">
        <v>3627</v>
      </c>
      <c r="E2474" s="0" t="s">
        <v>13</v>
      </c>
      <c r="F2474" s="0" t="s">
        <v>17</v>
      </c>
      <c r="G2474" s="0" t="s">
        <v>18</v>
      </c>
      <c r="H2474" s="5">
        <v>0.000000</v>
      </c>
    </row>
    <row r="2475" spans="1:9">
      <c r="A2475" s="22" t="str">
        <f>HYPERLINK("https://app.vivvix.com/360/KMI/IntelliDrive/ApplUI/Pages/CreativePages/CustomReportCreativeDetail.aspx?App=23&amp;ReportView=4&amp;Qid=1711245&amp;Row=2467&amp;Col=1","Welcome To The Sales Event")</f>
        <v/>
      </c>
      <c r="B2475" s="0" t="s">
        <v>3630</v>
      </c>
      <c r="C2475" s="0" t="s">
        <v>3631</v>
      </c>
      <c r="D2475" s="0" t="s">
        <v>3631</v>
      </c>
      <c r="E2475" s="0" t="s">
        <v>13</v>
      </c>
      <c r="F2475" s="0" t="s">
        <v>13</v>
      </c>
      <c r="G2475" s="0" t="s">
        <v>122</v>
      </c>
      <c r="H2475" s="5">
        <v>27107.592000</v>
      </c>
    </row>
    <row r="2476" spans="1:9">
      <c r="A2476" s="22" t="str">
        <f>HYPERLINK("https://app.vivvix.com/360/KMI/IntelliDrive/ApplUI/Pages/CreativePages/CustomReportCreativeDetail.aspx?App=23&amp;ReportView=4&amp;Qid=1711245&amp;Row=2468&amp;Col=1","With Over 300 Mile Range")</f>
        <v/>
      </c>
      <c r="B2476" s="0" t="s">
        <v>3632</v>
      </c>
      <c r="C2476" s="0" t="s">
        <v>3633</v>
      </c>
      <c r="D2476" s="0" t="s">
        <v>3633</v>
      </c>
      <c r="E2476" s="0" t="s">
        <v>13</v>
      </c>
      <c r="F2476" s="0" t="s">
        <v>14</v>
      </c>
      <c r="G2476" s="0" t="s">
        <v>22</v>
      </c>
      <c r="H2476" s="5">
        <v>7473.000000</v>
      </c>
    </row>
    <row r="2477" spans="1:9">
      <c r="A2477" s="22" t="str">
        <f>HYPERLINK("https://app.vivvix.com/360/KMI/IntelliDrive/ApplUI/Pages/CreativePages/CustomReportCreativeDetail.aspx?App=23&amp;ReportView=4&amp;Qid=1711245&amp;Row=2469&amp;Col=1","WITH OVER 300 MILE RANGE")</f>
        <v/>
      </c>
      <c r="B2477" s="0" t="s">
        <v>3634</v>
      </c>
      <c r="E2477" s="0" t="s">
        <v>13</v>
      </c>
      <c r="F2477" s="0" t="s">
        <v>14</v>
      </c>
      <c r="G2477" s="0" t="s">
        <v>15</v>
      </c>
      <c r="H2477" s="5">
        <v>7772.515000</v>
      </c>
    </row>
    <row r="2478" spans="1:9">
      <c r="A2478" s="22" t="str">
        <f>HYPERLINK("https://app.vivvix.com/360/KMI/IntelliDrive/ApplUI/Pages/CreativePages/CustomReportCreativeDetail.aspx?App=23&amp;ReportView=4&amp;Qid=1711245&amp;Row=2470&amp;Col=1","WITH OVER 300 MILE RANGE")</f>
        <v/>
      </c>
      <c r="B2478" s="0" t="s">
        <v>3634</v>
      </c>
      <c r="E2478" s="0" t="s">
        <v>13</v>
      </c>
      <c r="F2478" s="0" t="s">
        <v>14</v>
      </c>
      <c r="G2478" s="0" t="s">
        <v>15</v>
      </c>
      <c r="H2478" s="5">
        <v>91625.301000</v>
      </c>
    </row>
    <row r="2479" spans="1:9">
      <c r="A2479" s="22" t="str">
        <f>HYPERLINK("https://app.vivvix.com/360/KMI/IntelliDrive/ApplUI/Pages/CreativePages/CustomReportCreativeDetail.aspx?App=23&amp;ReportView=4&amp;Qid=1711245&amp;Row=2471&amp;Col=1","With Over 300 Mile Range")</f>
        <v/>
      </c>
      <c r="B2479" s="0" t="s">
        <v>3635</v>
      </c>
      <c r="C2479" s="0" t="s">
        <v>3636</v>
      </c>
      <c r="D2479" s="0" t="s">
        <v>3636</v>
      </c>
      <c r="E2479" s="0" t="s">
        <v>13</v>
      </c>
      <c r="F2479" s="0" t="s">
        <v>14</v>
      </c>
      <c r="G2479" s="0" t="s">
        <v>22</v>
      </c>
      <c r="H2479" s="5">
        <v>16450.654000</v>
      </c>
    </row>
    <row r="2480" spans="1:9">
      <c r="A2480" s="22" t="str">
        <f>HYPERLINK("https://app.vivvix.com/360/KMI/IntelliDrive/ApplUI/Pages/CreativePages/CustomReportCreativeDetail.aspx?App=23&amp;ReportView=4&amp;Qid=1711245&amp;Row=2472&amp;Col=1","woman playing piano")</f>
        <v/>
      </c>
      <c r="B2480" s="0" t="s">
        <v>3637</v>
      </c>
      <c r="E2480" s="0" t="s">
        <v>13</v>
      </c>
      <c r="F2480" s="0" t="s">
        <v>13</v>
      </c>
      <c r="G2480" s="0" t="s">
        <v>576</v>
      </c>
      <c r="H2480" s="5">
        <v>1941.625000</v>
      </c>
    </row>
    <row r="2481" spans="1:9">
      <c r="A2481" s="22" t="str">
        <f>HYPERLINK("https://app.vivvix.com/360/KMI/IntelliDrive/ApplUI/Pages/CreativePages/CustomReportCreativeDetail.aspx?App=23&amp;ReportView=4&amp;Qid=1711245&amp;Row=2473&amp;Col=1","woman playing piano")</f>
        <v/>
      </c>
      <c r="B2481" s="0" t="s">
        <v>3638</v>
      </c>
      <c r="E2481" s="0" t="s">
        <v>13</v>
      </c>
      <c r="F2481" s="0" t="s">
        <v>13</v>
      </c>
      <c r="G2481" s="0" t="s">
        <v>576</v>
      </c>
      <c r="H2481" s="5">
        <v>25080.224000</v>
      </c>
    </row>
    <row r="2482" spans="1:9">
      <c r="A2482" s="22" t="str">
        <f>HYPERLINK("https://app.vivvix.com/360/KMI/IntelliDrive/ApplUI/Pages/CreativePages/CustomReportCreativeDetail.aspx?App=23&amp;ReportView=4&amp;Qid=1711245&amp;Row=2474&amp;Col=1","Wonder Car")</f>
        <v/>
      </c>
      <c r="B2482" s="0" t="s">
        <v>3639</v>
      </c>
      <c r="C2482" s="0" t="s">
        <v>3640</v>
      </c>
      <c r="D2482" s="0" t="s">
        <v>3640</v>
      </c>
      <c r="E2482" s="0" t="s">
        <v>13</v>
      </c>
      <c r="F2482" s="0" t="s">
        <v>14</v>
      </c>
      <c r="G2482" s="0" t="s">
        <v>15</v>
      </c>
      <c r="H2482" s="5">
        <v>29067.340000</v>
      </c>
    </row>
    <row r="2483" spans="1:9">
      <c r="A2483" s="22" t="str">
        <f>HYPERLINK("https://app.vivvix.com/360/KMI/IntelliDrive/ApplUI/Pages/CreativePages/CustomReportCreativeDetail.aspx?App=23&amp;ReportView=4&amp;Qid=1711245&amp;Row=2475&amp;Col=1","Wonder Car")</f>
        <v/>
      </c>
      <c r="B2483" s="0" t="s">
        <v>3639</v>
      </c>
      <c r="E2483" s="0" t="s">
        <v>13</v>
      </c>
      <c r="F2483" s="0" t="s">
        <v>14</v>
      </c>
      <c r="G2483" s="0" t="s">
        <v>15</v>
      </c>
      <c r="H2483" s="5">
        <v>13441.530000</v>
      </c>
    </row>
    <row r="2484" spans="1:9">
      <c r="A2484" s="11" t="s">
        <v>3641</v>
      </c>
      <c r="B2484" s="11" t="inlineStr">
        <is>
          <t xml:space="preserve"/>
        </is>
      </c>
      <c r="C2484" s="11" t="inlineStr">
        <is>
          <t xml:space="preserve"/>
        </is>
      </c>
      <c r="D2484" s="11" t="inlineStr">
        <is>
          <t xml:space="preserve"/>
        </is>
      </c>
      <c r="E2484" s="11" t="inlineStr">
        <is>
          <t xml:space="preserve"/>
        </is>
      </c>
      <c r="F2484" s="11" t="inlineStr">
        <is>
          <t xml:space="preserve"/>
        </is>
      </c>
      <c r="G2484" s="11" t="inlineStr">
        <is>
          <t xml:space="preserve"/>
        </is>
      </c>
      <c r="H2484" s="17">
        <v>62569380.001700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90"/>
  <sheetViews>
    <sheetView workbookViewId="0"/>
  </sheetViews>
  <sheetFormatPr defaultRowHeight="15"/>
  <cols>
    <col min="1" max="1" width="45" customWidth="1"/>
    <col min="2" max="2" width="45" customWidth="1"/>
    <col min="3" max="3" width="45" customWidth="1"/>
    <col min="4" max="4" width="45" customWidth="1"/>
  </cols>
  <sheetData>
    <row r="5" spans="1:4">
      <c r="A5" s="10" t="inlineStr">
        <is>
          <t xml:space="preserve">Report Title:  </t>
        </is>
      </c>
      <c r="B5" s="0" t="inlineStr">
        <is>
          <t xml:space="preserve">Cadillac_2024_Yearly</t>
        </is>
      </c>
    </row>
    <row r="6" spans="1:4">
      <c r="A6" s="10" t="inlineStr">
        <is>
          <t xml:space="preserve">Report Access:  </t>
        </is>
      </c>
      <c r="B6" s="0" t="inlineStr">
        <is>
          <t xml:space="preserve">PRIVATE                                 </t>
        </is>
      </c>
    </row>
    <row r="7" spans="1:4">
      <c r="A7" s="10" t="inlineStr">
        <is>
          <t xml:space="preserve">Report Owner:  </t>
        </is>
      </c>
      <c r="B7" s="0" t="inlineStr">
        <is>
          <t xml:space="preserve">Yulia Dubizhansky</t>
        </is>
      </c>
    </row>
    <row r="8" spans="1:4">
      <c r="A8" s="10" t="inlineStr">
        <is>
          <t xml:space="preserve">Report Completed:</t>
        </is>
      </c>
      <c r="B8" s="0" t="inlineStr">
        <is>
          <t xml:space="preserve">11/8/2025 07:13:21 EDT</t>
        </is>
      </c>
    </row>
    <row r="9" spans="1:4">
      <c r="A9" s="10" t="inlineStr">
        <is>
          <t xml:space="preserve">Expiration:</t>
        </is>
      </c>
      <c r="B9" s="0" t="inlineStr">
        <is>
          <t xml:space="preserve">12/23/2025</t>
        </is>
      </c>
    </row>
    <row r="10" spans="1:4">
      <c r="A10" s="10" t="inlineStr">
        <is>
          <t xml:space="preserve">Report ID:  </t>
        </is>
      </c>
      <c r="B10" s="0" t="inlineStr">
        <is>
          <t xml:space="preserve">1711243</t>
        </is>
      </c>
    </row>
    <row r="11" spans="1:4">
      <c r="A11" s="10" t="inlineStr">
        <is>
          <t xml:space="preserve">Reported Time Period:</t>
        </is>
      </c>
      <c r="B11" s="0" t="inlineStr">
        <is>
          <t xml:space="preserve">1/1/2024-12/31/2024 </t>
        </is>
      </c>
    </row>
    <row r="12" spans="1:4">
      <c r="A12" s="10" t="inlineStr">
        <is>
          <t xml:space="preserve">Original Populating Profile:</t>
        </is>
      </c>
      <c r="B12" s="0" t="inlineStr">
        <is>
          <t xml:space="preserve">My New Profile</t>
        </is>
      </c>
    </row>
    <row r="13" spans="1:1">
      <c r="A13" s="10" t="inlineStr">
        <is>
          <t xml:space="preserve">Availability</t>
        </is>
      </c>
      <c r="B13" s="10" t="inlineStr">
        <is>
          <t xml:space="preserve">Preliminary Ads:</t>
        </is>
      </c>
      <c r="C13" s="10" t="inlineStr">
        <is>
          <t xml:space="preserve">Final All:</t>
        </is>
      </c>
    </row>
    <row r="14" spans="1:1">
      <c r="A14" s="0" t="inlineStr">
        <is>
          <t xml:space="preserve">Magazines</t>
        </is>
      </c>
      <c r="B14" s="0" t="inlineStr">
        <is>
          <t xml:space="preserve">11/03/2025</t>
        </is>
      </c>
      <c r="C14" s="0" t="inlineStr">
        <is>
          <t xml:space="preserve">10/31/2025</t>
        </is>
      </c>
    </row>
    <row r="15" spans="1:1">
      <c r="A15" s="0" t="inlineStr">
        <is>
          <t xml:space="preserve">Sunday Magazines</t>
        </is>
      </c>
      <c r="B15" s="0" t="inlineStr">
        <is>
          <t xml:space="preserve">10/31/2025</t>
        </is>
      </c>
      <c r="C15" s="0" t="inlineStr">
        <is>
          <t xml:space="preserve">10/31/2025</t>
        </is>
      </c>
    </row>
    <row r="16" spans="1:1">
      <c r="A16" s="0" t="inlineStr">
        <is>
          <t xml:space="preserve">Network TV</t>
        </is>
      </c>
      <c r="B16" s="0" t="inlineStr">
        <is>
          <t xml:space="preserve">11/07/2025</t>
        </is>
      </c>
      <c r="C16" s="0" t="inlineStr">
        <is>
          <t xml:space="preserve">09/30/2025</t>
        </is>
      </c>
    </row>
    <row r="17" spans="1:1">
      <c r="A17" s="0" t="inlineStr">
        <is>
          <t xml:space="preserve">Syndication</t>
        </is>
      </c>
      <c r="B17" s="0" t="inlineStr">
        <is>
          <t xml:space="preserve">11/06/2025</t>
        </is>
      </c>
      <c r="C17" s="0" t="inlineStr">
        <is>
          <t xml:space="preserve">09/30/2025</t>
        </is>
      </c>
    </row>
    <row r="18" spans="1:1">
      <c r="A18" s="0" t="inlineStr">
        <is>
          <t xml:space="preserve">Cable TV</t>
        </is>
      </c>
      <c r="B18" s="0" t="inlineStr">
        <is>
          <t xml:space="preserve">11/07/2025</t>
        </is>
      </c>
      <c r="C18" s="0" t="inlineStr">
        <is>
          <t xml:space="preserve">09/30/2025</t>
        </is>
      </c>
    </row>
    <row r="19" spans="1:1">
      <c r="A19" s="0" t="inlineStr">
        <is>
          <t xml:space="preserve">Spot TV</t>
        </is>
      </c>
      <c r="B19" s="0" t="inlineStr">
        <is>
          <t xml:space="preserve">11/07/2025</t>
        </is>
      </c>
      <c r="C19" s="0" t="inlineStr">
        <is>
          <t xml:space="preserve">09/30/2025</t>
        </is>
      </c>
    </row>
    <row r="20" spans="1:1">
      <c r="A20" s="0" t="inlineStr">
        <is>
          <t xml:space="preserve">Internet - Display</t>
        </is>
      </c>
      <c r="B20" s="0" t="inlineStr">
        <is>
          <t xml:space="preserve">11/07/2025</t>
        </is>
      </c>
      <c r="C20" s="0" t="inlineStr">
        <is>
          <t xml:space="preserve">09/30/2025</t>
        </is>
      </c>
    </row>
    <row r="21" spans="1:1">
      <c r="A21" s="0" t="inlineStr">
        <is>
          <t xml:space="preserve">Newspapers</t>
        </is>
      </c>
      <c r="B21" s="0" t="inlineStr">
        <is>
          <t xml:space="preserve">11/06/2025</t>
        </is>
      </c>
      <c r="C21" s="0" t="inlineStr">
        <is>
          <t xml:space="preserve">09/30/2025</t>
        </is>
      </c>
    </row>
    <row r="22" spans="1:1">
      <c r="A22" s="0" t="inlineStr">
        <is>
          <t xml:space="preserve">Online Video</t>
        </is>
      </c>
      <c r="B22" s="0" t="inlineStr">
        <is>
          <t xml:space="preserve">11/07/2025</t>
        </is>
      </c>
      <c r="C22" s="0" t="inlineStr">
        <is>
          <t xml:space="preserve">09/30/2025</t>
        </is>
      </c>
    </row>
    <row r="23" spans="1:1">
      <c r="A23" s="0" t="inlineStr">
        <is>
          <t xml:space="preserve">Mobile Web</t>
        </is>
      </c>
      <c r="B23" s="0" t="inlineStr">
        <is>
          <t xml:space="preserve">11/07/2025</t>
        </is>
      </c>
      <c r="C23" s="0" t="inlineStr">
        <is>
          <t xml:space="preserve">09/30/2025</t>
        </is>
      </c>
    </row>
    <row r="24" spans="1:1">
      <c r="A24" s="0" t="inlineStr">
        <is>
          <t xml:space="preserve">Mobile Web Video</t>
        </is>
      </c>
      <c r="B24" s="0" t="inlineStr">
        <is>
          <t xml:space="preserve">11/07/2025</t>
        </is>
      </c>
      <c r="C24" s="0" t="inlineStr">
        <is>
          <t xml:space="preserve">09/30/2025</t>
        </is>
      </c>
    </row>
    <row r="26" spans="1:1">
      <c r="A26" s="10" t="inlineStr">
        <is>
          <t xml:space="preserve">Layout</t>
        </is>
      </c>
    </row>
    <row r="27" spans="1:1">
      <c r="A27" s="10" t="inlineStr">
        <is>
          <t xml:space="preserve">  Column/Type</t>
        </is>
      </c>
    </row>
    <row r="28" spans="1:1">
      <c r="A28" s="0" t="inlineStr">
        <is>
          <t xml:space="preserve">    Pivot Export</t>
        </is>
      </c>
    </row>
    <row r="29" spans="1:1">
      <c r="A29" s="10" t="inlineStr">
        <is>
          <t xml:space="preserve">  Sorts</t>
        </is>
      </c>
    </row>
    <row r="30" spans="1:1">
      <c r="A30" s="0" t="inlineStr">
        <is>
          <t xml:space="preserve">    Creative</t>
        </is>
      </c>
      <c r="B30" s="0" t="inlineStr">
        <is>
          <t xml:space="preserve">Links Expire 12/23/2025</t>
        </is>
      </c>
    </row>
    <row r="31" spans="1:1">
      <c r="A31" s="0" t="inlineStr">
        <is>
          <t xml:space="preserve">    Master Creative ID</t>
        </is>
      </c>
    </row>
    <row r="32" spans="1:1">
      <c r="A32" s="0" t="inlineStr">
        <is>
          <t xml:space="preserve">    Detail Creative ID</t>
        </is>
      </c>
    </row>
    <row r="33" spans="1:1">
      <c r="A33" s="0" t="inlineStr">
        <is>
          <t xml:space="preserve">    Parent Creative ID</t>
        </is>
      </c>
    </row>
    <row r="34" spans="1:1">
      <c r="A34" s="0" t="inlineStr">
        <is>
          <t xml:space="preserve">    Advertiser</t>
        </is>
      </c>
    </row>
    <row r="35" spans="1:1">
      <c r="A35" s="0" t="inlineStr">
        <is>
          <t xml:space="preserve">    Brand</t>
        </is>
      </c>
    </row>
    <row r="36" spans="1:1">
      <c r="A36" s="0" t="inlineStr">
        <is>
          <t xml:space="preserve">    Product</t>
        </is>
      </c>
    </row>
    <row r="37" spans="1:1">
      <c r="A37" s="10" t="inlineStr">
        <is>
          <t xml:space="preserve">  Measures/Calcs</t>
        </is>
      </c>
    </row>
    <row r="38" spans="1:1">
      <c r="A38" s="0" t="inlineStr">
        <is>
          <t xml:space="preserve">    Dollars</t>
        </is>
      </c>
      <c r="B38" s="0" t="inlineStr">
        <is>
          <t xml:space="preserve">Weights Applied - None</t>
        </is>
      </c>
    </row>
    <row r="39" spans="1:1">
      <c r="A39" s="10" t="inlineStr">
        <is>
          <t xml:space="preserve">Media/Markets</t>
        </is>
      </c>
    </row>
    <row r="40" spans="1:1">
      <c r="A40" s="10" t="inlineStr">
        <is>
          <t xml:space="preserve">  Media</t>
        </is>
      </c>
    </row>
    <row r="41" spans="1:1">
      <c r="A41" s="0" t="inlineStr">
        <is>
          <t xml:space="preserve">    Network TV</t>
        </is>
      </c>
    </row>
    <row r="42" spans="1:1">
      <c r="A42" s="0" t="inlineStr">
        <is>
          <t xml:space="preserve">    Syndication</t>
        </is>
      </c>
    </row>
    <row r="43" spans="1:1">
      <c r="A43" s="0" t="inlineStr">
        <is>
          <t xml:space="preserve">    Cable TV</t>
        </is>
      </c>
    </row>
    <row r="44" spans="1:1">
      <c r="A44" s="0" t="inlineStr">
        <is>
          <t xml:space="preserve">    Spot TV</t>
        </is>
      </c>
    </row>
    <row r="45" spans="1:1">
      <c r="A45" s="0" t="inlineStr">
        <is>
          <t xml:space="preserve">    Internet - Display</t>
        </is>
      </c>
    </row>
    <row r="46" spans="1:1">
      <c r="A46" s="0" t="inlineStr">
        <is>
          <t xml:space="preserve">    Online Video</t>
        </is>
      </c>
    </row>
    <row r="47" spans="1:1">
      <c r="A47" s="0" t="inlineStr">
        <is>
          <t xml:space="preserve">    Mobile Web</t>
        </is>
      </c>
    </row>
    <row r="48" spans="1:1">
      <c r="A48" s="0" t="inlineStr">
        <is>
          <t xml:space="preserve">    Mobile Web Video</t>
        </is>
      </c>
    </row>
    <row r="49" spans="1:1">
      <c r="A49" s="0" t="inlineStr">
        <is>
          <t xml:space="preserve">    Magazines</t>
        </is>
      </c>
    </row>
    <row r="50" spans="1:1">
      <c r="A50" s="0" t="inlineStr">
        <is>
          <t xml:space="preserve">    Sunday Magazines</t>
        </is>
      </c>
    </row>
    <row r="51" spans="1:1">
      <c r="A51" s="0" t="inlineStr">
        <is>
          <t xml:space="preserve">    Newspapers</t>
        </is>
      </c>
    </row>
    <row r="52" spans="1:1">
      <c r="A52" s="0" t="inlineStr">
        <is>
          <t xml:space="preserve">    House Ads: Excluded </t>
        </is>
      </c>
    </row>
    <row r="53" spans="1:1">
      <c r="A53" s="10" t="inlineStr">
        <is>
          <t xml:space="preserve">  Markets</t>
        </is>
      </c>
    </row>
    <row r="54" spans="1:1">
      <c r="A54" s="0" t="inlineStr">
        <is>
          <t xml:space="preserve">    All</t>
        </is>
      </c>
    </row>
    <row r="55" spans="1:1">
      <c r="A55" s="0" t="inlineStr">
        <is>
          <t xml:space="preserve">    Digital Market Type: Property</t>
        </is>
      </c>
    </row>
    <row r="56" spans="1:1">
      <c r="A56" s="10" t="inlineStr">
        <is>
          <t xml:space="preserve">  Dayparts</t>
        </is>
      </c>
    </row>
    <row r="57" spans="1:1">
      <c r="A57" s="0" t="inlineStr">
        <is>
          <t xml:space="preserve">    Daypart Set: Default Dayparts</t>
        </is>
      </c>
    </row>
    <row r="58" spans="1:1">
      <c r="A58" s="0" t="inlineStr">
        <is>
          <t xml:space="preserve">    All</t>
        </is>
      </c>
    </row>
    <row r="59" spans="1:1">
      <c r="A59" s="10" t="inlineStr">
        <is>
          <t xml:space="preserve">  Languages</t>
        </is>
      </c>
    </row>
    <row r="60" spans="1:1">
      <c r="A60" s="0" t="inlineStr">
        <is>
          <t xml:space="preserve">    All</t>
        </is>
      </c>
    </row>
    <row r="61" spans="1:1">
      <c r="A61" s="10" t="inlineStr">
        <is>
          <t xml:space="preserve">Brands/Categories</t>
        </is>
      </c>
    </row>
    <row r="62" spans="1:1">
      <c r="A62" s="10" t="inlineStr">
        <is>
          <t xml:space="preserve">  Brands</t>
        </is>
      </c>
    </row>
    <row r="63" spans="1:1">
      <c r="A63" s="0" t="inlineStr">
        <is>
          <t xml:space="preserve">    Cadillac</t>
        </is>
      </c>
      <c r="B63" s="0" t="inlineStr">
        <is>
          <t xml:space="preserve">Advertiser</t>
        </is>
      </c>
    </row>
    <row r="64" spans="1:1">
      <c r="A64" s="10" t="inlineStr">
        <is>
          <t xml:space="preserve">  Categories</t>
        </is>
      </c>
    </row>
    <row r="65" spans="1:1">
      <c r="A65" s="0" t="inlineStr">
        <is>
          <t xml:space="preserve">    All</t>
        </is>
      </c>
      <c r="B65" s="0" t="inlineStr">
        <is>
          <t xml:space="preserve">Categories</t>
        </is>
      </c>
    </row>
    <row r="66" spans="1:1">
      <c r="A66" s="0" t="inlineStr">
        <is>
          <t xml:space="preserve">  Sponsorship Products: Excluded</t>
        </is>
      </c>
    </row>
    <row r="67" spans="1:1">
      <c r="A67" s="10" t="inlineStr">
        <is>
          <t xml:space="preserve">Time Periods</t>
        </is>
      </c>
    </row>
    <row r="68" spans="1:1">
      <c r="A68" s="10" t="inlineStr">
        <is>
          <t xml:space="preserve">    Type: Calendar</t>
        </is>
      </c>
    </row>
    <row r="69" spans="1:1">
      <c r="A69" s="0" t="inlineStr">
        <is>
          <t xml:space="preserve">    Year 2024</t>
        </is>
      </c>
    </row>
    <row r="70" spans="1:1">
      <c r="A70" s="0" t="inlineStr">
        <is>
          <t xml:space="preserve">    Includes Preliminary Data</t>
        </is>
      </c>
    </row>
    <row r="72" spans="1:1">
      <c r="A72" s="0" t="inlineStr">
        <is>
          <t xml:space="preserve">(c) 2025 Competitive Media Reporting, LLC d/b/a Vivvix</t>
        </is>
      </c>
    </row>
    <row r="73" spans="1:1">
      <c r="A73" s="0" t="inlineStr">
        <is>
          <t xml:space="preserve">Digital estimation models include SimilarWeb metrics.</t>
        </is>
      </c>
    </row>
    <row r="74" spans="1:1">
      <c r="A74" s="0" t="inlineStr">
        <is>
          <t xml:space="preserve">Mobile Web dollars and impressions start April 1, 2015</t>
        </is>
      </c>
    </row>
    <row r="75" spans="1:1">
      <c r="A75" s="0" t="inlineStr">
        <is>
          <t xml:space="preserve">Mobile Web Video spend and impressions start October 1, 2019</t>
        </is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75" customWidth="1"/>
    <col min="2" max="2" width="45" customWidth="1"/>
    <col min="3" max="3" width="18" customWidth="1"/>
    <col min="4" max="4" width="45" customWidth="1"/>
    <col min="5" max="5" width="45" customWidth="1"/>
    <col min="6" max="6" width="45" customWidth="1"/>
    <col min="7" max="7" width="75" customWidth="1"/>
    <col min="8" max="8" width="14" customWidth="1"/>
  </cols>
  <sheetData>
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45" customWidth="1"/>
    <col min="2" max="2" width="4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3" customWidth="1"/>
    <col min="19" max="19" width="14" customWidth="1"/>
    <col min="20" max="20" width="14" customWidth="1"/>
    <col min="21" max="21" width="14" customWidth="1"/>
    <col min="22" max="22" width="13" customWidth="1"/>
  </cols>
  <sheetData>
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45" customWidth="1"/>
    <col min="2" max="2" width="4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3" customWidth="1"/>
    <col min="19" max="19" width="14" customWidth="1"/>
    <col min="20" max="20" width="14" customWidth="1"/>
    <col min="21" max="21" width="14" customWidth="1"/>
    <col min="22" max="22" width="13" customWidth="1"/>
  </cols>
  <sheetData>
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FormatPr defaultRowHeight="15"/>
  <cols>
    <col min="1" max="1" width="45" customWidth="1"/>
    <col min="2" max="2" width="45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3" customWidth="1"/>
    <col min="18" max="18" width="13" customWidth="1"/>
    <col min="19" max="19" width="14" customWidth="1"/>
    <col min="20" max="20" width="14" customWidth="1"/>
    <col min="21" max="21" width="14" customWidth="1"/>
    <col min="22" max="22" width="13" customWidth="1"/>
  </cols>
  <sheetData>
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2007-08-15T06:50:14Z</dcterms:created>
  <dcterms:modified xsi:type="dcterms:W3CDTF">2010-05-03T18:06:44Z</dcterms:modified>
</cp:coreProperties>
</file>