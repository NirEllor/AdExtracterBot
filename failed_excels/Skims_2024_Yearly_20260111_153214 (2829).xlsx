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</t>
        </is>
      </c>
      <c r="B1" t="inlineStr">
        <is>
          <t>MASTER CREATIVE ID</t>
        </is>
      </c>
      <c r="C1" t="inlineStr">
        <is>
          <t>DETAIL CREATIVE ID</t>
        </is>
      </c>
      <c r="D1" t="inlineStr">
        <is>
          <t>PARENT CREATIVE ID</t>
        </is>
      </c>
      <c r="E1" t="inlineStr">
        <is>
          <t>ADVERTISER</t>
        </is>
      </c>
      <c r="F1" t="inlineStr">
        <is>
          <t>PRODUCT</t>
        </is>
      </c>
      <c r="G1" t="inlineStr">
        <is>
          <t>$</t>
        </is>
      </c>
    </row>
    <row r="2">
      <c r="A2">
        <f>HYPERLINK("https://app.vivvix.com/360/KMI/IntelliDrive/ApplUI/Pages/CreativePages/CustomReportCreativeDetail.aspx?App=23&amp;ReportView=4&amp;Qid=1756219&amp;Row=126&amp;Col=1","No Title Assigned - #15263062525")</f>
        <v/>
      </c>
      <c r="B2" t="inlineStr">
        <is>
          <t>15263062525</t>
        </is>
      </c>
      <c r="E2" t="inlineStr">
        <is>
          <t>Skims</t>
        </is>
      </c>
      <c r="F2" t="inlineStr">
        <is>
          <t>Skims : Online</t>
        </is>
      </c>
      <c r="G2" t="n">
        <v>108.7595</v>
      </c>
    </row>
    <row r="3">
      <c r="A3">
        <f>HYPERLINK("https://app.vivvix.com/360/KMI/IntelliDrive/ApplUI/Pages/CreativePages/CustomReportCreativeDetail.aspx?App=23&amp;ReportView=4&amp;Qid=1756219&amp;Row=298&amp;Col=1","No Title Assigned - #15265424757")</f>
        <v/>
      </c>
      <c r="B3" t="inlineStr">
        <is>
          <t>15265424757</t>
        </is>
      </c>
      <c r="E3" t="inlineStr">
        <is>
          <t>Skims</t>
        </is>
      </c>
      <c r="F3" t="inlineStr">
        <is>
          <t>Skims : Online</t>
        </is>
      </c>
      <c r="G3" t="n">
        <v>224.7555</v>
      </c>
    </row>
    <row r="4">
      <c r="A4">
        <f>HYPERLINK("https://app.vivvix.com/360/KMI/IntelliDrive/ApplUI/Pages/CreativePages/CustomReportCreativeDetail.aspx?App=23&amp;ReportView=4&amp;Qid=1756219&amp;Row=309&amp;Col=1","No Title Assigned - #15265641254")</f>
        <v/>
      </c>
      <c r="B4" t="inlineStr">
        <is>
          <t>15265641254</t>
        </is>
      </c>
      <c r="E4" t="inlineStr">
        <is>
          <t>Skims</t>
        </is>
      </c>
      <c r="F4" t="inlineStr">
        <is>
          <t>Skims : Online</t>
        </is>
      </c>
      <c r="G4" t="n">
        <v>550.532</v>
      </c>
    </row>
    <row r="5">
      <c r="A5">
        <f>HYPERLINK("https://app.vivvix.com/360/KMI/IntelliDrive/ApplUI/Pages/CreativePages/CustomReportCreativeDetail.aspx?App=23&amp;ReportView=4&amp;Qid=1756219&amp;Row=524&amp;Col=1","No Title Assigned - #15267916367")</f>
        <v/>
      </c>
      <c r="B5" t="inlineStr">
        <is>
          <t>15267916367</t>
        </is>
      </c>
      <c r="E5" t="inlineStr">
        <is>
          <t>Skims</t>
        </is>
      </c>
      <c r="F5" t="inlineStr">
        <is>
          <t>Skims : Online</t>
        </is>
      </c>
      <c r="G5" t="n">
        <v>618.9697</v>
      </c>
    </row>
    <row r="6">
      <c r="A6">
        <f>HYPERLINK("https://app.vivvix.com/360/KMI/IntelliDrive/ApplUI/Pages/CreativePages/CustomReportCreativeDetail.aspx?App=23&amp;ReportView=4&amp;Qid=1756219&amp;Row=609&amp;Col=1","No Title Assigned - #15268012162")</f>
        <v/>
      </c>
      <c r="B6" t="inlineStr">
        <is>
          <t>15268012162</t>
        </is>
      </c>
      <c r="E6" t="inlineStr">
        <is>
          <t>Skims</t>
        </is>
      </c>
      <c r="F6" t="inlineStr">
        <is>
          <t>Skims : Online</t>
        </is>
      </c>
      <c r="G6" t="n">
        <v>533.2573</v>
      </c>
    </row>
    <row r="7">
      <c r="A7">
        <f>HYPERLINK("https://app.vivvix.com/360/KMI/IntelliDrive/ApplUI/Pages/CreativePages/CustomReportCreativeDetail.aspx?App=23&amp;ReportView=4&amp;Qid=1756219&amp;Row=629&amp;Col=1","No Title Assigned - #15268026020")</f>
        <v/>
      </c>
      <c r="B7" t="inlineStr">
        <is>
          <t>15268026020</t>
        </is>
      </c>
      <c r="E7" t="inlineStr">
        <is>
          <t>Skims</t>
        </is>
      </c>
      <c r="F7" t="inlineStr">
        <is>
          <t>Skims : Online</t>
        </is>
      </c>
      <c r="G7" t="n">
        <v>801.45</v>
      </c>
    </row>
    <row r="8">
      <c r="A8">
        <f>HYPERLINK("https://app.vivvix.com/360/KMI/IntelliDrive/ApplUI/Pages/CreativePages/CustomReportCreativeDetail.aspx?App=23&amp;ReportView=4&amp;Qid=1756219&amp;Row=630&amp;Col=1","No Title Assigned - #15268026639")</f>
        <v/>
      </c>
      <c r="B8" t="inlineStr">
        <is>
          <t>15268026639</t>
        </is>
      </c>
      <c r="E8" t="inlineStr">
        <is>
          <t>Skims</t>
        </is>
      </c>
      <c r="F8" t="inlineStr">
        <is>
          <t>Skims : Online</t>
        </is>
      </c>
      <c r="G8" t="n">
        <v>23823.6992</v>
      </c>
    </row>
    <row r="9">
      <c r="A9">
        <f>HYPERLINK("https://app.vivvix.com/360/KMI/IntelliDrive/ApplUI/Pages/CreativePages/CustomReportCreativeDetail.aspx?App=23&amp;ReportView=4&amp;Qid=1756219&amp;Row=709&amp;Col=1","No Title Assigned - #15268217974")</f>
        <v/>
      </c>
      <c r="B9" t="inlineStr">
        <is>
          <t>15268217974</t>
        </is>
      </c>
      <c r="E9" t="inlineStr">
        <is>
          <t>Skims</t>
        </is>
      </c>
      <c r="F9" t="inlineStr">
        <is>
          <t>Skims : Online</t>
        </is>
      </c>
      <c r="G9" t="n">
        <v>23.5391</v>
      </c>
    </row>
    <row r="10">
      <c r="A10">
        <f>HYPERLINK("https://app.vivvix.com/360/KMI/IntelliDrive/ApplUI/Pages/CreativePages/CustomReportCreativeDetail.aspx?App=23&amp;ReportView=4&amp;Qid=1756219&amp;Row=1543&amp;Col=1","No Title Assigned - #15278209344")</f>
        <v/>
      </c>
      <c r="B10" t="inlineStr">
        <is>
          <t>15278209344</t>
        </is>
      </c>
      <c r="E10" t="inlineStr">
        <is>
          <t>Skims</t>
        </is>
      </c>
      <c r="F10" t="inlineStr">
        <is>
          <t>Skims : Online</t>
        </is>
      </c>
      <c r="G10" t="n">
        <v>232.3736</v>
      </c>
    </row>
    <row r="11">
      <c r="A11">
        <f>HYPERLINK("https://app.vivvix.com/360/KMI/IntelliDrive/ApplUI/Pages/CreativePages/CustomReportCreativeDetail.aspx?App=23&amp;ReportView=4&amp;Qid=1756219&amp;Row=1667&amp;Col=1","No Title Assigned - #15279419013")</f>
        <v/>
      </c>
      <c r="B11" t="inlineStr">
        <is>
          <t>15279419013</t>
        </is>
      </c>
      <c r="E11" t="inlineStr">
        <is>
          <t>Skims</t>
        </is>
      </c>
      <c r="F11" t="inlineStr">
        <is>
          <t>Skims : Online</t>
        </is>
      </c>
      <c r="G11" t="n">
        <v>670.4814</v>
      </c>
    </row>
    <row r="12">
      <c r="A12">
        <f>HYPERLINK("https://app.vivvix.com/360/KMI/IntelliDrive/ApplUI/Pages/CreativePages/CustomReportCreativeDetail.aspx?App=23&amp;ReportView=4&amp;Qid=1756219&amp;Row=1860&amp;Col=1","No Title Assigned - #15280724536")</f>
        <v/>
      </c>
      <c r="B12" t="inlineStr">
        <is>
          <t>15280724536</t>
        </is>
      </c>
      <c r="E12" t="inlineStr">
        <is>
          <t>Skims</t>
        </is>
      </c>
      <c r="F12" t="inlineStr">
        <is>
          <t>Skims : Online</t>
        </is>
      </c>
      <c r="G12" t="n">
        <v>70.27249999999999</v>
      </c>
    </row>
    <row r="13">
      <c r="A13">
        <f>HYPERLINK("https://app.vivvix.com/360/KMI/IntelliDrive/ApplUI/Pages/CreativePages/CustomReportCreativeDetail.aspx?App=23&amp;ReportView=4&amp;Qid=1756219&amp;Row=2035&amp;Col=1","No Title Assigned - #15281448907")</f>
        <v/>
      </c>
      <c r="B13" t="inlineStr">
        <is>
          <t>15281448907</t>
        </is>
      </c>
      <c r="E13" t="inlineStr">
        <is>
          <t>Skims</t>
        </is>
      </c>
      <c r="F13" t="inlineStr">
        <is>
          <t>Skims : Online</t>
        </is>
      </c>
      <c r="G13" t="n">
        <v>188.777</v>
      </c>
    </row>
    <row r="14">
      <c r="A14">
        <f>HYPERLINK("https://app.vivvix.com/360/KMI/IntelliDrive/ApplUI/Pages/CreativePages/CustomReportCreativeDetail.aspx?App=23&amp;ReportView=4&amp;Qid=1756219&amp;Row=2274&amp;Col=1","No Title Assigned - #15282082418")</f>
        <v/>
      </c>
      <c r="B14" t="inlineStr">
        <is>
          <t>15282082418</t>
        </is>
      </c>
      <c r="E14" t="inlineStr">
        <is>
          <t>Skims</t>
        </is>
      </c>
      <c r="F14" t="inlineStr">
        <is>
          <t>Skims : Underwear Men &amp; Women</t>
        </is>
      </c>
      <c r="G14" t="n">
        <v>1795.9528</v>
      </c>
    </row>
    <row r="15">
      <c r="A15">
        <f>HYPERLINK("https://app.vivvix.com/360/KMI/IntelliDrive/ApplUI/Pages/CreativePages/CustomReportCreativeDetail.aspx?App=23&amp;ReportView=4&amp;Qid=1756219&amp;Row=2647&amp;Col=1","No Title Assigned - #15285384656")</f>
        <v/>
      </c>
      <c r="B15" t="inlineStr">
        <is>
          <t>15285384656</t>
        </is>
      </c>
      <c r="E15" t="inlineStr">
        <is>
          <t>Skims</t>
        </is>
      </c>
      <c r="F15" t="inlineStr">
        <is>
          <t>Skims : Online</t>
        </is>
      </c>
      <c r="G15" t="n">
        <v>2196.7158</v>
      </c>
    </row>
    <row r="16">
      <c r="A16">
        <f>HYPERLINK("https://app.vivvix.com/360/KMI/IntelliDrive/ApplUI/Pages/CreativePages/CustomReportCreativeDetail.aspx?App=23&amp;ReportView=4&amp;Qid=1756219&amp;Row=2660&amp;Col=1","No Title Assigned - #15285439774")</f>
        <v/>
      </c>
      <c r="B16" t="inlineStr">
        <is>
          <t>15285439774</t>
        </is>
      </c>
      <c r="E16" t="inlineStr">
        <is>
          <t>Skims</t>
        </is>
      </c>
      <c r="F16" t="inlineStr">
        <is>
          <t>Skims : Underwear Men &amp; Women</t>
        </is>
      </c>
      <c r="G16" t="n">
        <v>7312.7993</v>
      </c>
    </row>
    <row r="17">
      <c r="A17">
        <f>HYPERLINK("https://app.vivvix.com/360/KMI/IntelliDrive/ApplUI/Pages/CreativePages/CustomReportCreativeDetail.aspx?App=23&amp;ReportView=4&amp;Qid=1756219&amp;Row=2759&amp;Col=1","S. G. Alexander: Everybody Wears It")</f>
        <v/>
      </c>
      <c r="B17" t="inlineStr">
        <is>
          <t>28345558</t>
        </is>
      </c>
      <c r="E17" t="inlineStr">
        <is>
          <t>Skims</t>
        </is>
      </c>
      <c r="F17" t="inlineStr">
        <is>
          <t>Skims : Online</t>
        </is>
      </c>
      <c r="G17" t="n">
        <v>33198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2026-01-12T00:17:50Z</dcterms:created>
  <dcterms:modified xsi:type="dcterms:W3CDTF">2026-01-12T00:17:50Z</dcterms:modified>
</cp:coreProperties>
</file>