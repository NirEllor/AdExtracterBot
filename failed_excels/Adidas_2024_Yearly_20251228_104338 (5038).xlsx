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</t>
        </is>
      </c>
      <c r="B1" t="inlineStr">
        <is>
          <t>MASTER CREATIVE ID</t>
        </is>
      </c>
      <c r="C1" t="inlineStr">
        <is>
          <t>DETAIL CREATIVE ID</t>
        </is>
      </c>
      <c r="D1" t="inlineStr">
        <is>
          <t>PARENT CREATIVE ID</t>
        </is>
      </c>
      <c r="E1" t="inlineStr">
        <is>
          <t>ADVERTISER</t>
        </is>
      </c>
      <c r="F1" t="inlineStr">
        <is>
          <t>PRODUCT</t>
        </is>
      </c>
      <c r="G1" t="inlineStr">
        <is>
          <t>$</t>
        </is>
      </c>
    </row>
    <row r="2">
      <c r="A2">
        <f>HYPERLINK("https://app.vivvix.com/360/KMI/IntelliDrive/ApplUI/Pages/CreativePages/CustomReportCreativeDetail.aspx?App=23&amp;ReportView=4&amp;Qid=1747207&amp;Row=1&amp;Col=1","   *** no headline ***")</f>
        <v/>
      </c>
      <c r="B2" t="inlineStr">
        <is>
          <t>203190018</t>
        </is>
      </c>
      <c r="E2" t="inlineStr">
        <is>
          <t>Adidas</t>
        </is>
      </c>
      <c r="F2" t="inlineStr">
        <is>
          <t>Adidas : Corporate Promotion</t>
        </is>
      </c>
      <c r="G2" t="n">
        <v>23700</v>
      </c>
    </row>
    <row r="3">
      <c r="A3">
        <f>HYPERLINK("https://app.vivvix.com/360/KMI/IntelliDrive/ApplUI/Pages/CreativePages/CustomReportCreativeDetail.aspx?App=23&amp;ReportView=4&amp;Qid=1747207&amp;Row=2&amp;Col=1","   *** no headline ***")</f>
        <v/>
      </c>
      <c r="B3" t="inlineStr">
        <is>
          <t>203753716</t>
        </is>
      </c>
      <c r="E3" t="inlineStr">
        <is>
          <t>Adidas</t>
        </is>
      </c>
      <c r="F3" t="inlineStr">
        <is>
          <t>Adidas Employee Store Clothing Store : Men &amp; Women</t>
        </is>
      </c>
      <c r="G3" t="n">
        <v>6703.2</v>
      </c>
    </row>
    <row r="4">
      <c r="A4">
        <f>HYPERLINK("https://app.vivvix.com/360/KMI/IntelliDrive/ApplUI/Pages/CreativePages/CustomReportCreativeDetail.aspx?App=23&amp;ReportView=4&amp;Qid=1747207&amp;Row=3&amp;Col=1","   *** no headline ***")</f>
        <v/>
      </c>
      <c r="B4" t="inlineStr">
        <is>
          <t>203760504</t>
        </is>
      </c>
      <c r="E4" t="inlineStr">
        <is>
          <t>Adidas</t>
        </is>
      </c>
      <c r="F4" t="inlineStr">
        <is>
          <t>Adidas Employee Store Clothing Store : Men &amp; Women</t>
        </is>
      </c>
      <c r="G4" t="n">
        <v>6703.2</v>
      </c>
    </row>
    <row r="5">
      <c r="A5">
        <f>HYPERLINK("https://app.vivvix.com/360/KMI/IntelliDrive/ApplUI/Pages/CreativePages/CustomReportCreativeDetail.aspx?App=23&amp;ReportView=4&amp;Qid=1747207&amp;Row=4&amp;Col=1","   *** no headline ***")</f>
        <v/>
      </c>
      <c r="B5" t="inlineStr">
        <is>
          <t>203777260</t>
        </is>
      </c>
      <c r="E5" t="inlineStr">
        <is>
          <t>Adidas</t>
        </is>
      </c>
      <c r="F5" t="inlineStr">
        <is>
          <t>Adidas Employee Store Clothing Store : Men &amp; Women</t>
        </is>
      </c>
      <c r="G5" t="n">
        <v>6703.2</v>
      </c>
    </row>
    <row r="6">
      <c r="A6">
        <f>HYPERLINK("https://app.vivvix.com/360/KMI/IntelliDrive/ApplUI/Pages/CreativePages/CustomReportCreativeDetail.aspx?App=23&amp;ReportView=4&amp;Qid=1747207&amp;Row=5&amp;Col=1","   *** no headline ***")</f>
        <v/>
      </c>
      <c r="B6" t="inlineStr">
        <is>
          <t>203800063</t>
        </is>
      </c>
      <c r="E6" t="inlineStr">
        <is>
          <t>Adidas</t>
        </is>
      </c>
      <c r="F6" t="inlineStr">
        <is>
          <t>Adidas Employee Store Clothing Store : Men &amp; Women</t>
        </is>
      </c>
      <c r="G6" t="n">
        <v>6703.2</v>
      </c>
    </row>
    <row r="7">
      <c r="A7">
        <f>HYPERLINK("https://app.vivvix.com/360/KMI/IntelliDrive/ApplUI/Pages/CreativePages/CustomReportCreativeDetail.aspx?App=23&amp;ReportView=4&amp;Qid=1747207&amp;Row=6&amp;Col=1","   *** no headline ***")</f>
        <v/>
      </c>
      <c r="B7" t="inlineStr">
        <is>
          <t>203806239</t>
        </is>
      </c>
      <c r="E7" t="inlineStr">
        <is>
          <t>Adidas</t>
        </is>
      </c>
      <c r="F7" t="inlineStr">
        <is>
          <t>Adidas Employee Store Clothing Store : Men &amp; Women</t>
        </is>
      </c>
      <c r="G7" t="n">
        <v>6703.2</v>
      </c>
    </row>
    <row r="8">
      <c r="A8">
        <f>HYPERLINK("https://app.vivvix.com/360/KMI/IntelliDrive/ApplUI/Pages/CreativePages/CustomReportCreativeDetail.aspx?App=23&amp;ReportView=4&amp;Qid=1747207&amp;Row=7&amp;Col=1","   *** no headline ***")</f>
        <v/>
      </c>
      <c r="B8" t="inlineStr">
        <is>
          <t>203823276</t>
        </is>
      </c>
      <c r="E8" t="inlineStr">
        <is>
          <t>Adidas</t>
        </is>
      </c>
      <c r="F8" t="inlineStr">
        <is>
          <t>Adidas Employee Store Clothing Store : Men &amp; Women</t>
        </is>
      </c>
      <c r="G8" t="n">
        <v>6703.2</v>
      </c>
    </row>
    <row r="9">
      <c r="A9">
        <f>HYPERLINK("https://app.vivvix.com/360/KMI/IntelliDrive/ApplUI/Pages/CreativePages/CustomReportCreativeDetail.aspx?App=23&amp;ReportView=4&amp;Qid=1747207&amp;Row=8&amp;Col=1","   *** no headline ***")</f>
        <v/>
      </c>
      <c r="B9" t="inlineStr">
        <is>
          <t>203837249</t>
        </is>
      </c>
      <c r="E9" t="inlineStr">
        <is>
          <t>Adidas</t>
        </is>
      </c>
      <c r="F9" t="inlineStr">
        <is>
          <t>Adidas Employee Store Clothing Store : Men &amp; Women</t>
        </is>
      </c>
      <c r="G9" t="n">
        <v>6703.2</v>
      </c>
    </row>
    <row r="10">
      <c r="A10">
        <f>HYPERLINK("https://app.vivvix.com/360/KMI/IntelliDrive/ApplUI/Pages/CreativePages/CustomReportCreativeDetail.aspx?App=23&amp;ReportView=4&amp;Qid=1747207&amp;Row=9&amp;Col=1","   *** no headline ***")</f>
        <v/>
      </c>
      <c r="B10" t="inlineStr">
        <is>
          <t>203845090</t>
        </is>
      </c>
      <c r="E10" t="inlineStr">
        <is>
          <t>Adidas</t>
        </is>
      </c>
      <c r="F10" t="inlineStr">
        <is>
          <t>Adidas Employee Store Clothing Store : Men &amp; Women</t>
        </is>
      </c>
      <c r="G10" t="n">
        <v>6703.2</v>
      </c>
    </row>
    <row r="11">
      <c r="A11">
        <f>HYPERLINK("https://app.vivvix.com/360/KMI/IntelliDrive/ApplUI/Pages/CreativePages/CustomReportCreativeDetail.aspx?App=23&amp;ReportView=4&amp;Qid=1747207&amp;Row=10&amp;Col=1","A. Boston: Take A Step Towards Victory")</f>
        <v/>
      </c>
      <c r="B11" t="inlineStr">
        <is>
          <t>587019784</t>
        </is>
      </c>
      <c r="E11" t="inlineStr">
        <is>
          <t>Adidas</t>
        </is>
      </c>
      <c r="F11" t="inlineStr">
        <is>
          <t>Adidas : Corporate Promotion</t>
        </is>
      </c>
      <c r="G11" t="n">
        <v>1671919</v>
      </c>
    </row>
    <row r="12">
      <c r="A12">
        <f>HYPERLINK("https://app.vivvix.com/360/KMI/IntelliDrive/ApplUI/Pages/CreativePages/CustomReportCreativeDetail.aspx?App=23&amp;ReportView=4&amp;Qid=1747207&amp;Row=11&amp;Col=1","A. Boston: Take A Step Towards Victory")</f>
        <v/>
      </c>
      <c r="B12" t="inlineStr">
        <is>
          <t>587019784</t>
        </is>
      </c>
      <c r="E12" t="inlineStr">
        <is>
          <t>Adidas</t>
        </is>
      </c>
      <c r="F12" t="inlineStr">
        <is>
          <t>Adidas : Corporate Promotion</t>
        </is>
      </c>
      <c r="G12" t="n">
        <v>118984</v>
      </c>
    </row>
    <row r="13">
      <c r="A13">
        <f>HYPERLINK("https://app.vivvix.com/360/KMI/IntelliDrive/ApplUI/Pages/CreativePages/CustomReportCreativeDetail.aspx?App=23&amp;ReportView=4&amp;Qid=1747207&amp;Row=12&amp;Col=1","A. Boston: Take A Step Towards Victory")</f>
        <v/>
      </c>
      <c r="B13" t="inlineStr">
        <is>
          <t>587053093</t>
        </is>
      </c>
      <c r="E13" t="inlineStr">
        <is>
          <t>Adidas</t>
        </is>
      </c>
      <c r="F13" t="inlineStr">
        <is>
          <t>Adidas : Athleticwear Women</t>
        </is>
      </c>
      <c r="G13" t="n">
        <v>427237</v>
      </c>
    </row>
    <row r="14">
      <c r="A14">
        <f>HYPERLINK("https://app.vivvix.com/360/KMI/IntelliDrive/ApplUI/Pages/CreativePages/CustomReportCreativeDetail.aspx?App=23&amp;ReportView=4&amp;Qid=1747207&amp;Row=13&amp;Col=1","A. Boston: Take A Step Towards Victory")</f>
        <v/>
      </c>
      <c r="B14" t="inlineStr">
        <is>
          <t>587053093</t>
        </is>
      </c>
      <c r="E14" t="inlineStr">
        <is>
          <t>Adidas</t>
        </is>
      </c>
      <c r="F14" t="inlineStr">
        <is>
          <t>Adidas : Athleticwear Women</t>
        </is>
      </c>
      <c r="G14" t="n">
        <v>33292</v>
      </c>
    </row>
    <row r="15">
      <c r="A15">
        <f>HYPERLINK("https://app.vivvix.com/360/KMI/IntelliDrive/ApplUI/Pages/CreativePages/CustomReportCreativeDetail.aspx?App=23&amp;ReportView=4&amp;Qid=1747207&amp;Row=14&amp;Col=1","A. Edwards: Enjoy The Better Gaming")</f>
        <v/>
      </c>
      <c r="B15" t="inlineStr">
        <is>
          <t>587077298</t>
        </is>
      </c>
      <c r="E15" t="inlineStr">
        <is>
          <t>Adidas</t>
        </is>
      </c>
      <c r="F15" t="inlineStr">
        <is>
          <t>Adidas : Athleticwear Men</t>
        </is>
      </c>
      <c r="G15" t="n">
        <v>32970</v>
      </c>
    </row>
    <row r="16">
      <c r="A16">
        <f>HYPERLINK("https://app.vivvix.com/360/KMI/IntelliDrive/ApplUI/Pages/CreativePages/CustomReportCreativeDetail.aspx?App=23&amp;ReportView=4&amp;Qid=1747207&amp;Row=15&amp;Col=1","A. Edwards: Favorite Hook Shoes")</f>
        <v/>
      </c>
      <c r="B16" t="inlineStr">
        <is>
          <t>587149917</t>
        </is>
      </c>
      <c r="E16" t="inlineStr">
        <is>
          <t>Adidas</t>
        </is>
      </c>
      <c r="F16" t="inlineStr">
        <is>
          <t>Adidas : Sports Shoes Men</t>
        </is>
      </c>
      <c r="G16" t="n">
        <v>579</v>
      </c>
    </row>
    <row r="17">
      <c r="A17">
        <f>HYPERLINK("https://app.vivvix.com/360/KMI/IntelliDrive/ApplUI/Pages/CreativePages/CustomReportCreativeDetail.aspx?App=23&amp;ReportView=4&amp;Qid=1747207&amp;Row=16&amp;Col=1","A. Edwards: Leap Of Faith")</f>
        <v/>
      </c>
      <c r="B17" t="inlineStr">
        <is>
          <t>587064055</t>
        </is>
      </c>
      <c r="E17" t="inlineStr">
        <is>
          <t>Adidas</t>
        </is>
      </c>
      <c r="F17" t="inlineStr">
        <is>
          <t>Adidas : Corporate Promotion</t>
        </is>
      </c>
      <c r="G17" t="n">
        <v>2107156</v>
      </c>
    </row>
    <row r="18">
      <c r="A18">
        <f>HYPERLINK("https://app.vivvix.com/360/KMI/IntelliDrive/ApplUI/Pages/CreativePages/CustomReportCreativeDetail.aspx?App=23&amp;ReportView=4&amp;Qid=1747207&amp;Row=17&amp;Col=1","A. Edwards: Leap Of Faith")</f>
        <v/>
      </c>
      <c r="B18" t="inlineStr">
        <is>
          <t>587064055</t>
        </is>
      </c>
      <c r="E18" t="inlineStr">
        <is>
          <t>Adidas</t>
        </is>
      </c>
      <c r="F18" t="inlineStr">
        <is>
          <t>Adidas : Corporate Promotion</t>
        </is>
      </c>
      <c r="G18" t="n">
        <v>833653</v>
      </c>
    </row>
    <row r="19">
      <c r="A19">
        <f>HYPERLINK("https://app.vivvix.com/360/KMI/IntelliDrive/ApplUI/Pages/CreativePages/CustomReportCreativeDetail.aspx?App=23&amp;ReportView=4&amp;Qid=1747207&amp;Row=18&amp;Col=1","A. Edwards: Sportswear And Workout Clothes")</f>
        <v/>
      </c>
      <c r="B19" t="inlineStr">
        <is>
          <t>587272994</t>
        </is>
      </c>
      <c r="E19" t="inlineStr">
        <is>
          <t>Adidas</t>
        </is>
      </c>
      <c r="F19" t="inlineStr">
        <is>
          <t>Adidas : Apparel</t>
        </is>
      </c>
      <c r="G19" t="n">
        <v>40980</v>
      </c>
    </row>
    <row r="20">
      <c r="A20">
        <f>HYPERLINK("https://app.vivvix.com/360/KMI/IntelliDrive/ApplUI/Pages/CreativePages/CustomReportCreativeDetail.aspx?App=23&amp;ReportView=4&amp;Qid=1747207&amp;Row=19&amp;Col=1","A. Edwards: Sportswear And Workout Clothes")</f>
        <v/>
      </c>
      <c r="B20" t="inlineStr">
        <is>
          <t>587272994</t>
        </is>
      </c>
      <c r="E20" t="inlineStr">
        <is>
          <t>Adidas</t>
        </is>
      </c>
      <c r="F20" t="inlineStr">
        <is>
          <t>Adidas : Apparel</t>
        </is>
      </c>
      <c r="G20" t="n">
        <v>6141</v>
      </c>
    </row>
    <row r="21">
      <c r="A21">
        <f>HYPERLINK("https://app.vivvix.com/360/KMI/IntelliDrive/ApplUI/Pages/CreativePages/CustomReportCreativeDetail.aspx?App=23&amp;ReportView=4&amp;Qid=1747207&amp;Row=48&amp;Col=1","Boston Marathon 2")</f>
        <v/>
      </c>
      <c r="B21" t="inlineStr">
        <is>
          <t>586508604</t>
        </is>
      </c>
      <c r="E21" t="inlineStr">
        <is>
          <t>Adidas</t>
        </is>
      </c>
      <c r="F21" t="inlineStr">
        <is>
          <t>Adidas : Corporate Promotion</t>
        </is>
      </c>
      <c r="G21" t="n">
        <v>113</v>
      </c>
    </row>
    <row r="22">
      <c r="A22">
        <f>HYPERLINK("https://app.vivvix.com/360/KMI/IntelliDrive/ApplUI/Pages/CreativePages/CustomReportCreativeDetail.aspx?App=23&amp;ReportView=4&amp;Qid=1747207&amp;Row=58&amp;Col=1","Ease Your Run, Ease Your Mind")</f>
        <v/>
      </c>
      <c r="B22" t="inlineStr">
        <is>
          <t>586498865</t>
        </is>
      </c>
      <c r="E22" t="inlineStr">
        <is>
          <t>Adidas</t>
        </is>
      </c>
      <c r="F22" t="inlineStr">
        <is>
          <t>Adidas Supernova : Sneakers Women</t>
        </is>
      </c>
      <c r="G22" t="n">
        <v>32870</v>
      </c>
    </row>
    <row r="23">
      <c r="A23">
        <f>HYPERLINK("https://app.vivvix.com/360/KMI/IntelliDrive/ApplUI/Pages/CreativePages/CustomReportCreativeDetail.aspx?App=23&amp;ReportView=4&amp;Qid=1747207&amp;Row=59&amp;Col=1","Enjoy The Better Holidays")</f>
        <v/>
      </c>
      <c r="B23" t="inlineStr">
        <is>
          <t>587240796</t>
        </is>
      </c>
      <c r="E23" t="inlineStr">
        <is>
          <t>Adidas</t>
        </is>
      </c>
      <c r="F23" t="inlineStr">
        <is>
          <t>ADIDAS AMERICA STORE</t>
        </is>
      </c>
      <c r="G23" t="n">
        <v>6998</v>
      </c>
    </row>
    <row r="24">
      <c r="A24">
        <f>HYPERLINK("https://app.vivvix.com/360/KMI/IntelliDrive/ApplUI/Pages/CreativePages/CustomReportCreativeDetail.aspx?App=23&amp;ReportView=4&amp;Qid=1747207&amp;Row=113&amp;Col=1","It's Only A Game")</f>
        <v/>
      </c>
      <c r="B24" t="inlineStr">
        <is>
          <t>587038733</t>
        </is>
      </c>
      <c r="E24" t="inlineStr">
        <is>
          <t>Adidas</t>
        </is>
      </c>
      <c r="F24" t="inlineStr">
        <is>
          <t>Adidas : Corporate Promotion</t>
        </is>
      </c>
      <c r="G24" t="n">
        <v>0</v>
      </c>
    </row>
    <row r="25">
      <c r="A25">
        <f>HYPERLINK("https://app.vivvix.com/360/KMI/IntelliDrive/ApplUI/Pages/CreativePages/CustomReportCreativeDetail.aspx?App=23&amp;ReportView=4&amp;Qid=1747207&amp;Row=116&amp;Col=1","it's only the beginning")</f>
        <v/>
      </c>
      <c r="B25" t="inlineStr">
        <is>
          <t>586669159</t>
        </is>
      </c>
      <c r="E25" t="inlineStr">
        <is>
          <t>Adidas</t>
        </is>
      </c>
      <c r="F25" t="inlineStr">
        <is>
          <t>Adidas : Corporate Promotion</t>
        </is>
      </c>
      <c r="G25" t="n">
        <v>181303</v>
      </c>
    </row>
    <row r="26">
      <c r="A26">
        <f>HYPERLINK("https://app.vivvix.com/360/KMI/IntelliDrive/ApplUI/Pages/CreativePages/CustomReportCreativeDetail.aspx?App=23&amp;ReportView=4&amp;Qid=1747207&amp;Row=117&amp;Col=1","it's only the beginning")</f>
        <v/>
      </c>
      <c r="B26" t="inlineStr">
        <is>
          <t>586669159</t>
        </is>
      </c>
      <c r="E26" t="inlineStr">
        <is>
          <t>Adidas</t>
        </is>
      </c>
      <c r="F26" t="inlineStr">
        <is>
          <t>Adidas : Corporate Promotion</t>
        </is>
      </c>
      <c r="G26" t="n">
        <v>1713</v>
      </c>
    </row>
    <row r="27">
      <c r="A27">
        <f>HYPERLINK("https://app.vivvix.com/360/KMI/IntelliDrive/ApplUI/Pages/CreativePages/CustomReportCreativeDetail.aspx?App=23&amp;ReportView=4&amp;Qid=1747207&amp;Row=118&amp;Col=1","it's only the beginning")</f>
        <v/>
      </c>
      <c r="B27" t="inlineStr">
        <is>
          <t>586669159</t>
        </is>
      </c>
      <c r="E27" t="inlineStr">
        <is>
          <t>Adidas</t>
        </is>
      </c>
      <c r="F27" t="inlineStr">
        <is>
          <t>Adidas : Corporate Promotion</t>
        </is>
      </c>
      <c r="G27" t="n">
        <v>107605</v>
      </c>
    </row>
    <row r="28">
      <c r="A28">
        <f>HYPERLINK("https://app.vivvix.com/360/KMI/IntelliDrive/ApplUI/Pages/CreativePages/CustomReportCreativeDetail.aspx?App=23&amp;ReportView=4&amp;Qid=1747207&amp;Row=119&amp;Col=1","It's Your Moment 3")</f>
        <v/>
      </c>
      <c r="B28" t="inlineStr">
        <is>
          <t>586450613</t>
        </is>
      </c>
      <c r="E28" t="inlineStr">
        <is>
          <t>Adidas</t>
        </is>
      </c>
      <c r="F28" t="inlineStr">
        <is>
          <t>Adidas : Corporate Promotion</t>
        </is>
      </c>
      <c r="G28" t="n">
        <v>2096706</v>
      </c>
    </row>
    <row r="29">
      <c r="A29">
        <f>HYPERLINK("https://app.vivvix.com/360/KMI/IntelliDrive/ApplUI/Pages/CreativePages/CustomReportCreativeDetail.aspx?App=23&amp;ReportView=4&amp;Qid=1747207&amp;Row=120&amp;Col=1","It's Your Moment 3")</f>
        <v/>
      </c>
      <c r="B29" t="inlineStr">
        <is>
          <t>586450613</t>
        </is>
      </c>
      <c r="E29" t="inlineStr">
        <is>
          <t>Adidas</t>
        </is>
      </c>
      <c r="F29" t="inlineStr">
        <is>
          <t>Adidas : Corporate Promotion</t>
        </is>
      </c>
      <c r="G29" t="n">
        <v>1266</v>
      </c>
    </row>
    <row r="30">
      <c r="A30">
        <f>HYPERLINK("https://app.vivvix.com/360/KMI/IntelliDrive/ApplUI/Pages/CreativePages/CustomReportCreativeDetail.aspx?App=23&amp;ReportView=4&amp;Qid=1747207&amp;Row=121&amp;Col=1","It's Your Moment 3")</f>
        <v/>
      </c>
      <c r="B30" t="inlineStr">
        <is>
          <t>586450613</t>
        </is>
      </c>
      <c r="E30" t="inlineStr">
        <is>
          <t>Adidas</t>
        </is>
      </c>
      <c r="F30" t="inlineStr">
        <is>
          <t>Adidas : Corporate Promotion</t>
        </is>
      </c>
      <c r="G30" t="n">
        <v>1251875</v>
      </c>
    </row>
    <row r="31">
      <c r="A31">
        <f>HYPERLINK("https://app.vivvix.com/360/KMI/IntelliDrive/ApplUI/Pages/CreativePages/CustomReportCreativeDetail.aspx?App=23&amp;ReportView=4&amp;Qid=1747207&amp;Row=122&amp;Col=1","its only a game")</f>
        <v/>
      </c>
      <c r="B31" t="inlineStr">
        <is>
          <t>586456182</t>
        </is>
      </c>
      <c r="E31" t="inlineStr">
        <is>
          <t>Adidas</t>
        </is>
      </c>
      <c r="F31" t="inlineStr">
        <is>
          <t>Adidas : Athleticwear Women</t>
        </is>
      </c>
      <c r="G31" t="n">
        <v>1039898</v>
      </c>
    </row>
    <row r="32">
      <c r="A32">
        <f>HYPERLINK("https://app.vivvix.com/360/KMI/IntelliDrive/ApplUI/Pages/CreativePages/CustomReportCreativeDetail.aspx?App=23&amp;ReportView=4&amp;Qid=1747207&amp;Row=123&amp;Col=1","its only a game")</f>
        <v/>
      </c>
      <c r="B32" t="inlineStr">
        <is>
          <t>586456182</t>
        </is>
      </c>
      <c r="E32" t="inlineStr">
        <is>
          <t>Adidas</t>
        </is>
      </c>
      <c r="F32" t="inlineStr">
        <is>
          <t>Adidas : Athleticwear Women</t>
        </is>
      </c>
      <c r="G32" t="n">
        <v>271194</v>
      </c>
    </row>
    <row r="33">
      <c r="A33">
        <f>HYPERLINK("https://app.vivvix.com/360/KMI/IntelliDrive/ApplUI/Pages/CreativePages/CustomReportCreativeDetail.aspx?App=23&amp;ReportView=4&amp;Qid=1747207&amp;Row=124&amp;Col=1","its only a job")</f>
        <v/>
      </c>
      <c r="B33" t="inlineStr">
        <is>
          <t>586514541</t>
        </is>
      </c>
      <c r="E33" t="inlineStr">
        <is>
          <t>Adidas</t>
        </is>
      </c>
      <c r="F33" t="inlineStr">
        <is>
          <t>Adidas : Corporate Promotion</t>
        </is>
      </c>
      <c r="G33" t="n">
        <v>27389</v>
      </c>
    </row>
    <row r="34">
      <c r="A34">
        <f>HYPERLINK("https://app.vivvix.com/360/KMI/IntelliDrive/ApplUI/Pages/CreativePages/CustomReportCreativeDetail.aspx?App=23&amp;ReportView=4&amp;Qid=1747207&amp;Row=125&amp;Col=1","J.Loyd: It's Only A Game")</f>
        <v/>
      </c>
      <c r="B34" t="inlineStr">
        <is>
          <t>586836203</t>
        </is>
      </c>
      <c r="E34" t="inlineStr">
        <is>
          <t>Adidas</t>
        </is>
      </c>
      <c r="F34" t="inlineStr">
        <is>
          <t>Adidas : Corporate Promotion</t>
        </is>
      </c>
      <c r="G34" t="n">
        <v>52196</v>
      </c>
    </row>
    <row r="35">
      <c r="A35">
        <f>HYPERLINK("https://app.vivvix.com/360/KMI/IntelliDrive/ApplUI/Pages/CreativePages/CustomReportCreativeDetail.aspx?App=23&amp;ReportView=4&amp;Qid=1747207&amp;Row=129&amp;Col=1","L. Messi And D. Beckham: Take The Weight Of Nation")</f>
        <v/>
      </c>
      <c r="B35" t="inlineStr">
        <is>
          <t>586731172</t>
        </is>
      </c>
      <c r="E35" t="inlineStr">
        <is>
          <t>Adidas</t>
        </is>
      </c>
      <c r="F35" t="inlineStr">
        <is>
          <t>Adidas : Corporate Promotion</t>
        </is>
      </c>
      <c r="G35" t="n">
        <v>1146530</v>
      </c>
    </row>
    <row r="36">
      <c r="A36">
        <f>HYPERLINK("https://app.vivvix.com/360/KMI/IntelliDrive/ApplUI/Pages/CreativePages/CustomReportCreativeDetail.aspx?App=23&amp;ReportView=4&amp;Qid=1747207&amp;Row=130&amp;Col=1","L. Messi And D. Beckham: Take The Weight Of Nation")</f>
        <v/>
      </c>
      <c r="B36" t="inlineStr">
        <is>
          <t>586731172</t>
        </is>
      </c>
      <c r="E36" t="inlineStr">
        <is>
          <t>Adidas</t>
        </is>
      </c>
      <c r="F36" t="inlineStr">
        <is>
          <t>Adidas : Corporate Promotion</t>
        </is>
      </c>
      <c r="G36" t="n">
        <v>4394</v>
      </c>
    </row>
    <row r="37">
      <c r="A37">
        <f>HYPERLINK("https://app.vivvix.com/360/KMI/IntelliDrive/ApplUI/Pages/CreativePages/CustomReportCreativeDetail.aspx?App=23&amp;ReportView=4&amp;Qid=1747207&amp;Row=131&amp;Col=1","L. Messi And D. Beckham: Take The Weight Of Nation")</f>
        <v/>
      </c>
      <c r="B37" t="inlineStr">
        <is>
          <t>586731172</t>
        </is>
      </c>
      <c r="E37" t="inlineStr">
        <is>
          <t>Adidas</t>
        </is>
      </c>
      <c r="F37" t="inlineStr">
        <is>
          <t>Adidas : Corporate Promotion</t>
        </is>
      </c>
      <c r="G37" t="n">
        <v>155708</v>
      </c>
    </row>
    <row r="38">
      <c r="A38">
        <f>HYPERLINK("https://app.vivvix.com/360/KMI/IntelliDrive/ApplUI/Pages/CreativePages/CustomReportCreativeDetail.aspx?App=23&amp;ReportView=4&amp;Qid=1747207&amp;Row=179&amp;Col=1","NEW YORK WINNER")</f>
        <v/>
      </c>
      <c r="B38" t="inlineStr">
        <is>
          <t>203832841</t>
        </is>
      </c>
      <c r="E38" t="inlineStr">
        <is>
          <t>Adidas</t>
        </is>
      </c>
      <c r="F38" t="inlineStr">
        <is>
          <t>Adidas Adizero Adios 4 : Sneakers Women</t>
        </is>
      </c>
      <c r="G38" t="n">
        <v>111470</v>
      </c>
    </row>
    <row r="39">
      <c r="A39">
        <f>HYPERLINK("https://app.vivvix.com/360/KMI/IntelliDrive/ApplUI/Pages/CreativePages/CustomReportCreativeDetail.aspx?App=23&amp;ReportView=4&amp;Qid=1747207&amp;Row=245&amp;Col=1","No Title Assigned - #15262845544")</f>
        <v/>
      </c>
      <c r="B39" t="inlineStr">
        <is>
          <t>15262845544</t>
        </is>
      </c>
      <c r="E39" t="inlineStr">
        <is>
          <t>Adidas</t>
        </is>
      </c>
      <c r="F39" t="inlineStr">
        <is>
          <t>Adidas : Online</t>
        </is>
      </c>
      <c r="G39" t="n">
        <v>3520.8606</v>
      </c>
    </row>
    <row r="40">
      <c r="A40">
        <f>HYPERLINK("https://app.vivvix.com/360/KMI/IntelliDrive/ApplUI/Pages/CreativePages/CustomReportCreativeDetail.aspx?App=23&amp;ReportView=4&amp;Qid=1747207&amp;Row=494&amp;Col=1","No Title Assigned - #15265641778")</f>
        <v/>
      </c>
      <c r="B40" t="inlineStr">
        <is>
          <t>15265641778</t>
        </is>
      </c>
      <c r="E40" t="inlineStr">
        <is>
          <t>Adidas</t>
        </is>
      </c>
      <c r="F40" t="inlineStr">
        <is>
          <t>Adidas : Online</t>
        </is>
      </c>
      <c r="G40" t="n">
        <v>424.711</v>
      </c>
    </row>
    <row r="41">
      <c r="A41">
        <f>HYPERLINK("https://app.vivvix.com/360/KMI/IntelliDrive/ApplUI/Pages/CreativePages/CustomReportCreativeDetail.aspx?App=23&amp;ReportView=4&amp;Qid=1747207&amp;Row=819&amp;Col=1","No Title Assigned - #15266967144")</f>
        <v/>
      </c>
      <c r="B41" t="inlineStr">
        <is>
          <t>15266967144</t>
        </is>
      </c>
      <c r="E41" t="inlineStr">
        <is>
          <t>Adidas</t>
        </is>
      </c>
      <c r="F41" t="inlineStr">
        <is>
          <t>Adidas : Online</t>
        </is>
      </c>
      <c r="G41" t="n">
        <v>113.6983</v>
      </c>
    </row>
    <row r="42">
      <c r="A42">
        <f>HYPERLINK("https://app.vivvix.com/360/KMI/IntelliDrive/ApplUI/Pages/CreativePages/CustomReportCreativeDetail.aspx?App=23&amp;ReportView=4&amp;Qid=1747207&amp;Row=1038&amp;Col=1","No Title Assigned - #15267898117")</f>
        <v/>
      </c>
      <c r="B42" t="inlineStr">
        <is>
          <t>15267898117</t>
        </is>
      </c>
      <c r="E42" t="inlineStr">
        <is>
          <t>Adidas</t>
        </is>
      </c>
      <c r="F42" t="inlineStr">
        <is>
          <t>Adidas : Online</t>
        </is>
      </c>
      <c r="G42" t="n">
        <v>218.5007</v>
      </c>
    </row>
    <row r="43">
      <c r="A43">
        <f>HYPERLINK("https://app.vivvix.com/360/KMI/IntelliDrive/ApplUI/Pages/CreativePages/CustomReportCreativeDetail.aspx?App=23&amp;ReportView=4&amp;Qid=1747207&amp;Row=1039&amp;Col=1","No Title Assigned - #15267898117")</f>
        <v/>
      </c>
      <c r="B43" t="inlineStr">
        <is>
          <t>15267898117</t>
        </is>
      </c>
      <c r="E43" t="inlineStr">
        <is>
          <t>Adidas</t>
        </is>
      </c>
      <c r="F43" t="inlineStr">
        <is>
          <t>Adidas : Online</t>
        </is>
      </c>
      <c r="G43" t="n">
        <v>1021.3454</v>
      </c>
    </row>
    <row r="44">
      <c r="A44">
        <f>HYPERLINK("https://app.vivvix.com/360/KMI/IntelliDrive/ApplUI/Pages/CreativePages/CustomReportCreativeDetail.aspx?App=23&amp;ReportView=4&amp;Qid=1747207&amp;Row=1058&amp;Col=1","No Title Assigned - #15267970098")</f>
        <v/>
      </c>
      <c r="B44" t="inlineStr">
        <is>
          <t>15267970098</t>
        </is>
      </c>
      <c r="E44" t="inlineStr">
        <is>
          <t>Adidas</t>
        </is>
      </c>
      <c r="F44" t="inlineStr">
        <is>
          <t>Adidas : Online</t>
        </is>
      </c>
      <c r="G44" t="n">
        <v>1251.3236</v>
      </c>
    </row>
    <row r="45">
      <c r="A45">
        <f>HYPERLINK("https://app.vivvix.com/360/KMI/IntelliDrive/ApplUI/Pages/CreativePages/CustomReportCreativeDetail.aspx?App=23&amp;ReportView=4&amp;Qid=1747207&amp;Row=1090&amp;Col=1","No Title Assigned - #15268143667")</f>
        <v/>
      </c>
      <c r="B45" t="inlineStr">
        <is>
          <t>15268143667</t>
        </is>
      </c>
      <c r="E45" t="inlineStr">
        <is>
          <t>Adidas</t>
        </is>
      </c>
      <c r="F45" t="inlineStr">
        <is>
          <t>Adidas : Online</t>
        </is>
      </c>
      <c r="G45" t="n">
        <v>4887.3984</v>
      </c>
    </row>
    <row r="46">
      <c r="A46">
        <f>HYPERLINK("https://app.vivvix.com/360/KMI/IntelliDrive/ApplUI/Pages/CreativePages/CustomReportCreativeDetail.aspx?App=23&amp;ReportView=4&amp;Qid=1747207&amp;Row=1096&amp;Col=1","No Title Assigned - #15268169332")</f>
        <v/>
      </c>
      <c r="B46" t="inlineStr">
        <is>
          <t>15268169332</t>
        </is>
      </c>
      <c r="E46" t="inlineStr">
        <is>
          <t>Adidas</t>
        </is>
      </c>
      <c r="F46" t="inlineStr">
        <is>
          <t>Adidas : Online</t>
        </is>
      </c>
      <c r="G46" t="n">
        <v>1015.9338</v>
      </c>
    </row>
    <row r="47">
      <c r="A47">
        <f>HYPERLINK("https://app.vivvix.com/360/KMI/IntelliDrive/ApplUI/Pages/CreativePages/CustomReportCreativeDetail.aspx?App=23&amp;ReportView=4&amp;Qid=1747207&amp;Row=1097&amp;Col=1","No Title Assigned - #15268169332")</f>
        <v/>
      </c>
      <c r="B47" t="inlineStr">
        <is>
          <t>15268169332</t>
        </is>
      </c>
      <c r="E47" t="inlineStr">
        <is>
          <t>Adidas</t>
        </is>
      </c>
      <c r="F47" t="inlineStr">
        <is>
          <t>Adidas : Online</t>
        </is>
      </c>
      <c r="G47" t="n">
        <v>1063.1228</v>
      </c>
    </row>
    <row r="48">
      <c r="A48">
        <f>HYPERLINK("https://app.vivvix.com/360/KMI/IntelliDrive/ApplUI/Pages/CreativePages/CustomReportCreativeDetail.aspx?App=23&amp;ReportView=4&amp;Qid=1747207&amp;Row=1101&amp;Col=1","No Title Assigned - #15268179642")</f>
        <v/>
      </c>
      <c r="B48" t="inlineStr">
        <is>
          <t>15268179642</t>
        </is>
      </c>
      <c r="E48" t="inlineStr">
        <is>
          <t>Adidas</t>
        </is>
      </c>
      <c r="F48" t="inlineStr">
        <is>
          <t>Adidas : Online</t>
        </is>
      </c>
      <c r="G48" t="n">
        <v>882.0779</v>
      </c>
    </row>
    <row r="49">
      <c r="A49">
        <f>HYPERLINK("https://app.vivvix.com/360/KMI/IntelliDrive/ApplUI/Pages/CreativePages/CustomReportCreativeDetail.aspx?App=23&amp;ReportView=4&amp;Qid=1747207&amp;Row=1108&amp;Col=1","No Title Assigned - #15268192994")</f>
        <v/>
      </c>
      <c r="B49" t="inlineStr">
        <is>
          <t>15268192994</t>
        </is>
      </c>
      <c r="E49" t="inlineStr">
        <is>
          <t>Adidas</t>
        </is>
      </c>
      <c r="F49" t="inlineStr">
        <is>
          <t>Adidas : Online</t>
        </is>
      </c>
      <c r="G49" t="n">
        <v>491.7537</v>
      </c>
    </row>
    <row r="50">
      <c r="A50">
        <f>HYPERLINK("https://app.vivvix.com/360/KMI/IntelliDrive/ApplUI/Pages/CreativePages/CustomReportCreativeDetail.aspx?App=23&amp;ReportView=4&amp;Qid=1747207&amp;Row=1109&amp;Col=1","No Title Assigned - #15268192994")</f>
        <v/>
      </c>
      <c r="B50" t="inlineStr">
        <is>
          <t>15268192994</t>
        </is>
      </c>
      <c r="E50" t="inlineStr">
        <is>
          <t>Adidas</t>
        </is>
      </c>
      <c r="F50" t="inlineStr">
        <is>
          <t>Adidas : Online</t>
        </is>
      </c>
      <c r="G50" t="n">
        <v>226.213</v>
      </c>
    </row>
    <row r="51">
      <c r="A51">
        <f>HYPERLINK("https://app.vivvix.com/360/KMI/IntelliDrive/ApplUI/Pages/CreativePages/CustomReportCreativeDetail.aspx?App=23&amp;ReportView=4&amp;Qid=1747207&amp;Row=1117&amp;Col=1","No Title Assigned - #15268215653")</f>
        <v/>
      </c>
      <c r="B51" t="inlineStr">
        <is>
          <t>15268215653</t>
        </is>
      </c>
      <c r="E51" t="inlineStr">
        <is>
          <t>Adidas</t>
        </is>
      </c>
      <c r="F51" t="inlineStr">
        <is>
          <t>Adidas : Online</t>
        </is>
      </c>
      <c r="G51" t="n">
        <v>1384.9932</v>
      </c>
    </row>
    <row r="52">
      <c r="A52">
        <f>HYPERLINK("https://app.vivvix.com/360/KMI/IntelliDrive/ApplUI/Pages/CreativePages/CustomReportCreativeDetail.aspx?App=23&amp;ReportView=4&amp;Qid=1747207&amp;Row=1118&amp;Col=1","No Title Assigned - #15268215653")</f>
        <v/>
      </c>
      <c r="B52" t="inlineStr">
        <is>
          <t>15268215653</t>
        </is>
      </c>
      <c r="E52" t="inlineStr">
        <is>
          <t>Adidas</t>
        </is>
      </c>
      <c r="F52" t="inlineStr">
        <is>
          <t>Adidas : Online</t>
        </is>
      </c>
      <c r="G52" t="n">
        <v>725.9283</v>
      </c>
    </row>
    <row r="53">
      <c r="A53">
        <f>HYPERLINK("https://app.vivvix.com/360/KMI/IntelliDrive/ApplUI/Pages/CreativePages/CustomReportCreativeDetail.aspx?App=23&amp;ReportView=4&amp;Qid=1747207&amp;Row=1126&amp;Col=1","No Title Assigned - #15268236400")</f>
        <v/>
      </c>
      <c r="B53" t="inlineStr">
        <is>
          <t>15268236400</t>
        </is>
      </c>
      <c r="E53" t="inlineStr">
        <is>
          <t>Adidas</t>
        </is>
      </c>
      <c r="F53" t="inlineStr">
        <is>
          <t>Adidas : Online</t>
        </is>
      </c>
      <c r="G53" t="n">
        <v>3186.3826</v>
      </c>
    </row>
    <row r="54">
      <c r="A54">
        <f>HYPERLINK("https://app.vivvix.com/360/KMI/IntelliDrive/ApplUI/Pages/CreativePages/CustomReportCreativeDetail.aspx?App=23&amp;ReportView=4&amp;Qid=1747207&amp;Row=1131&amp;Col=1","No Title Assigned - #15268251122")</f>
        <v/>
      </c>
      <c r="B54" t="inlineStr">
        <is>
          <t>15268251122</t>
        </is>
      </c>
      <c r="E54" t="inlineStr">
        <is>
          <t>Adidas</t>
        </is>
      </c>
      <c r="F54" t="inlineStr">
        <is>
          <t>Adidas : Online</t>
        </is>
      </c>
      <c r="G54" t="n">
        <v>113.7076</v>
      </c>
    </row>
    <row r="55">
      <c r="A55">
        <f>HYPERLINK("https://app.vivvix.com/360/KMI/IntelliDrive/ApplUI/Pages/CreativePages/CustomReportCreativeDetail.aspx?App=23&amp;ReportView=4&amp;Qid=1747207&amp;Row=1132&amp;Col=1","No Title Assigned - #15268251122")</f>
        <v/>
      </c>
      <c r="B55" t="inlineStr">
        <is>
          <t>15268251122</t>
        </is>
      </c>
      <c r="E55" t="inlineStr">
        <is>
          <t>Adidas</t>
        </is>
      </c>
      <c r="F55" t="inlineStr">
        <is>
          <t>Adidas : Online</t>
        </is>
      </c>
      <c r="G55" t="n">
        <v>779.1951</v>
      </c>
    </row>
    <row r="56">
      <c r="A56">
        <f>HYPERLINK("https://app.vivvix.com/360/KMI/IntelliDrive/ApplUI/Pages/CreativePages/CustomReportCreativeDetail.aspx?App=23&amp;ReportView=4&amp;Qid=1747207&amp;Row=1141&amp;Col=1","No Title Assigned - #15268383291")</f>
        <v/>
      </c>
      <c r="B56" t="inlineStr">
        <is>
          <t>15268383291</t>
        </is>
      </c>
      <c r="E56" t="inlineStr">
        <is>
          <t>Adidas</t>
        </is>
      </c>
      <c r="F56" t="inlineStr">
        <is>
          <t>Adidas : Online</t>
        </is>
      </c>
      <c r="G56" t="n">
        <v>86.3235</v>
      </c>
    </row>
    <row r="57">
      <c r="A57">
        <f>HYPERLINK("https://app.vivvix.com/360/KMI/IntelliDrive/ApplUI/Pages/CreativePages/CustomReportCreativeDetail.aspx?App=23&amp;ReportView=4&amp;Qid=1747207&amp;Row=1178&amp;Col=1","No Title Assigned - #15268557452")</f>
        <v/>
      </c>
      <c r="B57" t="inlineStr">
        <is>
          <t>15268557452</t>
        </is>
      </c>
      <c r="E57" t="inlineStr">
        <is>
          <t>Adidas</t>
        </is>
      </c>
      <c r="F57" t="inlineStr">
        <is>
          <t>Adidas : Online</t>
        </is>
      </c>
      <c r="G57" t="n">
        <v>379.0492</v>
      </c>
    </row>
    <row r="58">
      <c r="A58">
        <f>HYPERLINK("https://app.vivvix.com/360/KMI/IntelliDrive/ApplUI/Pages/CreativePages/CustomReportCreativeDetail.aspx?App=23&amp;ReportView=4&amp;Qid=1747207&amp;Row=1179&amp;Col=1","No Title Assigned - #15268558674")</f>
        <v/>
      </c>
      <c r="B58" t="inlineStr">
        <is>
          <t>15268558674</t>
        </is>
      </c>
      <c r="E58" t="inlineStr">
        <is>
          <t>Adidas</t>
        </is>
      </c>
      <c r="F58" t="inlineStr">
        <is>
          <t>Adidas : Online</t>
        </is>
      </c>
      <c r="G58" t="n">
        <v>482.618</v>
      </c>
    </row>
    <row r="59">
      <c r="A59">
        <f>HYPERLINK("https://app.vivvix.com/360/KMI/IntelliDrive/ApplUI/Pages/CreativePages/CustomReportCreativeDetail.aspx?App=23&amp;ReportView=4&amp;Qid=1747207&amp;Row=1180&amp;Col=1","No Title Assigned - #15268559158")</f>
        <v/>
      </c>
      <c r="B59" t="inlineStr">
        <is>
          <t>15268559158</t>
        </is>
      </c>
      <c r="E59" t="inlineStr">
        <is>
          <t>Adidas</t>
        </is>
      </c>
      <c r="F59" t="inlineStr">
        <is>
          <t>Adidas : Online</t>
        </is>
      </c>
      <c r="G59" t="n">
        <v>53548.3242</v>
      </c>
    </row>
    <row r="60">
      <c r="A60">
        <f>HYPERLINK("https://app.vivvix.com/360/KMI/IntelliDrive/ApplUI/Pages/CreativePages/CustomReportCreativeDetail.aspx?App=23&amp;ReportView=4&amp;Qid=1747207&amp;Row=1231&amp;Col=1","No Title Assigned - #15268844193")</f>
        <v/>
      </c>
      <c r="B60" t="inlineStr">
        <is>
          <t>15268844193</t>
        </is>
      </c>
      <c r="E60" t="inlineStr">
        <is>
          <t>Adidas</t>
        </is>
      </c>
      <c r="F60" t="inlineStr">
        <is>
          <t>Adidas : Online</t>
        </is>
      </c>
      <c r="G60" t="n">
        <v>4254.3732</v>
      </c>
    </row>
    <row r="61">
      <c r="A61">
        <f>HYPERLINK("https://app.vivvix.com/360/KMI/IntelliDrive/ApplUI/Pages/CreativePages/CustomReportCreativeDetail.aspx?App=23&amp;ReportView=4&amp;Qid=1747207&amp;Row=1232&amp;Col=1","No Title Assigned - #15268903323")</f>
        <v/>
      </c>
      <c r="B61" t="inlineStr">
        <is>
          <t>15268903323</t>
        </is>
      </c>
      <c r="E61" t="inlineStr">
        <is>
          <t>Adidas</t>
        </is>
      </c>
      <c r="F61" t="inlineStr">
        <is>
          <t>Adidas : Online</t>
        </is>
      </c>
      <c r="G61" t="n">
        <v>1074.3184</v>
      </c>
    </row>
    <row r="62">
      <c r="A62">
        <f>HYPERLINK("https://app.vivvix.com/360/KMI/IntelliDrive/ApplUI/Pages/CreativePages/CustomReportCreativeDetail.aspx?App=23&amp;ReportView=4&amp;Qid=1747207&amp;Row=1237&amp;Col=1","No Title Assigned - #15268929026")</f>
        <v/>
      </c>
      <c r="B62" t="inlineStr">
        <is>
          <t>15268929026</t>
        </is>
      </c>
      <c r="E62" t="inlineStr">
        <is>
          <t>Adidas</t>
        </is>
      </c>
      <c r="F62" t="inlineStr">
        <is>
          <t>Adidas : Online</t>
        </is>
      </c>
      <c r="G62" t="n">
        <v>175.3979</v>
      </c>
    </row>
    <row r="63">
      <c r="A63">
        <f>HYPERLINK("https://app.vivvix.com/360/KMI/IntelliDrive/ApplUI/Pages/CreativePages/CustomReportCreativeDetail.aspx?App=23&amp;ReportView=4&amp;Qid=1747207&amp;Row=1239&amp;Col=1","No Title Assigned - #15268936431")</f>
        <v/>
      </c>
      <c r="B63" t="inlineStr">
        <is>
          <t>15268936431</t>
        </is>
      </c>
      <c r="E63" t="inlineStr">
        <is>
          <t>Adidas</t>
        </is>
      </c>
      <c r="F63" t="inlineStr">
        <is>
          <t>Adidas : Online</t>
        </is>
      </c>
      <c r="G63" t="n">
        <v>891.9435</v>
      </c>
    </row>
    <row r="64">
      <c r="A64">
        <f>HYPERLINK("https://app.vivvix.com/360/KMI/IntelliDrive/ApplUI/Pages/CreativePages/CustomReportCreativeDetail.aspx?App=23&amp;ReportView=4&amp;Qid=1747207&amp;Row=1253&amp;Col=1","No Title Assigned - #15269127403")</f>
        <v/>
      </c>
      <c r="B64" t="inlineStr">
        <is>
          <t>15269127403</t>
        </is>
      </c>
      <c r="E64" t="inlineStr">
        <is>
          <t>Adidas</t>
        </is>
      </c>
      <c r="F64" t="inlineStr">
        <is>
          <t>Adidas : Online</t>
        </is>
      </c>
      <c r="G64" t="n">
        <v>540.3137</v>
      </c>
    </row>
    <row r="65">
      <c r="A65">
        <f>HYPERLINK("https://app.vivvix.com/360/KMI/IntelliDrive/ApplUI/Pages/CreativePages/CustomReportCreativeDetail.aspx?App=23&amp;ReportView=4&amp;Qid=1747207&amp;Row=1259&amp;Col=1","No Title Assigned - #15269190347")</f>
        <v/>
      </c>
      <c r="B65" t="inlineStr">
        <is>
          <t>15269190347</t>
        </is>
      </c>
      <c r="E65" t="inlineStr">
        <is>
          <t>Adidas</t>
        </is>
      </c>
      <c r="F65" t="inlineStr">
        <is>
          <t>Adidas : Online</t>
        </is>
      </c>
      <c r="G65" t="n">
        <v>4994.4746</v>
      </c>
    </row>
    <row r="66">
      <c r="A66">
        <f>HYPERLINK("https://app.vivvix.com/360/KMI/IntelliDrive/ApplUI/Pages/CreativePages/CustomReportCreativeDetail.aspx?App=23&amp;ReportView=4&amp;Qid=1747207&amp;Row=1263&amp;Col=1","No Title Assigned - #15269207070")</f>
        <v/>
      </c>
      <c r="B66" t="inlineStr">
        <is>
          <t>15269207070</t>
        </is>
      </c>
      <c r="E66" t="inlineStr">
        <is>
          <t>Adidas</t>
        </is>
      </c>
      <c r="F66" t="inlineStr">
        <is>
          <t>Adidas : Online</t>
        </is>
      </c>
      <c r="G66" t="n">
        <v>4563.7733</v>
      </c>
    </row>
    <row r="67">
      <c r="A67">
        <f>HYPERLINK("https://app.vivvix.com/360/KMI/IntelliDrive/ApplUI/Pages/CreativePages/CustomReportCreativeDetail.aspx?App=23&amp;ReportView=4&amp;Qid=1747207&amp;Row=1271&amp;Col=1","No Title Assigned - #15269226775")</f>
        <v/>
      </c>
      <c r="B67" t="inlineStr">
        <is>
          <t>15269226775</t>
        </is>
      </c>
      <c r="E67" t="inlineStr">
        <is>
          <t>Adidas</t>
        </is>
      </c>
      <c r="F67" t="inlineStr">
        <is>
          <t>Adidas : Online</t>
        </is>
      </c>
      <c r="G67" t="n">
        <v>94.7623</v>
      </c>
    </row>
    <row r="68">
      <c r="A68">
        <f>HYPERLINK("https://app.vivvix.com/360/KMI/IntelliDrive/ApplUI/Pages/CreativePages/CustomReportCreativeDetail.aspx?App=23&amp;ReportView=4&amp;Qid=1747207&amp;Row=1304&amp;Col=1","No Title Assigned - #15269417011")</f>
        <v/>
      </c>
      <c r="B68" t="inlineStr">
        <is>
          <t>15269417011</t>
        </is>
      </c>
      <c r="E68" t="inlineStr">
        <is>
          <t>Adidas</t>
        </is>
      </c>
      <c r="F68" t="inlineStr">
        <is>
          <t>Adidas : Online</t>
        </is>
      </c>
      <c r="G68" t="n">
        <v>94.7623</v>
      </c>
    </row>
    <row r="69">
      <c r="A69">
        <f>HYPERLINK("https://app.vivvix.com/360/KMI/IntelliDrive/ApplUI/Pages/CreativePages/CustomReportCreativeDetail.aspx?App=23&amp;ReportView=4&amp;Qid=1747207&amp;Row=1307&amp;Col=1","No Title Assigned - #15269428857")</f>
        <v/>
      </c>
      <c r="B69" t="inlineStr">
        <is>
          <t>15269428857</t>
        </is>
      </c>
      <c r="E69" t="inlineStr">
        <is>
          <t>Adidas</t>
        </is>
      </c>
      <c r="F69" t="inlineStr">
        <is>
          <t>Adidas : Online</t>
        </is>
      </c>
      <c r="G69" t="n">
        <v>2559.1277</v>
      </c>
    </row>
    <row r="70">
      <c r="A70">
        <f>HYPERLINK("https://app.vivvix.com/360/KMI/IntelliDrive/ApplUI/Pages/CreativePages/CustomReportCreativeDetail.aspx?App=23&amp;ReportView=4&amp;Qid=1747207&amp;Row=1308&amp;Col=1","No Title Assigned - #15269428857")</f>
        <v/>
      </c>
      <c r="B70" t="inlineStr">
        <is>
          <t>15269428857</t>
        </is>
      </c>
      <c r="E70" t="inlineStr">
        <is>
          <t>Adidas</t>
        </is>
      </c>
      <c r="F70" t="inlineStr">
        <is>
          <t>Adidas : Online</t>
        </is>
      </c>
      <c r="G70" t="n">
        <v>818.2622</v>
      </c>
    </row>
    <row r="71">
      <c r="A71">
        <f>HYPERLINK("https://app.vivvix.com/360/KMI/IntelliDrive/ApplUI/Pages/CreativePages/CustomReportCreativeDetail.aspx?App=23&amp;ReportView=4&amp;Qid=1747207&amp;Row=1309&amp;Col=1","No Title Assigned - #15269429301")</f>
        <v/>
      </c>
      <c r="B71" t="inlineStr">
        <is>
          <t>15269429301</t>
        </is>
      </c>
      <c r="E71" t="inlineStr">
        <is>
          <t>Adidas</t>
        </is>
      </c>
      <c r="F71" t="inlineStr">
        <is>
          <t>Adidas : Online</t>
        </is>
      </c>
      <c r="G71" t="n">
        <v>9.717000000000001</v>
      </c>
    </row>
    <row r="72">
      <c r="A72">
        <f>HYPERLINK("https://app.vivvix.com/360/KMI/IntelliDrive/ApplUI/Pages/CreativePages/CustomReportCreativeDetail.aspx?App=23&amp;ReportView=4&amp;Qid=1747207&amp;Row=1337&amp;Col=1","No Title Assigned - #15269638418")</f>
        <v/>
      </c>
      <c r="B72" t="inlineStr">
        <is>
          <t>15269638418</t>
        </is>
      </c>
      <c r="E72" t="inlineStr">
        <is>
          <t>Adidas</t>
        </is>
      </c>
      <c r="F72" t="inlineStr">
        <is>
          <t>Adidas : Online</t>
        </is>
      </c>
      <c r="G72" t="n">
        <v>86.968</v>
      </c>
    </row>
    <row r="73">
      <c r="A73">
        <f>HYPERLINK("https://app.vivvix.com/360/KMI/IntelliDrive/ApplUI/Pages/CreativePages/CustomReportCreativeDetail.aspx?App=23&amp;ReportView=4&amp;Qid=1747207&amp;Row=1339&amp;Col=1","No Title Assigned - #15269650228")</f>
        <v/>
      </c>
      <c r="B73" t="inlineStr">
        <is>
          <t>15269650228</t>
        </is>
      </c>
      <c r="E73" t="inlineStr">
        <is>
          <t>Adidas</t>
        </is>
      </c>
      <c r="F73" t="inlineStr">
        <is>
          <t>Adidas : Online</t>
        </is>
      </c>
      <c r="G73" t="n">
        <v>435.9245</v>
      </c>
    </row>
    <row r="74">
      <c r="A74">
        <f>HYPERLINK("https://app.vivvix.com/360/KMI/IntelliDrive/ApplUI/Pages/CreativePages/CustomReportCreativeDetail.aspx?App=23&amp;ReportView=4&amp;Qid=1747207&amp;Row=1340&amp;Col=1","No Title Assigned - #15269667636")</f>
        <v/>
      </c>
      <c r="B74" t="inlineStr">
        <is>
          <t>15269667636</t>
        </is>
      </c>
      <c r="E74" t="inlineStr">
        <is>
          <t>Adidas</t>
        </is>
      </c>
      <c r="F74" t="inlineStr">
        <is>
          <t>Adidas : Online</t>
        </is>
      </c>
      <c r="G74" t="n">
        <v>21.742</v>
      </c>
    </row>
    <row r="75">
      <c r="A75">
        <f>HYPERLINK("https://app.vivvix.com/360/KMI/IntelliDrive/ApplUI/Pages/CreativePages/CustomReportCreativeDetail.aspx?App=23&amp;ReportView=4&amp;Qid=1747207&amp;Row=1346&amp;Col=1","No Title Assigned - #15269705348")</f>
        <v/>
      </c>
      <c r="B75" t="inlineStr">
        <is>
          <t>15269705348</t>
        </is>
      </c>
      <c r="E75" t="inlineStr">
        <is>
          <t>Adidas</t>
        </is>
      </c>
      <c r="F75" t="inlineStr">
        <is>
          <t>Adidas : Online</t>
        </is>
      </c>
      <c r="G75" t="n">
        <v>419.3487</v>
      </c>
    </row>
    <row r="76">
      <c r="A76">
        <f>HYPERLINK("https://app.vivvix.com/360/KMI/IntelliDrive/ApplUI/Pages/CreativePages/CustomReportCreativeDetail.aspx?App=23&amp;ReportView=4&amp;Qid=1747207&amp;Row=1353&amp;Col=1","No Title Assigned - #15269733982")</f>
        <v/>
      </c>
      <c r="B76" t="inlineStr">
        <is>
          <t>15269733982</t>
        </is>
      </c>
      <c r="E76" t="inlineStr">
        <is>
          <t>Adidas</t>
        </is>
      </c>
      <c r="F76" t="inlineStr">
        <is>
          <t>Adidas : Online</t>
        </is>
      </c>
      <c r="G76" t="n">
        <v>5235.5923</v>
      </c>
    </row>
    <row r="77">
      <c r="A77">
        <f>HYPERLINK("https://app.vivvix.com/360/KMI/IntelliDrive/ApplUI/Pages/CreativePages/CustomReportCreativeDetail.aspx?App=23&amp;ReportView=4&amp;Qid=1747207&amp;Row=1356&amp;Col=1","No Title Assigned - #15269741791")</f>
        <v/>
      </c>
      <c r="B77" t="inlineStr">
        <is>
          <t>15269741791</t>
        </is>
      </c>
      <c r="E77" t="inlineStr">
        <is>
          <t>Adidas</t>
        </is>
      </c>
      <c r="F77" t="inlineStr">
        <is>
          <t>Adidas : Online</t>
        </is>
      </c>
      <c r="G77" t="n">
        <v>1525.8372</v>
      </c>
    </row>
    <row r="78">
      <c r="A78">
        <f>HYPERLINK("https://app.vivvix.com/360/KMI/IntelliDrive/ApplUI/Pages/CreativePages/CustomReportCreativeDetail.aspx?App=23&amp;ReportView=4&amp;Qid=1747207&amp;Row=1360&amp;Col=1","No Title Assigned - #15269764221")</f>
        <v/>
      </c>
      <c r="B78" t="inlineStr">
        <is>
          <t>15269764221</t>
        </is>
      </c>
      <c r="E78" t="inlineStr">
        <is>
          <t>Adidas</t>
        </is>
      </c>
      <c r="F78" t="inlineStr">
        <is>
          <t>Adidas : Online</t>
        </is>
      </c>
      <c r="G78" t="n">
        <v>331.4725</v>
      </c>
    </row>
    <row r="79">
      <c r="A79">
        <f>HYPERLINK("https://app.vivvix.com/360/KMI/IntelliDrive/ApplUI/Pages/CreativePages/CustomReportCreativeDetail.aspx?App=23&amp;ReportView=4&amp;Qid=1747207&amp;Row=1361&amp;Col=1","No Title Assigned - #15269764314")</f>
        <v/>
      </c>
      <c r="B79" t="inlineStr">
        <is>
          <t>15269764314</t>
        </is>
      </c>
      <c r="E79" t="inlineStr">
        <is>
          <t>Adidas</t>
        </is>
      </c>
      <c r="F79" t="inlineStr">
        <is>
          <t>Adidas : Online</t>
        </is>
      </c>
      <c r="G79" t="n">
        <v>331.4725</v>
      </c>
    </row>
    <row r="80">
      <c r="A80">
        <f>HYPERLINK("https://app.vivvix.com/360/KMI/IntelliDrive/ApplUI/Pages/CreativePages/CustomReportCreativeDetail.aspx?App=23&amp;ReportView=4&amp;Qid=1747207&amp;Row=1368&amp;Col=1","No Title Assigned - #15269786513")</f>
        <v/>
      </c>
      <c r="B80" t="inlineStr">
        <is>
          <t>15269786513</t>
        </is>
      </c>
      <c r="E80" t="inlineStr">
        <is>
          <t>Adidas</t>
        </is>
      </c>
      <c r="F80" t="inlineStr">
        <is>
          <t>Adidas : Online</t>
        </is>
      </c>
      <c r="G80" t="n">
        <v>19.6922</v>
      </c>
    </row>
    <row r="81">
      <c r="A81">
        <f>HYPERLINK("https://app.vivvix.com/360/KMI/IntelliDrive/ApplUI/Pages/CreativePages/CustomReportCreativeDetail.aspx?App=23&amp;ReportView=4&amp;Qid=1747207&amp;Row=1370&amp;Col=1","No Title Assigned - #15269786539")</f>
        <v/>
      </c>
      <c r="B81" t="inlineStr">
        <is>
          <t>15269786539</t>
        </is>
      </c>
      <c r="E81" t="inlineStr">
        <is>
          <t>Adidas</t>
        </is>
      </c>
      <c r="F81" t="inlineStr">
        <is>
          <t>Adidas : Online</t>
        </is>
      </c>
      <c r="G81" t="n">
        <v>628.7727</v>
      </c>
    </row>
    <row r="82">
      <c r="A82">
        <f>HYPERLINK("https://app.vivvix.com/360/KMI/IntelliDrive/ApplUI/Pages/CreativePages/CustomReportCreativeDetail.aspx?App=23&amp;ReportView=4&amp;Qid=1747207&amp;Row=1374&amp;Col=1","No Title Assigned - #15269859448")</f>
        <v/>
      </c>
      <c r="B82" t="inlineStr">
        <is>
          <t>15269859448</t>
        </is>
      </c>
      <c r="E82" t="inlineStr">
        <is>
          <t>Adidas</t>
        </is>
      </c>
      <c r="F82" t="inlineStr">
        <is>
          <t>Adidas : Online</t>
        </is>
      </c>
      <c r="G82" t="n">
        <v>39.3844</v>
      </c>
    </row>
    <row r="83">
      <c r="A83">
        <f>HYPERLINK("https://app.vivvix.com/360/KMI/IntelliDrive/ApplUI/Pages/CreativePages/CustomReportCreativeDetail.aspx?App=23&amp;ReportView=4&amp;Qid=1747207&amp;Row=1385&amp;Col=1","No Title Assigned - #15269934045")</f>
        <v/>
      </c>
      <c r="B83" t="inlineStr">
        <is>
          <t>15269934045</t>
        </is>
      </c>
      <c r="E83" t="inlineStr">
        <is>
          <t>Adidas</t>
        </is>
      </c>
      <c r="F83" t="inlineStr">
        <is>
          <t>Adidas : Online</t>
        </is>
      </c>
      <c r="G83" t="n">
        <v>1255.2318</v>
      </c>
    </row>
    <row r="84">
      <c r="A84">
        <f>HYPERLINK("https://app.vivvix.com/360/KMI/IntelliDrive/ApplUI/Pages/CreativePages/CustomReportCreativeDetail.aspx?App=23&amp;ReportView=4&amp;Qid=1747207&amp;Row=1386&amp;Col=1","No Title Assigned - #15269947154")</f>
        <v/>
      </c>
      <c r="B84" t="inlineStr">
        <is>
          <t>15269947154</t>
        </is>
      </c>
      <c r="E84" t="inlineStr">
        <is>
          <t>Adidas</t>
        </is>
      </c>
      <c r="F84" t="inlineStr">
        <is>
          <t>Adidas : Online</t>
        </is>
      </c>
      <c r="G84" t="n">
        <v>1267.8286</v>
      </c>
    </row>
    <row r="85">
      <c r="A85">
        <f>HYPERLINK("https://app.vivvix.com/360/KMI/IntelliDrive/ApplUI/Pages/CreativePages/CustomReportCreativeDetail.aspx?App=23&amp;ReportView=4&amp;Qid=1747207&amp;Row=1387&amp;Col=1","No Title Assigned - #15269949061")</f>
        <v/>
      </c>
      <c r="B85" t="inlineStr">
        <is>
          <t>15269949061</t>
        </is>
      </c>
      <c r="E85" t="inlineStr">
        <is>
          <t>Adidas</t>
        </is>
      </c>
      <c r="F85" t="inlineStr">
        <is>
          <t>Adidas : Online</t>
        </is>
      </c>
      <c r="G85" t="n">
        <v>1255.2318</v>
      </c>
    </row>
    <row r="86">
      <c r="A86">
        <f>HYPERLINK("https://app.vivvix.com/360/KMI/IntelliDrive/ApplUI/Pages/CreativePages/CustomReportCreativeDetail.aspx?App=23&amp;ReportView=4&amp;Qid=1747207&amp;Row=1388&amp;Col=1","No Title Assigned - #15269949238")</f>
        <v/>
      </c>
      <c r="B86" t="inlineStr">
        <is>
          <t>15269949238</t>
        </is>
      </c>
      <c r="E86" t="inlineStr">
        <is>
          <t>Adidas</t>
        </is>
      </c>
      <c r="F86" t="inlineStr">
        <is>
          <t>Adidas : Online</t>
        </is>
      </c>
      <c r="G86" t="n">
        <v>39.3844</v>
      </c>
    </row>
    <row r="87">
      <c r="A87">
        <f>HYPERLINK("https://app.vivvix.com/360/KMI/IntelliDrive/ApplUI/Pages/CreativePages/CustomReportCreativeDetail.aspx?App=23&amp;ReportView=4&amp;Qid=1747207&amp;Row=1393&amp;Col=1","No Title Assigned - #15269968201")</f>
        <v/>
      </c>
      <c r="B87" t="inlineStr">
        <is>
          <t>15269968201</t>
        </is>
      </c>
      <c r="E87" t="inlineStr">
        <is>
          <t>Adidas</t>
        </is>
      </c>
      <c r="F87" t="inlineStr">
        <is>
          <t>Adidas : Online</t>
        </is>
      </c>
      <c r="G87" t="n">
        <v>563.4811</v>
      </c>
    </row>
    <row r="88">
      <c r="A88">
        <f>HYPERLINK("https://app.vivvix.com/360/KMI/IntelliDrive/ApplUI/Pages/CreativePages/CustomReportCreativeDetail.aspx?App=23&amp;ReportView=4&amp;Qid=1747207&amp;Row=1394&amp;Col=1","No Title Assigned - #15269972865")</f>
        <v/>
      </c>
      <c r="B88" t="inlineStr">
        <is>
          <t>15269972865</t>
        </is>
      </c>
      <c r="E88" t="inlineStr">
        <is>
          <t>Adidas</t>
        </is>
      </c>
      <c r="F88" t="inlineStr">
        <is>
          <t>Adidas : Online</t>
        </is>
      </c>
      <c r="G88" t="n">
        <v>236.0752</v>
      </c>
    </row>
    <row r="89">
      <c r="A89">
        <f>HYPERLINK("https://app.vivvix.com/360/KMI/IntelliDrive/ApplUI/Pages/CreativePages/CustomReportCreativeDetail.aspx?App=23&amp;ReportView=4&amp;Qid=1747207&amp;Row=1402&amp;Col=1","No Title Assigned - #15270024354")</f>
        <v/>
      </c>
      <c r="B89" t="inlineStr">
        <is>
          <t>15270024354</t>
        </is>
      </c>
      <c r="E89" t="inlineStr">
        <is>
          <t>Adidas</t>
        </is>
      </c>
      <c r="F89" t="inlineStr">
        <is>
          <t>Adidas : Online</t>
        </is>
      </c>
      <c r="G89" t="n">
        <v>5235.5923</v>
      </c>
    </row>
    <row r="90">
      <c r="A90">
        <f>HYPERLINK("https://app.vivvix.com/360/KMI/IntelliDrive/ApplUI/Pages/CreativePages/CustomReportCreativeDetail.aspx?App=23&amp;ReportView=4&amp;Qid=1747207&amp;Row=1404&amp;Col=1","No Title Assigned - #15270025028")</f>
        <v/>
      </c>
      <c r="B90" t="inlineStr">
        <is>
          <t>15270025028</t>
        </is>
      </c>
      <c r="E90" t="inlineStr">
        <is>
          <t>Adidas</t>
        </is>
      </c>
      <c r="F90" t="inlineStr">
        <is>
          <t>Adidas : Online</t>
        </is>
      </c>
      <c r="G90" t="n">
        <v>379.0492</v>
      </c>
    </row>
    <row r="91">
      <c r="A91">
        <f>HYPERLINK("https://app.vivvix.com/360/KMI/IntelliDrive/ApplUI/Pages/CreativePages/CustomReportCreativeDetail.aspx?App=23&amp;ReportView=4&amp;Qid=1747207&amp;Row=1411&amp;Col=1","No Title Assigned - #15270061416")</f>
        <v/>
      </c>
      <c r="B91" t="inlineStr">
        <is>
          <t>15270061416</t>
        </is>
      </c>
      <c r="E91" t="inlineStr">
        <is>
          <t>Adidas</t>
        </is>
      </c>
      <c r="F91" t="inlineStr">
        <is>
          <t>Adidas : Online</t>
        </is>
      </c>
      <c r="G91" t="n">
        <v>19.6922</v>
      </c>
    </row>
    <row r="92">
      <c r="A92">
        <f>HYPERLINK("https://app.vivvix.com/360/KMI/IntelliDrive/ApplUI/Pages/CreativePages/CustomReportCreativeDetail.aspx?App=23&amp;ReportView=4&amp;Qid=1747207&amp;Row=1414&amp;Col=1","No Title Assigned - #15270111470")</f>
        <v/>
      </c>
      <c r="B92" t="inlineStr">
        <is>
          <t>15270111470</t>
        </is>
      </c>
      <c r="E92" t="inlineStr">
        <is>
          <t>Adidas</t>
        </is>
      </c>
      <c r="F92" t="inlineStr">
        <is>
          <t>Adidas : Online</t>
        </is>
      </c>
      <c r="G92" t="n">
        <v>94.7623</v>
      </c>
    </row>
    <row r="93">
      <c r="A93">
        <f>HYPERLINK("https://app.vivvix.com/360/KMI/IntelliDrive/ApplUI/Pages/CreativePages/CustomReportCreativeDetail.aspx?App=23&amp;ReportView=4&amp;Qid=1747207&amp;Row=1419&amp;Col=1","No Title Assigned - #15270141908")</f>
        <v/>
      </c>
      <c r="B93" t="inlineStr">
        <is>
          <t>15270141908</t>
        </is>
      </c>
      <c r="E93" t="inlineStr">
        <is>
          <t>Adidas</t>
        </is>
      </c>
      <c r="F93" t="inlineStr">
        <is>
          <t>Adidas : Online</t>
        </is>
      </c>
      <c r="G93" t="n">
        <v>232.6806</v>
      </c>
    </row>
    <row r="94">
      <c r="A94">
        <f>HYPERLINK("https://app.vivvix.com/360/KMI/IntelliDrive/ApplUI/Pages/CreativePages/CustomReportCreativeDetail.aspx?App=23&amp;ReportView=4&amp;Qid=1747207&amp;Row=1427&amp;Col=1","No Title Assigned - #15270211306")</f>
        <v/>
      </c>
      <c r="B94" t="inlineStr">
        <is>
          <t>15270211306</t>
        </is>
      </c>
      <c r="E94" t="inlineStr">
        <is>
          <t>Adidas</t>
        </is>
      </c>
      <c r="F94" t="inlineStr">
        <is>
          <t>Adidas : Online</t>
        </is>
      </c>
      <c r="G94" t="n">
        <v>284.2869</v>
      </c>
    </row>
    <row r="95">
      <c r="A95">
        <f>HYPERLINK("https://app.vivvix.com/360/KMI/IntelliDrive/ApplUI/Pages/CreativePages/CustomReportCreativeDetail.aspx?App=23&amp;ReportView=4&amp;Qid=1747207&amp;Row=1429&amp;Col=1","No Title Assigned - #15270237795")</f>
        <v/>
      </c>
      <c r="B95" t="inlineStr">
        <is>
          <t>15270237795</t>
        </is>
      </c>
      <c r="E95" t="inlineStr">
        <is>
          <t>Adidas</t>
        </is>
      </c>
      <c r="F95" t="inlineStr">
        <is>
          <t>Adidas : Online</t>
        </is>
      </c>
      <c r="G95" t="n">
        <v>19.6922</v>
      </c>
    </row>
    <row r="96">
      <c r="A96">
        <f>HYPERLINK("https://app.vivvix.com/360/KMI/IntelliDrive/ApplUI/Pages/CreativePages/CustomReportCreativeDetail.aspx?App=23&amp;ReportView=4&amp;Qid=1747207&amp;Row=1435&amp;Col=1","No Title Assigned - #15270252487")</f>
        <v/>
      </c>
      <c r="B96" t="inlineStr">
        <is>
          <t>15270252487</t>
        </is>
      </c>
      <c r="E96" t="inlineStr">
        <is>
          <t>Adidas</t>
        </is>
      </c>
      <c r="F96" t="inlineStr">
        <is>
          <t>Adidas : Online</t>
        </is>
      </c>
      <c r="G96" t="n">
        <v>236.0752</v>
      </c>
    </row>
    <row r="97">
      <c r="A97">
        <f>HYPERLINK("https://app.vivvix.com/360/KMI/IntelliDrive/ApplUI/Pages/CreativePages/CustomReportCreativeDetail.aspx?App=23&amp;ReportView=4&amp;Qid=1747207&amp;Row=1436&amp;Col=1","No Title Assigned - #15270252618")</f>
        <v/>
      </c>
      <c r="B97" t="inlineStr">
        <is>
          <t>15270252618</t>
        </is>
      </c>
      <c r="E97" t="inlineStr">
        <is>
          <t>Adidas</t>
        </is>
      </c>
      <c r="F97" t="inlineStr">
        <is>
          <t>Adidas : Online</t>
        </is>
      </c>
      <c r="G97" t="n">
        <v>236.0752</v>
      </c>
    </row>
    <row r="98">
      <c r="A98">
        <f>HYPERLINK("https://app.vivvix.com/360/KMI/IntelliDrive/ApplUI/Pages/CreativePages/CustomReportCreativeDetail.aspx?App=23&amp;ReportView=4&amp;Qid=1747207&amp;Row=1442&amp;Col=1","No Title Assigned - #15270337938")</f>
        <v/>
      </c>
      <c r="B98" t="inlineStr">
        <is>
          <t>15270337938</t>
        </is>
      </c>
      <c r="E98" t="inlineStr">
        <is>
          <t>Adidas</t>
        </is>
      </c>
      <c r="F98" t="inlineStr">
        <is>
          <t>Adidas : Online</t>
        </is>
      </c>
      <c r="G98" t="n">
        <v>575.6323</v>
      </c>
    </row>
    <row r="99">
      <c r="A99">
        <f>HYPERLINK("https://app.vivvix.com/360/KMI/IntelliDrive/ApplUI/Pages/CreativePages/CustomReportCreativeDetail.aspx?App=23&amp;ReportView=4&amp;Qid=1747207&amp;Row=1445&amp;Col=1","No Title Assigned - #15270360466")</f>
        <v/>
      </c>
      <c r="B99" t="inlineStr">
        <is>
          <t>15270360466</t>
        </is>
      </c>
      <c r="E99" t="inlineStr">
        <is>
          <t>Adidas</t>
        </is>
      </c>
      <c r="F99" t="inlineStr">
        <is>
          <t>Adidas : Online</t>
        </is>
      </c>
      <c r="G99" t="n">
        <v>19.6922</v>
      </c>
    </row>
    <row r="100">
      <c r="A100">
        <f>HYPERLINK("https://app.vivvix.com/360/KMI/IntelliDrive/ApplUI/Pages/CreativePages/CustomReportCreativeDetail.aspx?App=23&amp;ReportView=4&amp;Qid=1747207&amp;Row=1449&amp;Col=1","No Title Assigned - #15270382927")</f>
        <v/>
      </c>
      <c r="B100" t="inlineStr">
        <is>
          <t>15270382927</t>
        </is>
      </c>
      <c r="E100" t="inlineStr">
        <is>
          <t>Adidas</t>
        </is>
      </c>
      <c r="F100" t="inlineStr">
        <is>
          <t>Adidas : Online</t>
        </is>
      </c>
      <c r="G100" t="n">
        <v>21.742</v>
      </c>
    </row>
    <row r="101">
      <c r="A101">
        <f>HYPERLINK("https://app.vivvix.com/360/KMI/IntelliDrive/ApplUI/Pages/CreativePages/CustomReportCreativeDetail.aspx?App=23&amp;ReportView=4&amp;Qid=1747207&amp;Row=1453&amp;Col=1","No Title Assigned - #15270424028")</f>
        <v/>
      </c>
      <c r="B101" t="inlineStr">
        <is>
          <t>15270424028</t>
        </is>
      </c>
      <c r="E101" t="inlineStr">
        <is>
          <t>Adidas</t>
        </is>
      </c>
      <c r="F101" t="inlineStr">
        <is>
          <t>Adidas : Online</t>
        </is>
      </c>
      <c r="G101" t="n">
        <v>106.8569</v>
      </c>
    </row>
    <row r="102">
      <c r="A102">
        <f>HYPERLINK("https://app.vivvix.com/360/KMI/IntelliDrive/ApplUI/Pages/CreativePages/CustomReportCreativeDetail.aspx?App=23&amp;ReportView=4&amp;Qid=1747207&amp;Row=1455&amp;Col=1","No Title Assigned - #15270441478")</f>
        <v/>
      </c>
      <c r="B102" t="inlineStr">
        <is>
          <t>15270441478</t>
        </is>
      </c>
      <c r="E102" t="inlineStr">
        <is>
          <t>Adidas</t>
        </is>
      </c>
      <c r="F102" t="inlineStr">
        <is>
          <t>Adidas : Online</t>
        </is>
      </c>
      <c r="G102" t="n">
        <v>94.7623</v>
      </c>
    </row>
    <row r="103">
      <c r="A103">
        <f>HYPERLINK("https://app.vivvix.com/360/KMI/IntelliDrive/ApplUI/Pages/CreativePages/CustomReportCreativeDetail.aspx?App=23&amp;ReportView=4&amp;Qid=1747207&amp;Row=1459&amp;Col=1","No Title Assigned - #15270459133")</f>
        <v/>
      </c>
      <c r="B103" t="inlineStr">
        <is>
          <t>15270459133</t>
        </is>
      </c>
      <c r="E103" t="inlineStr">
        <is>
          <t>Adidas</t>
        </is>
      </c>
      <c r="F103" t="inlineStr">
        <is>
          <t>Adidas : Online</t>
        </is>
      </c>
      <c r="G103" t="n">
        <v>67.5121</v>
      </c>
    </row>
    <row r="104">
      <c r="A104">
        <f>HYPERLINK("https://app.vivvix.com/360/KMI/IntelliDrive/ApplUI/Pages/CreativePages/CustomReportCreativeDetail.aspx?App=23&amp;ReportView=4&amp;Qid=1747207&amp;Row=1464&amp;Col=1","No Title Assigned - #15270464085")</f>
        <v/>
      </c>
      <c r="B104" t="inlineStr">
        <is>
          <t>15270464085</t>
        </is>
      </c>
      <c r="E104" t="inlineStr">
        <is>
          <t>Adidas</t>
        </is>
      </c>
      <c r="F104" t="inlineStr">
        <is>
          <t>Adidas : Online</t>
        </is>
      </c>
      <c r="G104" t="n">
        <v>89.1395</v>
      </c>
    </row>
    <row r="105">
      <c r="A105">
        <f>HYPERLINK("https://app.vivvix.com/360/KMI/IntelliDrive/ApplUI/Pages/CreativePages/CustomReportCreativeDetail.aspx?App=23&amp;ReportView=4&amp;Qid=1747207&amp;Row=1466&amp;Col=1","No Title Assigned - #15270464165")</f>
        <v/>
      </c>
      <c r="B105" t="inlineStr">
        <is>
          <t>15270464165</t>
        </is>
      </c>
      <c r="E105" t="inlineStr">
        <is>
          <t>Adidas</t>
        </is>
      </c>
      <c r="F105" t="inlineStr">
        <is>
          <t>Adidas : Online</t>
        </is>
      </c>
      <c r="G105" t="n">
        <v>89.1395</v>
      </c>
    </row>
    <row r="106">
      <c r="A106">
        <f>HYPERLINK("https://app.vivvix.com/360/KMI/IntelliDrive/ApplUI/Pages/CreativePages/CustomReportCreativeDetail.aspx?App=23&amp;ReportView=4&amp;Qid=1747207&amp;Row=1468&amp;Col=1","No Title Assigned - #15270465844")</f>
        <v/>
      </c>
      <c r="B106" t="inlineStr">
        <is>
          <t>15270465844</t>
        </is>
      </c>
      <c r="E106" t="inlineStr">
        <is>
          <t>Adidas</t>
        </is>
      </c>
      <c r="F106" t="inlineStr">
        <is>
          <t>Adidas : Online</t>
        </is>
      </c>
      <c r="G106" t="n">
        <v>89.1395</v>
      </c>
    </row>
    <row r="107">
      <c r="A107">
        <f>HYPERLINK("https://app.vivvix.com/360/KMI/IntelliDrive/ApplUI/Pages/CreativePages/CustomReportCreativeDetail.aspx?App=23&amp;ReportView=4&amp;Qid=1747207&amp;Row=1470&amp;Col=1","No Title Assigned - #15270483264")</f>
        <v/>
      </c>
      <c r="B107" t="inlineStr">
        <is>
          <t>15270483264</t>
        </is>
      </c>
      <c r="E107" t="inlineStr">
        <is>
          <t>Adidas</t>
        </is>
      </c>
      <c r="F107" t="inlineStr">
        <is>
          <t>Adidas : Online</t>
        </is>
      </c>
      <c r="G107" t="n">
        <v>239.514</v>
      </c>
    </row>
    <row r="108">
      <c r="A108">
        <f>HYPERLINK("https://app.vivvix.com/360/KMI/IntelliDrive/ApplUI/Pages/CreativePages/CustomReportCreativeDetail.aspx?App=23&amp;ReportView=4&amp;Qid=1747207&amp;Row=1488&amp;Col=1","No Title Assigned - #15270551083")</f>
        <v/>
      </c>
      <c r="B108" t="inlineStr">
        <is>
          <t>15270551083</t>
        </is>
      </c>
      <c r="E108" t="inlineStr">
        <is>
          <t>Adidas</t>
        </is>
      </c>
      <c r="F108" t="inlineStr">
        <is>
          <t>Adidas : Online</t>
        </is>
      </c>
      <c r="G108" t="n">
        <v>189.5246</v>
      </c>
    </row>
    <row r="109">
      <c r="A109">
        <f>HYPERLINK("https://app.vivvix.com/360/KMI/IntelliDrive/ApplUI/Pages/CreativePages/CustomReportCreativeDetail.aspx?App=23&amp;ReportView=4&amp;Qid=1747207&amp;Row=1505&amp;Col=1","No Title Assigned - #15270643829")</f>
        <v/>
      </c>
      <c r="B109" t="inlineStr">
        <is>
          <t>15270643829</t>
        </is>
      </c>
      <c r="E109" t="inlineStr">
        <is>
          <t>Adidas</t>
        </is>
      </c>
      <c r="F109" t="inlineStr">
        <is>
          <t>Adidas : Online</t>
        </is>
      </c>
      <c r="G109" t="n">
        <v>94.7623</v>
      </c>
    </row>
    <row r="110">
      <c r="A110">
        <f>HYPERLINK("https://app.vivvix.com/360/KMI/IntelliDrive/ApplUI/Pages/CreativePages/CustomReportCreativeDetail.aspx?App=23&amp;ReportView=4&amp;Qid=1747207&amp;Row=1509&amp;Col=1","No Title Assigned - #15270652901")</f>
        <v/>
      </c>
      <c r="B110" t="inlineStr">
        <is>
          <t>15270652901</t>
        </is>
      </c>
      <c r="E110" t="inlineStr">
        <is>
          <t>Adidas</t>
        </is>
      </c>
      <c r="F110" t="inlineStr">
        <is>
          <t>Adidas : Online</t>
        </is>
      </c>
      <c r="G110" t="n">
        <v>1462.5306</v>
      </c>
    </row>
    <row r="111">
      <c r="A111">
        <f>HYPERLINK("https://app.vivvix.com/360/KMI/IntelliDrive/ApplUI/Pages/CreativePages/CustomReportCreativeDetail.aspx?App=23&amp;ReportView=4&amp;Qid=1747207&amp;Row=1520&amp;Col=1","No Title Assigned - #15270728153")</f>
        <v/>
      </c>
      <c r="B111" t="inlineStr">
        <is>
          <t>15270728153</t>
        </is>
      </c>
      <c r="E111" t="inlineStr">
        <is>
          <t>Adidas</t>
        </is>
      </c>
      <c r="F111" t="inlineStr">
        <is>
          <t>Adidas : Online</t>
        </is>
      </c>
      <c r="G111" t="n">
        <v>94.7623</v>
      </c>
    </row>
    <row r="112">
      <c r="A112">
        <f>HYPERLINK("https://app.vivvix.com/360/KMI/IntelliDrive/ApplUI/Pages/CreativePages/CustomReportCreativeDetail.aspx?App=23&amp;ReportView=4&amp;Qid=1747207&amp;Row=1521&amp;Col=1","No Title Assigned - #15270737568")</f>
        <v/>
      </c>
      <c r="B112" t="inlineStr">
        <is>
          <t>15270737568</t>
        </is>
      </c>
      <c r="E112" t="inlineStr">
        <is>
          <t>Adidas</t>
        </is>
      </c>
      <c r="F112" t="inlineStr">
        <is>
          <t>Adidas : Online</t>
        </is>
      </c>
      <c r="G112" t="n">
        <v>175.3979</v>
      </c>
    </row>
    <row r="113">
      <c r="A113">
        <f>HYPERLINK("https://app.vivvix.com/360/KMI/IntelliDrive/ApplUI/Pages/CreativePages/CustomReportCreativeDetail.aspx?App=23&amp;ReportView=4&amp;Qid=1747207&amp;Row=1523&amp;Col=1","No Title Assigned - #15270769946")</f>
        <v/>
      </c>
      <c r="B113" t="inlineStr">
        <is>
          <t>15270769946</t>
        </is>
      </c>
      <c r="E113" t="inlineStr">
        <is>
          <t>Adidas</t>
        </is>
      </c>
      <c r="F113" t="inlineStr">
        <is>
          <t>Adidas : Online</t>
        </is>
      </c>
      <c r="G113" t="n">
        <v>522.7618</v>
      </c>
    </row>
    <row r="114">
      <c r="A114">
        <f>HYPERLINK("https://app.vivvix.com/360/KMI/IntelliDrive/ApplUI/Pages/CreativePages/CustomReportCreativeDetail.aspx?App=23&amp;ReportView=4&amp;Qid=1747207&amp;Row=1525&amp;Col=1","No Title Assigned - #15270781086")</f>
        <v/>
      </c>
      <c r="B114" t="inlineStr">
        <is>
          <t>15270781086</t>
        </is>
      </c>
      <c r="E114" t="inlineStr">
        <is>
          <t>Adidas</t>
        </is>
      </c>
      <c r="F114" t="inlineStr">
        <is>
          <t>Adidas : Online</t>
        </is>
      </c>
      <c r="G114" t="n">
        <v>176.8125</v>
      </c>
    </row>
    <row r="115">
      <c r="A115">
        <f>HYPERLINK("https://app.vivvix.com/360/KMI/IntelliDrive/ApplUI/Pages/CreativePages/CustomReportCreativeDetail.aspx?App=23&amp;ReportView=4&amp;Qid=1747207&amp;Row=1526&amp;Col=1","No Title Assigned - #15270781086")</f>
        <v/>
      </c>
      <c r="B115" t="inlineStr">
        <is>
          <t>15270781086</t>
        </is>
      </c>
      <c r="E115" t="inlineStr">
        <is>
          <t>Adidas</t>
        </is>
      </c>
      <c r="F115" t="inlineStr">
        <is>
          <t>Adidas : Online</t>
        </is>
      </c>
      <c r="G115" t="n">
        <v>1213.5055</v>
      </c>
    </row>
    <row r="116">
      <c r="A116">
        <f>HYPERLINK("https://app.vivvix.com/360/KMI/IntelliDrive/ApplUI/Pages/CreativePages/CustomReportCreativeDetail.aspx?App=23&amp;ReportView=4&amp;Qid=1747207&amp;Row=1529&amp;Col=1","No Title Assigned - #15270804417")</f>
        <v/>
      </c>
      <c r="B116" t="inlineStr">
        <is>
          <t>15270804417</t>
        </is>
      </c>
      <c r="E116" t="inlineStr">
        <is>
          <t>Adidas</t>
        </is>
      </c>
      <c r="F116" t="inlineStr">
        <is>
          <t>Adidas : Online</t>
        </is>
      </c>
      <c r="G116" t="n">
        <v>142.011</v>
      </c>
    </row>
    <row r="117">
      <c r="A117">
        <f>HYPERLINK("https://app.vivvix.com/360/KMI/IntelliDrive/ApplUI/Pages/CreativePages/CustomReportCreativeDetail.aspx?App=23&amp;ReportView=4&amp;Qid=1747207&amp;Row=1531&amp;Col=1","No Title Assigned - #15270812613")</f>
        <v/>
      </c>
      <c r="B117" t="inlineStr">
        <is>
          <t>15270812613</t>
        </is>
      </c>
      <c r="E117" t="inlineStr">
        <is>
          <t>Adidas</t>
        </is>
      </c>
      <c r="F117" t="inlineStr">
        <is>
          <t>Adidas : Online</t>
        </is>
      </c>
      <c r="G117" t="n">
        <v>178.279</v>
      </c>
    </row>
    <row r="118">
      <c r="A118">
        <f>HYPERLINK("https://app.vivvix.com/360/KMI/IntelliDrive/ApplUI/Pages/CreativePages/CustomReportCreativeDetail.aspx?App=23&amp;ReportView=4&amp;Qid=1747207&amp;Row=1532&amp;Col=1","No Title Assigned - #15270831378")</f>
        <v/>
      </c>
      <c r="B118" t="inlineStr">
        <is>
          <t>15270831378</t>
        </is>
      </c>
      <c r="E118" t="inlineStr">
        <is>
          <t>Adidas</t>
        </is>
      </c>
      <c r="F118" t="inlineStr">
        <is>
          <t>Adidas : Online</t>
        </is>
      </c>
      <c r="G118" t="n">
        <v>83.5214</v>
      </c>
    </row>
    <row r="119">
      <c r="A119">
        <f>HYPERLINK("https://app.vivvix.com/360/KMI/IntelliDrive/ApplUI/Pages/CreativePages/CustomReportCreativeDetail.aspx?App=23&amp;ReportView=4&amp;Qid=1747207&amp;Row=1533&amp;Col=1","No Title Assigned - #15270831378")</f>
        <v/>
      </c>
      <c r="B119" t="inlineStr">
        <is>
          <t>15270831378</t>
        </is>
      </c>
      <c r="E119" t="inlineStr">
        <is>
          <t>Adidas</t>
        </is>
      </c>
      <c r="F119" t="inlineStr">
        <is>
          <t>Adidas : Online</t>
        </is>
      </c>
      <c r="G119" t="n">
        <v>29.151</v>
      </c>
    </row>
    <row r="120">
      <c r="A120">
        <f>HYPERLINK("https://app.vivvix.com/360/KMI/IntelliDrive/ApplUI/Pages/CreativePages/CustomReportCreativeDetail.aspx?App=23&amp;ReportView=4&amp;Qid=1747207&amp;Row=1534&amp;Col=1","No Title Assigned - #15270840531")</f>
        <v/>
      </c>
      <c r="B120" t="inlineStr">
        <is>
          <t>15270840531</t>
        </is>
      </c>
      <c r="E120" t="inlineStr">
        <is>
          <t>Adidas</t>
        </is>
      </c>
      <c r="F120" t="inlineStr">
        <is>
          <t>Adidas : Online</t>
        </is>
      </c>
      <c r="G120" t="n">
        <v>742.4259</v>
      </c>
    </row>
    <row r="121">
      <c r="A121">
        <f>HYPERLINK("https://app.vivvix.com/360/KMI/IntelliDrive/ApplUI/Pages/CreativePages/CustomReportCreativeDetail.aspx?App=23&amp;ReportView=4&amp;Qid=1747207&amp;Row=1535&amp;Col=1","No Title Assigned - #15270840531")</f>
        <v/>
      </c>
      <c r="B121" t="inlineStr">
        <is>
          <t>15270840531</t>
        </is>
      </c>
      <c r="E121" t="inlineStr">
        <is>
          <t>Adidas</t>
        </is>
      </c>
      <c r="F121" t="inlineStr">
        <is>
          <t>Adidas : Online</t>
        </is>
      </c>
      <c r="G121" t="n">
        <v>5430.3347</v>
      </c>
    </row>
    <row r="122">
      <c r="A122">
        <f>HYPERLINK("https://app.vivvix.com/360/KMI/IntelliDrive/ApplUI/Pages/CreativePages/CustomReportCreativeDetail.aspx?App=23&amp;ReportView=4&amp;Qid=1747207&amp;Row=1539&amp;Col=1","No Title Assigned - #15270866725")</f>
        <v/>
      </c>
      <c r="B122" t="inlineStr">
        <is>
          <t>15270866725</t>
        </is>
      </c>
      <c r="E122" t="inlineStr">
        <is>
          <t>Adidas</t>
        </is>
      </c>
      <c r="F122" t="inlineStr">
        <is>
          <t>Adidas : Online</t>
        </is>
      </c>
      <c r="G122" t="n">
        <v>19.6922</v>
      </c>
    </row>
    <row r="123">
      <c r="A123">
        <f>HYPERLINK("https://app.vivvix.com/360/KMI/IntelliDrive/ApplUI/Pages/CreativePages/CustomReportCreativeDetail.aspx?App=23&amp;ReportView=4&amp;Qid=1747207&amp;Row=1541&amp;Col=1","No Title Assigned - #15270875337")</f>
        <v/>
      </c>
      <c r="B123" t="inlineStr">
        <is>
          <t>15270875337</t>
        </is>
      </c>
      <c r="E123" t="inlineStr">
        <is>
          <t>Adidas</t>
        </is>
      </c>
      <c r="F123" t="inlineStr">
        <is>
          <t>Adidas : Online</t>
        </is>
      </c>
      <c r="G123" t="n">
        <v>477.2862</v>
      </c>
    </row>
    <row r="124">
      <c r="A124">
        <f>HYPERLINK("https://app.vivvix.com/360/KMI/IntelliDrive/ApplUI/Pages/CreativePages/CustomReportCreativeDetail.aspx?App=23&amp;ReportView=4&amp;Qid=1747207&amp;Row=1547&amp;Col=1","No Title Assigned - #15270929195")</f>
        <v/>
      </c>
      <c r="B124" t="inlineStr">
        <is>
          <t>15270929195</t>
        </is>
      </c>
      <c r="E124" t="inlineStr">
        <is>
          <t>Adidas</t>
        </is>
      </c>
      <c r="F124" t="inlineStr">
        <is>
          <t>Adidas : Online</t>
        </is>
      </c>
      <c r="G124" t="n">
        <v>362.0579</v>
      </c>
    </row>
    <row r="125">
      <c r="A125">
        <f>HYPERLINK("https://app.vivvix.com/360/KMI/IntelliDrive/ApplUI/Pages/CreativePages/CustomReportCreativeDetail.aspx?App=23&amp;ReportView=4&amp;Qid=1747207&amp;Row=1549&amp;Col=1","No Title Assigned - #15270938006")</f>
        <v/>
      </c>
      <c r="B125" t="inlineStr">
        <is>
          <t>15270938006</t>
        </is>
      </c>
      <c r="E125" t="inlineStr">
        <is>
          <t>Adidas</t>
        </is>
      </c>
      <c r="F125" t="inlineStr">
        <is>
          <t>Adidas : Online</t>
        </is>
      </c>
      <c r="G125" t="n">
        <v>2499.0072</v>
      </c>
    </row>
    <row r="126">
      <c r="A126">
        <f>HYPERLINK("https://app.vivvix.com/360/KMI/IntelliDrive/ApplUI/Pages/CreativePages/CustomReportCreativeDetail.aspx?App=23&amp;ReportView=4&amp;Qid=1747207&amp;Row=1550&amp;Col=1","No Title Assigned - #15270941674")</f>
        <v/>
      </c>
      <c r="B126" t="inlineStr">
        <is>
          <t>15270941674</t>
        </is>
      </c>
      <c r="E126" t="inlineStr">
        <is>
          <t>Adidas</t>
        </is>
      </c>
      <c r="F126" t="inlineStr">
        <is>
          <t>Adidas : Online</t>
        </is>
      </c>
      <c r="G126" t="n">
        <v>492.7908</v>
      </c>
    </row>
    <row r="127">
      <c r="A127">
        <f>HYPERLINK("https://app.vivvix.com/360/KMI/IntelliDrive/ApplUI/Pages/CreativePages/CustomReportCreativeDetail.aspx?App=23&amp;ReportView=4&amp;Qid=1747207&amp;Row=1564&amp;Col=1","No Title Assigned - #15271002528")</f>
        <v/>
      </c>
      <c r="B127" t="inlineStr">
        <is>
          <t>15271002528</t>
        </is>
      </c>
      <c r="E127" t="inlineStr">
        <is>
          <t>Adidas</t>
        </is>
      </c>
      <c r="F127" t="inlineStr">
        <is>
          <t>Adidas : Online</t>
        </is>
      </c>
      <c r="G127" t="n">
        <v>551.4179</v>
      </c>
    </row>
    <row r="128">
      <c r="A128">
        <f>HYPERLINK("https://app.vivvix.com/360/KMI/IntelliDrive/ApplUI/Pages/CreativePages/CustomReportCreativeDetail.aspx?App=23&amp;ReportView=4&amp;Qid=1747207&amp;Row=1566&amp;Col=1","No Title Assigned - #15271016520")</f>
        <v/>
      </c>
      <c r="B128" t="inlineStr">
        <is>
          <t>15271016520</t>
        </is>
      </c>
      <c r="E128" t="inlineStr">
        <is>
          <t>Adidas</t>
        </is>
      </c>
      <c r="F128" t="inlineStr">
        <is>
          <t>Adidas : Online</t>
        </is>
      </c>
      <c r="G128" t="n">
        <v>113.2221</v>
      </c>
    </row>
    <row r="129">
      <c r="A129">
        <f>HYPERLINK("https://app.vivvix.com/360/KMI/IntelliDrive/ApplUI/Pages/CreativePages/CustomReportCreativeDetail.aspx?App=23&amp;ReportView=4&amp;Qid=1747207&amp;Row=1569&amp;Col=1","No Title Assigned - #15271023824")</f>
        <v/>
      </c>
      <c r="B129" t="inlineStr">
        <is>
          <t>15271023824</t>
        </is>
      </c>
      <c r="E129" t="inlineStr">
        <is>
          <t>Adidas</t>
        </is>
      </c>
      <c r="F129" t="inlineStr">
        <is>
          <t>Adidas : Online</t>
        </is>
      </c>
      <c r="G129" t="n">
        <v>518.3502</v>
      </c>
    </row>
    <row r="130">
      <c r="A130">
        <f>HYPERLINK("https://app.vivvix.com/360/KMI/IntelliDrive/ApplUI/Pages/CreativePages/CustomReportCreativeDetail.aspx?App=23&amp;ReportView=4&amp;Qid=1747207&amp;Row=1580&amp;Col=1","No Title Assigned - #15271053273")</f>
        <v/>
      </c>
      <c r="B130" t="inlineStr">
        <is>
          <t>15271053273</t>
        </is>
      </c>
      <c r="E130" t="inlineStr">
        <is>
          <t>Adidas</t>
        </is>
      </c>
      <c r="F130" t="inlineStr">
        <is>
          <t>Adidas : Online</t>
        </is>
      </c>
      <c r="G130" t="n">
        <v>122.3676</v>
      </c>
    </row>
    <row r="131">
      <c r="A131">
        <f>HYPERLINK("https://app.vivvix.com/360/KMI/IntelliDrive/ApplUI/Pages/CreativePages/CustomReportCreativeDetail.aspx?App=23&amp;ReportView=4&amp;Qid=1747207&amp;Row=1586&amp;Col=1","No Title Assigned - #15271087770")</f>
        <v/>
      </c>
      <c r="B131" t="inlineStr">
        <is>
          <t>15271087770</t>
        </is>
      </c>
      <c r="E131" t="inlineStr">
        <is>
          <t>Adidas</t>
        </is>
      </c>
      <c r="F131" t="inlineStr">
        <is>
          <t>Adidas : Online</t>
        </is>
      </c>
      <c r="G131" t="n">
        <v>441.2376</v>
      </c>
    </row>
    <row r="132">
      <c r="A132">
        <f>HYPERLINK("https://app.vivvix.com/360/KMI/IntelliDrive/ApplUI/Pages/CreativePages/CustomReportCreativeDetail.aspx?App=23&amp;ReportView=4&amp;Qid=1747207&amp;Row=1596&amp;Col=1","No Title Assigned - #15271122455")</f>
        <v/>
      </c>
      <c r="B132" t="inlineStr">
        <is>
          <t>15271122455</t>
        </is>
      </c>
      <c r="E132" t="inlineStr">
        <is>
          <t>Adidas</t>
        </is>
      </c>
      <c r="F132" t="inlineStr">
        <is>
          <t>Adidas : Online</t>
        </is>
      </c>
      <c r="G132" t="n">
        <v>42.6738</v>
      </c>
    </row>
    <row r="133">
      <c r="A133">
        <f>HYPERLINK("https://app.vivvix.com/360/KMI/IntelliDrive/ApplUI/Pages/CreativePages/CustomReportCreativeDetail.aspx?App=23&amp;ReportView=4&amp;Qid=1747207&amp;Row=1605&amp;Col=1","No Title Assigned - #15271188869")</f>
        <v/>
      </c>
      <c r="B133" t="inlineStr">
        <is>
          <t>15271188869</t>
        </is>
      </c>
      <c r="E133" t="inlineStr">
        <is>
          <t>Adidas</t>
        </is>
      </c>
      <c r="F133" t="inlineStr">
        <is>
          <t>Adidas : Online</t>
        </is>
      </c>
      <c r="G133" t="n">
        <v>957.9613000000001</v>
      </c>
    </row>
    <row r="134">
      <c r="A134">
        <f>HYPERLINK("https://app.vivvix.com/360/KMI/IntelliDrive/ApplUI/Pages/CreativePages/CustomReportCreativeDetail.aspx?App=23&amp;ReportView=4&amp;Qid=1747207&amp;Row=1612&amp;Col=1","No Title Assigned - #15271200646")</f>
        <v/>
      </c>
      <c r="B134" t="inlineStr">
        <is>
          <t>15271200646</t>
        </is>
      </c>
      <c r="E134" t="inlineStr">
        <is>
          <t>Adidas</t>
        </is>
      </c>
      <c r="F134" t="inlineStr">
        <is>
          <t>Adidas : Online</t>
        </is>
      </c>
      <c r="G134" t="n">
        <v>543.7411</v>
      </c>
    </row>
    <row r="135">
      <c r="A135">
        <f>HYPERLINK("https://app.vivvix.com/360/KMI/IntelliDrive/ApplUI/Pages/CreativePages/CustomReportCreativeDetail.aspx?App=23&amp;ReportView=4&amp;Qid=1747207&amp;Row=1623&amp;Col=1","No Title Assigned - #15271219238")</f>
        <v/>
      </c>
      <c r="B135" t="inlineStr">
        <is>
          <t>15271219238</t>
        </is>
      </c>
      <c r="E135" t="inlineStr">
        <is>
          <t>Adidas</t>
        </is>
      </c>
      <c r="F135" t="inlineStr">
        <is>
          <t>Adidas : Online</t>
        </is>
      </c>
      <c r="G135" t="n">
        <v>113.2221</v>
      </c>
    </row>
    <row r="136">
      <c r="A136">
        <f>HYPERLINK("https://app.vivvix.com/360/KMI/IntelliDrive/ApplUI/Pages/CreativePages/CustomReportCreativeDetail.aspx?App=23&amp;ReportView=4&amp;Qid=1747207&amp;Row=1638&amp;Col=1","No Title Assigned - #15271350668")</f>
        <v/>
      </c>
      <c r="B136" t="inlineStr">
        <is>
          <t>15271350668</t>
        </is>
      </c>
      <c r="E136" t="inlineStr">
        <is>
          <t>Adidas</t>
        </is>
      </c>
      <c r="F136" t="inlineStr">
        <is>
          <t>Adidas : Online</t>
        </is>
      </c>
      <c r="G136" t="n">
        <v>152.1325</v>
      </c>
    </row>
    <row r="137">
      <c r="A137">
        <f>HYPERLINK("https://app.vivvix.com/360/KMI/IntelliDrive/ApplUI/Pages/CreativePages/CustomReportCreativeDetail.aspx?App=23&amp;ReportView=4&amp;Qid=1747207&amp;Row=1639&amp;Col=1","No Title Assigned - #15271352219")</f>
        <v/>
      </c>
      <c r="B137" t="inlineStr">
        <is>
          <t>15271352219</t>
        </is>
      </c>
      <c r="E137" t="inlineStr">
        <is>
          <t>Adidas</t>
        </is>
      </c>
      <c r="F137" t="inlineStr">
        <is>
          <t>Adidas : Online</t>
        </is>
      </c>
      <c r="G137" t="n">
        <v>252.3751</v>
      </c>
    </row>
    <row r="138">
      <c r="A138">
        <f>HYPERLINK("https://app.vivvix.com/360/KMI/IntelliDrive/ApplUI/Pages/CreativePages/CustomReportCreativeDetail.aspx?App=23&amp;ReportView=4&amp;Qid=1747207&amp;Row=1641&amp;Col=1","No Title Assigned - #15271363334")</f>
        <v/>
      </c>
      <c r="B138" t="inlineStr">
        <is>
          <t>15271363334</t>
        </is>
      </c>
      <c r="E138" t="inlineStr">
        <is>
          <t>Adidas</t>
        </is>
      </c>
      <c r="F138" t="inlineStr">
        <is>
          <t>Adidas : Online</t>
        </is>
      </c>
      <c r="G138" t="n">
        <v>3514.9331</v>
      </c>
    </row>
    <row r="139">
      <c r="A139">
        <f>HYPERLINK("https://app.vivvix.com/360/KMI/IntelliDrive/ApplUI/Pages/CreativePages/CustomReportCreativeDetail.aspx?App=23&amp;ReportView=4&amp;Qid=1747207&amp;Row=1643&amp;Col=1","No Title Assigned - #15271364704")</f>
        <v/>
      </c>
      <c r="B139" t="inlineStr">
        <is>
          <t>15271364704</t>
        </is>
      </c>
      <c r="E139" t="inlineStr">
        <is>
          <t>Adidas</t>
        </is>
      </c>
      <c r="F139" t="inlineStr">
        <is>
          <t>Adidas : Online</t>
        </is>
      </c>
      <c r="G139" t="n">
        <v>90.35809999999999</v>
      </c>
    </row>
    <row r="140">
      <c r="A140">
        <f>HYPERLINK("https://app.vivvix.com/360/KMI/IntelliDrive/ApplUI/Pages/CreativePages/CustomReportCreativeDetail.aspx?App=23&amp;ReportView=4&amp;Qid=1747207&amp;Row=1651&amp;Col=1","No Title Assigned - #15271371603")</f>
        <v/>
      </c>
      <c r="B140" t="inlineStr">
        <is>
          <t>15271371603</t>
        </is>
      </c>
      <c r="E140" t="inlineStr">
        <is>
          <t>Adidas</t>
        </is>
      </c>
      <c r="F140" t="inlineStr">
        <is>
          <t>Adidas : Online</t>
        </is>
      </c>
      <c r="G140" t="n">
        <v>2623.1566</v>
      </c>
    </row>
    <row r="141">
      <c r="A141">
        <f>HYPERLINK("https://app.vivvix.com/360/KMI/IntelliDrive/ApplUI/Pages/CreativePages/CustomReportCreativeDetail.aspx?App=23&amp;ReportView=4&amp;Qid=1747207&amp;Row=1657&amp;Col=1","No Title Assigned - #15271393867")</f>
        <v/>
      </c>
      <c r="B141" t="inlineStr">
        <is>
          <t>15271393867</t>
        </is>
      </c>
      <c r="E141" t="inlineStr">
        <is>
          <t>Adidas</t>
        </is>
      </c>
      <c r="F141" t="inlineStr">
        <is>
          <t>Adidas : Online</t>
        </is>
      </c>
      <c r="G141" t="n">
        <v>9.717000000000001</v>
      </c>
    </row>
    <row r="142">
      <c r="A142">
        <f>HYPERLINK("https://app.vivvix.com/360/KMI/IntelliDrive/ApplUI/Pages/CreativePages/CustomReportCreativeDetail.aspx?App=23&amp;ReportView=4&amp;Qid=1747207&amp;Row=1659&amp;Col=1","No Title Assigned - #15271408231")</f>
        <v/>
      </c>
      <c r="B142" t="inlineStr">
        <is>
          <t>15271408231</t>
        </is>
      </c>
      <c r="E142" t="inlineStr">
        <is>
          <t>Adidas</t>
        </is>
      </c>
      <c r="F142" t="inlineStr">
        <is>
          <t>Adidas : Online</t>
        </is>
      </c>
      <c r="G142" t="n">
        <v>435.1139</v>
      </c>
    </row>
    <row r="143">
      <c r="A143">
        <f>HYPERLINK("https://app.vivvix.com/360/KMI/IntelliDrive/ApplUI/Pages/CreativePages/CustomReportCreativeDetail.aspx?App=23&amp;ReportView=4&amp;Qid=1747207&amp;Row=1660&amp;Col=1","No Title Assigned - #15271411674")</f>
        <v/>
      </c>
      <c r="B143" t="inlineStr">
        <is>
          <t>15271411674</t>
        </is>
      </c>
      <c r="E143" t="inlineStr">
        <is>
          <t>Adidas</t>
        </is>
      </c>
      <c r="F143" t="inlineStr">
        <is>
          <t>Adidas : Online</t>
        </is>
      </c>
      <c r="G143" t="n">
        <v>63.4449</v>
      </c>
    </row>
    <row r="144">
      <c r="A144">
        <f>HYPERLINK("https://app.vivvix.com/360/KMI/IntelliDrive/ApplUI/Pages/CreativePages/CustomReportCreativeDetail.aspx?App=23&amp;ReportView=4&amp;Qid=1747207&amp;Row=1665&amp;Col=1","No Title Assigned - #15271448058")</f>
        <v/>
      </c>
      <c r="B144" t="inlineStr">
        <is>
          <t>15271448058</t>
        </is>
      </c>
      <c r="E144" t="inlineStr">
        <is>
          <t>Adidas</t>
        </is>
      </c>
      <c r="F144" t="inlineStr">
        <is>
          <t>Adidas : Online</t>
        </is>
      </c>
      <c r="G144" t="n">
        <v>482.2509</v>
      </c>
    </row>
    <row r="145">
      <c r="A145">
        <f>HYPERLINK("https://app.vivvix.com/360/KMI/IntelliDrive/ApplUI/Pages/CreativePages/CustomReportCreativeDetail.aspx?App=23&amp;ReportView=4&amp;Qid=1747207&amp;Row=1667&amp;Col=1","No Title Assigned - #15271448797")</f>
        <v/>
      </c>
      <c r="B145" t="inlineStr">
        <is>
          <t>15271448797</t>
        </is>
      </c>
      <c r="E145" t="inlineStr">
        <is>
          <t>Adidas</t>
        </is>
      </c>
      <c r="F145" t="inlineStr">
        <is>
          <t>Adidas : Online</t>
        </is>
      </c>
      <c r="G145" t="n">
        <v>3173.7439</v>
      </c>
    </row>
    <row r="146">
      <c r="A146">
        <f>HYPERLINK("https://app.vivvix.com/360/KMI/IntelliDrive/ApplUI/Pages/CreativePages/CustomReportCreativeDetail.aspx?App=23&amp;ReportView=4&amp;Qid=1747207&amp;Row=1673&amp;Col=1","No Title Assigned - #15271453437")</f>
        <v/>
      </c>
      <c r="B146" t="inlineStr">
        <is>
          <t>15271453437</t>
        </is>
      </c>
      <c r="E146" t="inlineStr">
        <is>
          <t>Adidas</t>
        </is>
      </c>
      <c r="F146" t="inlineStr">
        <is>
          <t>Adidas : Online</t>
        </is>
      </c>
      <c r="G146" t="n">
        <v>9503.8184</v>
      </c>
    </row>
    <row r="147">
      <c r="A147">
        <f>HYPERLINK("https://app.vivvix.com/360/KMI/IntelliDrive/ApplUI/Pages/CreativePages/CustomReportCreativeDetail.aspx?App=23&amp;ReportView=4&amp;Qid=1747207&amp;Row=1674&amp;Col=1","No Title Assigned - #15271468310")</f>
        <v/>
      </c>
      <c r="B147" t="inlineStr">
        <is>
          <t>15271468310</t>
        </is>
      </c>
      <c r="E147" t="inlineStr">
        <is>
          <t>Adidas</t>
        </is>
      </c>
      <c r="F147" t="inlineStr">
        <is>
          <t>Adidas : Online</t>
        </is>
      </c>
      <c r="G147" t="n">
        <v>483.2802</v>
      </c>
    </row>
    <row r="148">
      <c r="A148">
        <f>HYPERLINK("https://app.vivvix.com/360/KMI/IntelliDrive/ApplUI/Pages/CreativePages/CustomReportCreativeDetail.aspx?App=23&amp;ReportView=4&amp;Qid=1747207&amp;Row=1684&amp;Col=1","No Title Assigned - #15271508103")</f>
        <v/>
      </c>
      <c r="B148" t="inlineStr">
        <is>
          <t>15271508103</t>
        </is>
      </c>
      <c r="E148" t="inlineStr">
        <is>
          <t>Adidas</t>
        </is>
      </c>
      <c r="F148" t="inlineStr">
        <is>
          <t>Adidas : Online</t>
        </is>
      </c>
      <c r="G148" t="n">
        <v>220.3722</v>
      </c>
    </row>
    <row r="149">
      <c r="A149">
        <f>HYPERLINK("https://app.vivvix.com/360/KMI/IntelliDrive/ApplUI/Pages/CreativePages/CustomReportCreativeDetail.aspx?App=23&amp;ReportView=4&amp;Qid=1747207&amp;Row=1689&amp;Col=1","No Title Assigned - #15271525049")</f>
        <v/>
      </c>
      <c r="B149" t="inlineStr">
        <is>
          <t>15271525049</t>
        </is>
      </c>
      <c r="E149" t="inlineStr">
        <is>
          <t>Adidas</t>
        </is>
      </c>
      <c r="F149" t="inlineStr">
        <is>
          <t>Adidas : Online</t>
        </is>
      </c>
      <c r="G149" t="n">
        <v>823.0628</v>
      </c>
    </row>
    <row r="150">
      <c r="A150">
        <f>HYPERLINK("https://app.vivvix.com/360/KMI/IntelliDrive/ApplUI/Pages/CreativePages/CustomReportCreativeDetail.aspx?App=23&amp;ReportView=4&amp;Qid=1747207&amp;Row=1690&amp;Col=1","No Title Assigned - #15271525049")</f>
        <v/>
      </c>
      <c r="B150" t="inlineStr">
        <is>
          <t>15271525049</t>
        </is>
      </c>
      <c r="E150" t="inlineStr">
        <is>
          <t>Adidas</t>
        </is>
      </c>
      <c r="F150" t="inlineStr">
        <is>
          <t>Adidas : Online</t>
        </is>
      </c>
      <c r="G150" t="n">
        <v>420.4306</v>
      </c>
    </row>
    <row r="151">
      <c r="A151">
        <f>HYPERLINK("https://app.vivvix.com/360/KMI/IntelliDrive/ApplUI/Pages/CreativePages/CustomReportCreativeDetail.aspx?App=23&amp;ReportView=4&amp;Qid=1747207&amp;Row=1691&amp;Col=1","No Title Assigned - #15271526633")</f>
        <v/>
      </c>
      <c r="B151" t="inlineStr">
        <is>
          <t>15271526633</t>
        </is>
      </c>
      <c r="E151" t="inlineStr">
        <is>
          <t>Adidas</t>
        </is>
      </c>
      <c r="F151" t="inlineStr">
        <is>
          <t>Adidas : Online</t>
        </is>
      </c>
      <c r="G151" t="n">
        <v>407.7259</v>
      </c>
    </row>
    <row r="152">
      <c r="A152">
        <f>HYPERLINK("https://app.vivvix.com/360/KMI/IntelliDrive/ApplUI/Pages/CreativePages/CustomReportCreativeDetail.aspx?App=23&amp;ReportView=4&amp;Qid=1747207&amp;Row=1693&amp;Col=1","No Title Assigned - #15271527819")</f>
        <v/>
      </c>
      <c r="B152" t="inlineStr">
        <is>
          <t>15271527819</t>
        </is>
      </c>
      <c r="E152" t="inlineStr">
        <is>
          <t>Adidas</t>
        </is>
      </c>
      <c r="F152" t="inlineStr">
        <is>
          <t>Adidas : Online</t>
        </is>
      </c>
      <c r="G152" t="n">
        <v>113.2221</v>
      </c>
    </row>
    <row r="153">
      <c r="A153">
        <f>HYPERLINK("https://app.vivvix.com/360/KMI/IntelliDrive/ApplUI/Pages/CreativePages/CustomReportCreativeDetail.aspx?App=23&amp;ReportView=4&amp;Qid=1747207&amp;Row=1703&amp;Col=1","No Title Assigned - #15271645488")</f>
        <v/>
      </c>
      <c r="B153" t="inlineStr">
        <is>
          <t>15271645488</t>
        </is>
      </c>
      <c r="E153" t="inlineStr">
        <is>
          <t>Adidas</t>
        </is>
      </c>
      <c r="F153" t="inlineStr">
        <is>
          <t>Adidas : Online</t>
        </is>
      </c>
      <c r="G153" t="n">
        <v>567.3069</v>
      </c>
    </row>
    <row r="154">
      <c r="A154">
        <f>HYPERLINK("https://app.vivvix.com/360/KMI/IntelliDrive/ApplUI/Pages/CreativePages/CustomReportCreativeDetail.aspx?App=23&amp;ReportView=4&amp;Qid=1747207&amp;Row=1718&amp;Col=1","No Title Assigned - #15271703038")</f>
        <v/>
      </c>
      <c r="B154" t="inlineStr">
        <is>
          <t>15271703038</t>
        </is>
      </c>
      <c r="E154" t="inlineStr">
        <is>
          <t>Adidas</t>
        </is>
      </c>
      <c r="F154" t="inlineStr">
        <is>
          <t>Adidas : Online</t>
        </is>
      </c>
      <c r="G154" t="n">
        <v>672.8318</v>
      </c>
    </row>
    <row r="155">
      <c r="A155">
        <f>HYPERLINK("https://app.vivvix.com/360/KMI/IntelliDrive/ApplUI/Pages/CreativePages/CustomReportCreativeDetail.aspx?App=23&amp;ReportView=4&amp;Qid=1747207&amp;Row=1737&amp;Col=1","No Title Assigned - #15271923861")</f>
        <v/>
      </c>
      <c r="B155" t="inlineStr">
        <is>
          <t>15271923861</t>
        </is>
      </c>
      <c r="E155" t="inlineStr">
        <is>
          <t>Adidas</t>
        </is>
      </c>
      <c r="F155" t="inlineStr">
        <is>
          <t>Adidas : Online</t>
        </is>
      </c>
      <c r="G155" t="n">
        <v>785.3189</v>
      </c>
    </row>
    <row r="156">
      <c r="A156">
        <f>HYPERLINK("https://app.vivvix.com/360/KMI/IntelliDrive/ApplUI/Pages/CreativePages/CustomReportCreativeDetail.aspx?App=23&amp;ReportView=4&amp;Qid=1747207&amp;Row=1738&amp;Col=1","No Title Assigned - #15271923861")</f>
        <v/>
      </c>
      <c r="B156" t="inlineStr">
        <is>
          <t>15271923861</t>
        </is>
      </c>
      <c r="E156" t="inlineStr">
        <is>
          <t>Adidas</t>
        </is>
      </c>
      <c r="F156" t="inlineStr">
        <is>
          <t>Adidas : Online</t>
        </is>
      </c>
      <c r="G156" t="n">
        <v>1699.2222</v>
      </c>
    </row>
    <row r="157">
      <c r="A157">
        <f>HYPERLINK("https://app.vivvix.com/360/KMI/IntelliDrive/ApplUI/Pages/CreativePages/CustomReportCreativeDetail.aspx?App=23&amp;ReportView=4&amp;Qid=1747207&amp;Row=1739&amp;Col=1","No Title Assigned - #15271938620")</f>
        <v/>
      </c>
      <c r="B157" t="inlineStr">
        <is>
          <t>15271938620</t>
        </is>
      </c>
      <c r="E157" t="inlineStr">
        <is>
          <t>Adidas</t>
        </is>
      </c>
      <c r="F157" t="inlineStr">
        <is>
          <t>Adidas : Online</t>
        </is>
      </c>
      <c r="G157" t="n">
        <v>6274.7964</v>
      </c>
    </row>
    <row r="158">
      <c r="A158">
        <f>HYPERLINK("https://app.vivvix.com/360/KMI/IntelliDrive/ApplUI/Pages/CreativePages/CustomReportCreativeDetail.aspx?App=23&amp;ReportView=4&amp;Qid=1747207&amp;Row=1745&amp;Col=1","No Title Assigned - #15271986349")</f>
        <v/>
      </c>
      <c r="B158" t="inlineStr">
        <is>
          <t>15271986349</t>
        </is>
      </c>
      <c r="E158" t="inlineStr">
        <is>
          <t>Adidas</t>
        </is>
      </c>
      <c r="F158" t="inlineStr">
        <is>
          <t>Adidas : Online</t>
        </is>
      </c>
      <c r="G158" t="n">
        <v>820.97</v>
      </c>
    </row>
    <row r="159">
      <c r="A159">
        <f>HYPERLINK("https://app.vivvix.com/360/KMI/IntelliDrive/ApplUI/Pages/CreativePages/CustomReportCreativeDetail.aspx?App=23&amp;ReportView=4&amp;Qid=1747207&amp;Row=1747&amp;Col=1","No Title Assigned - #15271989345")</f>
        <v/>
      </c>
      <c r="B159" t="inlineStr">
        <is>
          <t>15271989345</t>
        </is>
      </c>
      <c r="E159" t="inlineStr">
        <is>
          <t>Adidas</t>
        </is>
      </c>
      <c r="F159" t="inlineStr">
        <is>
          <t>Adidas : Online</t>
        </is>
      </c>
      <c r="G159" t="n">
        <v>63.4449</v>
      </c>
    </row>
    <row r="160">
      <c r="A160">
        <f>HYPERLINK("https://app.vivvix.com/360/KMI/IntelliDrive/ApplUI/Pages/CreativePages/CustomReportCreativeDetail.aspx?App=23&amp;ReportView=4&amp;Qid=1747207&amp;Row=1748&amp;Col=1","No Title Assigned - #15272001943")</f>
        <v/>
      </c>
      <c r="B160" t="inlineStr">
        <is>
          <t>15272001943</t>
        </is>
      </c>
      <c r="E160" t="inlineStr">
        <is>
          <t>Adidas</t>
        </is>
      </c>
      <c r="F160" t="inlineStr">
        <is>
          <t>Adidas : Online</t>
        </is>
      </c>
      <c r="G160" t="n">
        <v>662.949</v>
      </c>
    </row>
    <row r="161">
      <c r="A161">
        <f>HYPERLINK("https://app.vivvix.com/360/KMI/IntelliDrive/ApplUI/Pages/CreativePages/CustomReportCreativeDetail.aspx?App=23&amp;ReportView=4&amp;Qid=1747207&amp;Row=1752&amp;Col=1","No Title Assigned - #15272033704")</f>
        <v/>
      </c>
      <c r="B161" t="inlineStr">
        <is>
          <t>15272033704</t>
        </is>
      </c>
      <c r="E161" t="inlineStr">
        <is>
          <t>Adidas</t>
        </is>
      </c>
      <c r="F161" t="inlineStr">
        <is>
          <t>Adidas : Online</t>
        </is>
      </c>
      <c r="G161" t="n">
        <v>2299.0493</v>
      </c>
    </row>
    <row r="162">
      <c r="A162">
        <f>HYPERLINK("https://app.vivvix.com/360/KMI/IntelliDrive/ApplUI/Pages/CreativePages/CustomReportCreativeDetail.aspx?App=23&amp;ReportView=4&amp;Qid=1747207&amp;Row=1765&amp;Col=1","No Title Assigned - #15272097850")</f>
        <v/>
      </c>
      <c r="B162" t="inlineStr">
        <is>
          <t>15272097850</t>
        </is>
      </c>
      <c r="E162" t="inlineStr">
        <is>
          <t>Adidas</t>
        </is>
      </c>
      <c r="F162" t="inlineStr">
        <is>
          <t>Adidas : Online</t>
        </is>
      </c>
      <c r="G162" t="n">
        <v>58.681</v>
      </c>
    </row>
    <row r="163">
      <c r="A163">
        <f>HYPERLINK("https://app.vivvix.com/360/KMI/IntelliDrive/ApplUI/Pages/CreativePages/CustomReportCreativeDetail.aspx?App=23&amp;ReportView=4&amp;Qid=1747207&amp;Row=1781&amp;Col=1","No Title Assigned - #15272184142")</f>
        <v/>
      </c>
      <c r="B163" t="inlineStr">
        <is>
          <t>15272184142</t>
        </is>
      </c>
      <c r="E163" t="inlineStr">
        <is>
          <t>Adidas</t>
        </is>
      </c>
      <c r="F163" t="inlineStr">
        <is>
          <t>Adidas : Online</t>
        </is>
      </c>
      <c r="G163" t="n">
        <v>1404.4313</v>
      </c>
    </row>
    <row r="164">
      <c r="A164">
        <f>HYPERLINK("https://app.vivvix.com/360/KMI/IntelliDrive/ApplUI/Pages/CreativePages/CustomReportCreativeDetail.aspx?App=23&amp;ReportView=4&amp;Qid=1747207&amp;Row=1782&amp;Col=1","No Title Assigned - #15272184144")</f>
        <v/>
      </c>
      <c r="B164" t="inlineStr">
        <is>
          <t>15272184144</t>
        </is>
      </c>
      <c r="E164" t="inlineStr">
        <is>
          <t>Adidas</t>
        </is>
      </c>
      <c r="F164" t="inlineStr">
        <is>
          <t>Adidas : Online</t>
        </is>
      </c>
      <c r="G164" t="n">
        <v>1404.4313</v>
      </c>
    </row>
    <row r="165">
      <c r="A165">
        <f>HYPERLINK("https://app.vivvix.com/360/KMI/IntelliDrive/ApplUI/Pages/CreativePages/CustomReportCreativeDetail.aspx?App=23&amp;ReportView=4&amp;Qid=1747207&amp;Row=1784&amp;Col=1","No Title Assigned - #15272193128")</f>
        <v/>
      </c>
      <c r="B165" t="inlineStr">
        <is>
          <t>15272193128</t>
        </is>
      </c>
      <c r="E165" t="inlineStr">
        <is>
          <t>Adidas</t>
        </is>
      </c>
      <c r="F165" t="inlineStr">
        <is>
          <t>Adidas : Online</t>
        </is>
      </c>
      <c r="G165" t="n">
        <v>71.32250000000001</v>
      </c>
    </row>
    <row r="166">
      <c r="A166">
        <f>HYPERLINK("https://app.vivvix.com/360/KMI/IntelliDrive/ApplUI/Pages/CreativePages/CustomReportCreativeDetail.aspx?App=23&amp;ReportView=4&amp;Qid=1747207&amp;Row=1791&amp;Col=1","No Title Assigned - #15272271524")</f>
        <v/>
      </c>
      <c r="B166" t="inlineStr">
        <is>
          <t>15272271524</t>
        </is>
      </c>
      <c r="E166" t="inlineStr">
        <is>
          <t>Adidas</t>
        </is>
      </c>
      <c r="F166" t="inlineStr">
        <is>
          <t>Adidas : Online</t>
        </is>
      </c>
      <c r="G166" t="n">
        <v>1781.7404</v>
      </c>
    </row>
    <row r="167">
      <c r="A167">
        <f>HYPERLINK("https://app.vivvix.com/360/KMI/IntelliDrive/ApplUI/Pages/CreativePages/CustomReportCreativeDetail.aspx?App=23&amp;ReportView=4&amp;Qid=1747207&amp;Row=1803&amp;Col=1","No Title Assigned - #15272384469")</f>
        <v/>
      </c>
      <c r="B167" t="inlineStr">
        <is>
          <t>15272384469</t>
        </is>
      </c>
      <c r="E167" t="inlineStr">
        <is>
          <t>Adidas</t>
        </is>
      </c>
      <c r="F167" t="inlineStr">
        <is>
          <t>Adidas : Online</t>
        </is>
      </c>
      <c r="G167" t="n">
        <v>21.3369</v>
      </c>
    </row>
    <row r="168">
      <c r="A168">
        <f>HYPERLINK("https://app.vivvix.com/360/KMI/IntelliDrive/ApplUI/Pages/CreativePages/CustomReportCreativeDetail.aspx?App=23&amp;ReportView=4&amp;Qid=1747207&amp;Row=1804&amp;Col=1","No Title Assigned - #15272387464")</f>
        <v/>
      </c>
      <c r="B168" t="inlineStr">
        <is>
          <t>15272387464</t>
        </is>
      </c>
      <c r="E168" t="inlineStr">
        <is>
          <t>Adidas</t>
        </is>
      </c>
      <c r="F168" t="inlineStr">
        <is>
          <t>Adidas : Online</t>
        </is>
      </c>
      <c r="G168" t="n">
        <v>3034.0155</v>
      </c>
    </row>
    <row r="169">
      <c r="A169">
        <f>HYPERLINK("https://app.vivvix.com/360/KMI/IntelliDrive/ApplUI/Pages/CreativePages/CustomReportCreativeDetail.aspx?App=23&amp;ReportView=4&amp;Qid=1747207&amp;Row=1810&amp;Col=1","No Title Assigned - #15272522309")</f>
        <v/>
      </c>
      <c r="B169" t="inlineStr">
        <is>
          <t>15272522309</t>
        </is>
      </c>
      <c r="E169" t="inlineStr">
        <is>
          <t>Adidas</t>
        </is>
      </c>
      <c r="F169" t="inlineStr">
        <is>
          <t>Adidas : Online</t>
        </is>
      </c>
      <c r="G169" t="n">
        <v>606.8031</v>
      </c>
    </row>
    <row r="170">
      <c r="A170">
        <f>HYPERLINK("https://app.vivvix.com/360/KMI/IntelliDrive/ApplUI/Pages/CreativePages/CustomReportCreativeDetail.aspx?App=23&amp;ReportView=4&amp;Qid=1747207&amp;Row=1811&amp;Col=1","No Title Assigned - #15272549283")</f>
        <v/>
      </c>
      <c r="B170" t="inlineStr">
        <is>
          <t>15272549283</t>
        </is>
      </c>
      <c r="E170" t="inlineStr">
        <is>
          <t>Adidas</t>
        </is>
      </c>
      <c r="F170" t="inlineStr">
        <is>
          <t>Adidas : Online</t>
        </is>
      </c>
      <c r="G170" t="n">
        <v>84.4406</v>
      </c>
    </row>
    <row r="171">
      <c r="A171">
        <f>HYPERLINK("https://app.vivvix.com/360/KMI/IntelliDrive/ApplUI/Pages/CreativePages/CustomReportCreativeDetail.aspx?App=23&amp;ReportView=4&amp;Qid=1747207&amp;Row=1813&amp;Col=1","No Title Assigned - #15272552656")</f>
        <v/>
      </c>
      <c r="B171" t="inlineStr">
        <is>
          <t>15272552656</t>
        </is>
      </c>
      <c r="E171" t="inlineStr">
        <is>
          <t>Adidas</t>
        </is>
      </c>
      <c r="F171" t="inlineStr">
        <is>
          <t>Adidas : Online</t>
        </is>
      </c>
      <c r="G171" t="n">
        <v>3240.3186</v>
      </c>
    </row>
    <row r="172">
      <c r="A172">
        <f>HYPERLINK("https://app.vivvix.com/360/KMI/IntelliDrive/ApplUI/Pages/CreativePages/CustomReportCreativeDetail.aspx?App=23&amp;ReportView=4&amp;Qid=1747207&amp;Row=1824&amp;Col=1","No Title Assigned - #15272591142")</f>
        <v/>
      </c>
      <c r="B172" t="inlineStr">
        <is>
          <t>15272591142</t>
        </is>
      </c>
      <c r="E172" t="inlineStr">
        <is>
          <t>Adidas</t>
        </is>
      </c>
      <c r="F172" t="inlineStr">
        <is>
          <t>Adidas : Online</t>
        </is>
      </c>
      <c r="G172" t="n">
        <v>21.3369</v>
      </c>
    </row>
    <row r="173">
      <c r="A173">
        <f>HYPERLINK("https://app.vivvix.com/360/KMI/IntelliDrive/ApplUI/Pages/CreativePages/CustomReportCreativeDetail.aspx?App=23&amp;ReportView=4&amp;Qid=1747207&amp;Row=1825&amp;Col=1","No Title Assigned - #15272591482")</f>
        <v/>
      </c>
      <c r="B173" t="inlineStr">
        <is>
          <t>15272591482</t>
        </is>
      </c>
      <c r="E173" t="inlineStr">
        <is>
          <t>Adidas</t>
        </is>
      </c>
      <c r="F173" t="inlineStr">
        <is>
          <t>Adidas : Online</t>
        </is>
      </c>
      <c r="G173" t="n">
        <v>6274.7964</v>
      </c>
    </row>
    <row r="174">
      <c r="A174">
        <f>HYPERLINK("https://app.vivvix.com/360/KMI/IntelliDrive/ApplUI/Pages/CreativePages/CustomReportCreativeDetail.aspx?App=23&amp;ReportView=4&amp;Qid=1747207&amp;Row=1830&amp;Col=1","No Title Assigned - #15272680107")</f>
        <v/>
      </c>
      <c r="B174" t="inlineStr">
        <is>
          <t>15272680107</t>
        </is>
      </c>
      <c r="E174" t="inlineStr">
        <is>
          <t>Adidas</t>
        </is>
      </c>
      <c r="F174" t="inlineStr">
        <is>
          <t>Adidas : Online</t>
        </is>
      </c>
      <c r="G174" t="n">
        <v>3514.9331</v>
      </c>
    </row>
    <row r="175">
      <c r="A175">
        <f>HYPERLINK("https://app.vivvix.com/360/KMI/IntelliDrive/ApplUI/Pages/CreativePages/CustomReportCreativeDetail.aspx?App=23&amp;ReportView=4&amp;Qid=1747207&amp;Row=1831&amp;Col=1","No Title Assigned - #15272725121")</f>
        <v/>
      </c>
      <c r="B175" t="inlineStr">
        <is>
          <t>15272725121</t>
        </is>
      </c>
      <c r="E175" t="inlineStr">
        <is>
          <t>Adidas</t>
        </is>
      </c>
      <c r="F175" t="inlineStr">
        <is>
          <t>Adidas : Online</t>
        </is>
      </c>
      <c r="G175" t="n">
        <v>71.32250000000001</v>
      </c>
    </row>
    <row r="176">
      <c r="A176">
        <f>HYPERLINK("https://app.vivvix.com/360/KMI/IntelliDrive/ApplUI/Pages/CreativePages/CustomReportCreativeDetail.aspx?App=23&amp;ReportView=4&amp;Qid=1747207&amp;Row=1835&amp;Col=1","No Title Assigned - #15272765657")</f>
        <v/>
      </c>
      <c r="B176" t="inlineStr">
        <is>
          <t>15272765657</t>
        </is>
      </c>
      <c r="E176" t="inlineStr">
        <is>
          <t>Adidas</t>
        </is>
      </c>
      <c r="F176" t="inlineStr">
        <is>
          <t>Adidas : Online</t>
        </is>
      </c>
      <c r="G176" t="n">
        <v>461.0129</v>
      </c>
    </row>
    <row r="177">
      <c r="A177">
        <f>HYPERLINK("https://app.vivvix.com/360/KMI/IntelliDrive/ApplUI/Pages/CreativePages/CustomReportCreativeDetail.aspx?App=23&amp;ReportView=4&amp;Qid=1747207&amp;Row=1836&amp;Col=1","No Title Assigned - #15272766488")</f>
        <v/>
      </c>
      <c r="B177" t="inlineStr">
        <is>
          <t>15272766488</t>
        </is>
      </c>
      <c r="E177" t="inlineStr">
        <is>
          <t>Adidas</t>
        </is>
      </c>
      <c r="F177" t="inlineStr">
        <is>
          <t>Adidas : Online</t>
        </is>
      </c>
      <c r="G177" t="n">
        <v>404.5354</v>
      </c>
    </row>
    <row r="178">
      <c r="A178">
        <f>HYPERLINK("https://app.vivvix.com/360/KMI/IntelliDrive/ApplUI/Pages/CreativePages/CustomReportCreativeDetail.aspx?App=23&amp;ReportView=4&amp;Qid=1747207&amp;Row=1837&amp;Col=1","No Title Assigned - #15272767006")</f>
        <v/>
      </c>
      <c r="B178" t="inlineStr">
        <is>
          <t>15272767006</t>
        </is>
      </c>
      <c r="E178" t="inlineStr">
        <is>
          <t>Adidas</t>
        </is>
      </c>
      <c r="F178" t="inlineStr">
        <is>
          <t>Adidas : Online</t>
        </is>
      </c>
      <c r="G178" t="n">
        <v>1282.4668</v>
      </c>
    </row>
    <row r="179">
      <c r="A179">
        <f>HYPERLINK("https://app.vivvix.com/360/KMI/IntelliDrive/ApplUI/Pages/CreativePages/CustomReportCreativeDetail.aspx?App=23&amp;ReportView=4&amp;Qid=1747207&amp;Row=1839&amp;Col=1","No Title Assigned - #15272776383")</f>
        <v/>
      </c>
      <c r="B179" t="inlineStr">
        <is>
          <t>15272776383</t>
        </is>
      </c>
      <c r="E179" t="inlineStr">
        <is>
          <t>Adidas</t>
        </is>
      </c>
      <c r="F179" t="inlineStr">
        <is>
          <t>Adidas : Online</t>
        </is>
      </c>
      <c r="G179" t="n">
        <v>314.5648</v>
      </c>
    </row>
    <row r="180">
      <c r="A180">
        <f>HYPERLINK("https://app.vivvix.com/360/KMI/IntelliDrive/ApplUI/Pages/CreativePages/CustomReportCreativeDetail.aspx?App=23&amp;ReportView=4&amp;Qid=1747207&amp;Row=1842&amp;Col=1","No Title Assigned - #15272781600")</f>
        <v/>
      </c>
      <c r="B180" t="inlineStr">
        <is>
          <t>15272781600</t>
        </is>
      </c>
      <c r="E180" t="inlineStr">
        <is>
          <t>Adidas</t>
        </is>
      </c>
      <c r="F180" t="inlineStr">
        <is>
          <t>Adidas : Online</t>
        </is>
      </c>
      <c r="G180" t="n">
        <v>237.2544</v>
      </c>
    </row>
    <row r="181">
      <c r="A181">
        <f>HYPERLINK("https://app.vivvix.com/360/KMI/IntelliDrive/ApplUI/Pages/CreativePages/CustomReportCreativeDetail.aspx?App=23&amp;ReportView=4&amp;Qid=1747207&amp;Row=1844&amp;Col=1","No Title Assigned - #15272825081")</f>
        <v/>
      </c>
      <c r="B181" t="inlineStr">
        <is>
          <t>15272825081</t>
        </is>
      </c>
      <c r="E181" t="inlineStr">
        <is>
          <t>Adidas</t>
        </is>
      </c>
      <c r="F181" t="inlineStr">
        <is>
          <t>Adidas : Online</t>
        </is>
      </c>
      <c r="G181" t="n">
        <v>419.8887</v>
      </c>
    </row>
    <row r="182">
      <c r="A182">
        <f>HYPERLINK("https://app.vivvix.com/360/KMI/IntelliDrive/ApplUI/Pages/CreativePages/CustomReportCreativeDetail.aspx?App=23&amp;ReportView=4&amp;Qid=1747207&amp;Row=1849&amp;Col=1","No Title Assigned - #15272850253")</f>
        <v/>
      </c>
      <c r="B182" t="inlineStr">
        <is>
          <t>15272850253</t>
        </is>
      </c>
      <c r="E182" t="inlineStr">
        <is>
          <t>Adidas</t>
        </is>
      </c>
      <c r="F182" t="inlineStr">
        <is>
          <t>Adidas : Online</t>
        </is>
      </c>
      <c r="G182" t="n">
        <v>4690.5718</v>
      </c>
    </row>
    <row r="183">
      <c r="A183">
        <f>HYPERLINK("https://app.vivvix.com/360/KMI/IntelliDrive/ApplUI/Pages/CreativePages/CustomReportCreativeDetail.aspx?App=23&amp;ReportView=4&amp;Qid=1747207&amp;Row=1850&amp;Col=1","No Title Assigned - #15272850623")</f>
        <v/>
      </c>
      <c r="B183" t="inlineStr">
        <is>
          <t>15272850623</t>
        </is>
      </c>
      <c r="E183" t="inlineStr">
        <is>
          <t>Adidas</t>
        </is>
      </c>
      <c r="F183" t="inlineStr">
        <is>
          <t>Adidas : Online</t>
        </is>
      </c>
      <c r="G183" t="n">
        <v>4690.5718</v>
      </c>
    </row>
    <row r="184">
      <c r="A184">
        <f>HYPERLINK("https://app.vivvix.com/360/KMI/IntelliDrive/ApplUI/Pages/CreativePages/CustomReportCreativeDetail.aspx?App=23&amp;ReportView=4&amp;Qid=1747207&amp;Row=1860&amp;Col=1","No Title Assigned - #15272948091")</f>
        <v/>
      </c>
      <c r="B184" t="inlineStr">
        <is>
          <t>15272948091</t>
        </is>
      </c>
      <c r="E184" t="inlineStr">
        <is>
          <t>Adidas</t>
        </is>
      </c>
      <c r="F184" t="inlineStr">
        <is>
          <t>Adidas : Online</t>
        </is>
      </c>
      <c r="G184" t="n">
        <v>6274.7964</v>
      </c>
    </row>
    <row r="185">
      <c r="A185">
        <f>HYPERLINK("https://app.vivvix.com/360/KMI/IntelliDrive/ApplUI/Pages/CreativePages/CustomReportCreativeDetail.aspx?App=23&amp;ReportView=4&amp;Qid=1747207&amp;Row=1869&amp;Col=1","No Title Assigned - #15273020853")</f>
        <v/>
      </c>
      <c r="B185" t="inlineStr">
        <is>
          <t>15273020853</t>
        </is>
      </c>
      <c r="E185" t="inlineStr">
        <is>
          <t>Adidas</t>
        </is>
      </c>
      <c r="F185" t="inlineStr">
        <is>
          <t>Adidas : Online</t>
        </is>
      </c>
      <c r="G185" t="n">
        <v>113.2221</v>
      </c>
    </row>
    <row r="186">
      <c r="A186">
        <f>HYPERLINK("https://app.vivvix.com/360/KMI/IntelliDrive/ApplUI/Pages/CreativePages/CustomReportCreativeDetail.aspx?App=23&amp;ReportView=4&amp;Qid=1747207&amp;Row=1870&amp;Col=1","No Title Assigned - #15273021190")</f>
        <v/>
      </c>
      <c r="B186" t="inlineStr">
        <is>
          <t>15273021190</t>
        </is>
      </c>
      <c r="E186" t="inlineStr">
        <is>
          <t>Adidas</t>
        </is>
      </c>
      <c r="F186" t="inlineStr">
        <is>
          <t>Adidas : Online</t>
        </is>
      </c>
      <c r="G186" t="n">
        <v>71.32250000000001</v>
      </c>
    </row>
    <row r="187">
      <c r="A187">
        <f>HYPERLINK("https://app.vivvix.com/360/KMI/IntelliDrive/ApplUI/Pages/CreativePages/CustomReportCreativeDetail.aspx?App=23&amp;ReportView=4&amp;Qid=1747207&amp;Row=1890&amp;Col=1","No Title Assigned - #15273243511")</f>
        <v/>
      </c>
      <c r="B187" t="inlineStr">
        <is>
          <t>15273243511</t>
        </is>
      </c>
      <c r="E187" t="inlineStr">
        <is>
          <t>Adidas</t>
        </is>
      </c>
      <c r="F187" t="inlineStr">
        <is>
          <t>Adidas : Online</t>
        </is>
      </c>
      <c r="G187" t="n">
        <v>6274.7964</v>
      </c>
    </row>
    <row r="188">
      <c r="A188">
        <f>HYPERLINK("https://app.vivvix.com/360/KMI/IntelliDrive/ApplUI/Pages/CreativePages/CustomReportCreativeDetail.aspx?App=23&amp;ReportView=4&amp;Qid=1747207&amp;Row=1892&amp;Col=1","No Title Assigned - #15273266760")</f>
        <v/>
      </c>
      <c r="B188" t="inlineStr">
        <is>
          <t>15273266760</t>
        </is>
      </c>
      <c r="E188" t="inlineStr">
        <is>
          <t>Adidas</t>
        </is>
      </c>
      <c r="F188" t="inlineStr">
        <is>
          <t>Adidas : Online</t>
        </is>
      </c>
      <c r="G188" t="n">
        <v>244.7352</v>
      </c>
    </row>
    <row r="189">
      <c r="A189">
        <f>HYPERLINK("https://app.vivvix.com/360/KMI/IntelliDrive/ApplUI/Pages/CreativePages/CustomReportCreativeDetail.aspx?App=23&amp;ReportView=4&amp;Qid=1747207&amp;Row=1897&amp;Col=1","No Title Assigned - #15273275702")</f>
        <v/>
      </c>
      <c r="B189" t="inlineStr">
        <is>
          <t>15273275702</t>
        </is>
      </c>
      <c r="E189" t="inlineStr">
        <is>
          <t>Adidas</t>
        </is>
      </c>
      <c r="F189" t="inlineStr">
        <is>
          <t>Adidas : Online</t>
        </is>
      </c>
      <c r="G189" t="n">
        <v>3514.9331</v>
      </c>
    </row>
    <row r="190">
      <c r="A190">
        <f>HYPERLINK("https://app.vivvix.com/360/KMI/IntelliDrive/ApplUI/Pages/CreativePages/CustomReportCreativeDetail.aspx?App=23&amp;ReportView=4&amp;Qid=1747207&amp;Row=1898&amp;Col=1","No Title Assigned - #15273275714")</f>
        <v/>
      </c>
      <c r="B190" t="inlineStr">
        <is>
          <t>15273275714</t>
        </is>
      </c>
      <c r="E190" t="inlineStr">
        <is>
          <t>Adidas</t>
        </is>
      </c>
      <c r="F190" t="inlineStr">
        <is>
          <t>Adidas : Online</t>
        </is>
      </c>
      <c r="G190" t="n">
        <v>3514.9331</v>
      </c>
    </row>
    <row r="191">
      <c r="A191">
        <f>HYPERLINK("https://app.vivvix.com/360/KMI/IntelliDrive/ApplUI/Pages/CreativePages/CustomReportCreativeDetail.aspx?App=23&amp;ReportView=4&amp;Qid=1747207&amp;Row=1899&amp;Col=1","No Title Assigned - #15273276079")</f>
        <v/>
      </c>
      <c r="B191" t="inlineStr">
        <is>
          <t>15273276079</t>
        </is>
      </c>
      <c r="E191" t="inlineStr">
        <is>
          <t>Adidas</t>
        </is>
      </c>
      <c r="F191" t="inlineStr">
        <is>
          <t>Adidas : Online</t>
        </is>
      </c>
      <c r="G191" t="n">
        <v>3514.9331</v>
      </c>
    </row>
    <row r="192">
      <c r="A192">
        <f>HYPERLINK("https://app.vivvix.com/360/KMI/IntelliDrive/ApplUI/Pages/CreativePages/CustomReportCreativeDetail.aspx?App=23&amp;ReportView=4&amp;Qid=1747207&amp;Row=1900&amp;Col=1","No Title Assigned - #15273277312")</f>
        <v/>
      </c>
      <c r="B192" t="inlineStr">
        <is>
          <t>15273277312</t>
        </is>
      </c>
      <c r="E192" t="inlineStr">
        <is>
          <t>Adidas</t>
        </is>
      </c>
      <c r="F192" t="inlineStr">
        <is>
          <t>Adidas : Online</t>
        </is>
      </c>
      <c r="G192" t="n">
        <v>3514.9331</v>
      </c>
    </row>
    <row r="193">
      <c r="A193">
        <f>HYPERLINK("https://app.vivvix.com/360/KMI/IntelliDrive/ApplUI/Pages/CreativePages/CustomReportCreativeDetail.aspx?App=23&amp;ReportView=4&amp;Qid=1747207&amp;Row=1903&amp;Col=1","No Title Assigned - #15273285991")</f>
        <v/>
      </c>
      <c r="B193" t="inlineStr">
        <is>
          <t>15273285991</t>
        </is>
      </c>
      <c r="E193" t="inlineStr">
        <is>
          <t>Adidas</t>
        </is>
      </c>
      <c r="F193" t="inlineStr">
        <is>
          <t>Adidas : Online</t>
        </is>
      </c>
      <c r="G193" t="n">
        <v>3240.3186</v>
      </c>
    </row>
    <row r="194">
      <c r="A194">
        <f>HYPERLINK("https://app.vivvix.com/360/KMI/IntelliDrive/ApplUI/Pages/CreativePages/CustomReportCreativeDetail.aspx?App=23&amp;ReportView=4&amp;Qid=1747207&amp;Row=1905&amp;Col=1","No Title Assigned - #15273333599")</f>
        <v/>
      </c>
      <c r="B194" t="inlineStr">
        <is>
          <t>15273333599</t>
        </is>
      </c>
      <c r="E194" t="inlineStr">
        <is>
          <t>Adidas</t>
        </is>
      </c>
      <c r="F194" t="inlineStr">
        <is>
          <t>Adidas : Online</t>
        </is>
      </c>
      <c r="G194" t="n">
        <v>620.1547</v>
      </c>
    </row>
    <row r="195">
      <c r="A195">
        <f>HYPERLINK("https://app.vivvix.com/360/KMI/IntelliDrive/ApplUI/Pages/CreativePages/CustomReportCreativeDetail.aspx?App=23&amp;ReportView=4&amp;Qid=1747207&amp;Row=1906&amp;Col=1","No Title Assigned - #15273333600")</f>
        <v/>
      </c>
      <c r="B195" t="inlineStr">
        <is>
          <t>15273333600</t>
        </is>
      </c>
      <c r="E195" t="inlineStr">
        <is>
          <t>Adidas</t>
        </is>
      </c>
      <c r="F195" t="inlineStr">
        <is>
          <t>Adidas : Online</t>
        </is>
      </c>
      <c r="G195" t="n">
        <v>2750.0961</v>
      </c>
    </row>
    <row r="196">
      <c r="A196">
        <f>HYPERLINK("https://app.vivvix.com/360/KMI/IntelliDrive/ApplUI/Pages/CreativePages/CustomReportCreativeDetail.aspx?App=23&amp;ReportView=4&amp;Qid=1747207&amp;Row=1909&amp;Col=1","No Title Assigned - #15273360637")</f>
        <v/>
      </c>
      <c r="B196" t="inlineStr">
        <is>
          <t>15273360637</t>
        </is>
      </c>
      <c r="E196" t="inlineStr">
        <is>
          <t>Adidas</t>
        </is>
      </c>
      <c r="F196" t="inlineStr">
        <is>
          <t>Adidas : Online</t>
        </is>
      </c>
      <c r="G196" t="n">
        <v>3514.9331</v>
      </c>
    </row>
    <row r="197">
      <c r="A197">
        <f>HYPERLINK("https://app.vivvix.com/360/KMI/IntelliDrive/ApplUI/Pages/CreativePages/CustomReportCreativeDetail.aspx?App=23&amp;ReportView=4&amp;Qid=1747207&amp;Row=1917&amp;Col=1","No Title Assigned - #15273429555")</f>
        <v/>
      </c>
      <c r="B197" t="inlineStr">
        <is>
          <t>15273429555</t>
        </is>
      </c>
      <c r="E197" t="inlineStr">
        <is>
          <t>Adidas</t>
        </is>
      </c>
      <c r="F197" t="inlineStr">
        <is>
          <t>Adidas : Online</t>
        </is>
      </c>
      <c r="G197" t="n">
        <v>3514.9331</v>
      </c>
    </row>
    <row r="198">
      <c r="A198">
        <f>HYPERLINK("https://app.vivvix.com/360/KMI/IntelliDrive/ApplUI/Pages/CreativePages/CustomReportCreativeDetail.aspx?App=23&amp;ReportView=4&amp;Qid=1747207&amp;Row=1926&amp;Col=1","No Title Assigned - #15273488519")</f>
        <v/>
      </c>
      <c r="B198" t="inlineStr">
        <is>
          <t>15273488519</t>
        </is>
      </c>
      <c r="E198" t="inlineStr">
        <is>
          <t>Adidas</t>
        </is>
      </c>
      <c r="F198" t="inlineStr">
        <is>
          <t>Adidas : Online</t>
        </is>
      </c>
      <c r="G198" t="n">
        <v>3514.9331</v>
      </c>
    </row>
    <row r="199">
      <c r="A199">
        <f>HYPERLINK("https://app.vivvix.com/360/KMI/IntelliDrive/ApplUI/Pages/CreativePages/CustomReportCreativeDetail.aspx?App=23&amp;ReportView=4&amp;Qid=1747207&amp;Row=1927&amp;Col=1","No Title Assigned - #15273488527")</f>
        <v/>
      </c>
      <c r="B199" t="inlineStr">
        <is>
          <t>15273488527</t>
        </is>
      </c>
      <c r="E199" t="inlineStr">
        <is>
          <t>Adidas</t>
        </is>
      </c>
      <c r="F199" t="inlineStr">
        <is>
          <t>Adidas : Online</t>
        </is>
      </c>
      <c r="G199" t="n">
        <v>3514.9331</v>
      </c>
    </row>
    <row r="200">
      <c r="A200">
        <f>HYPERLINK("https://app.vivvix.com/360/KMI/IntelliDrive/ApplUI/Pages/CreativePages/CustomReportCreativeDetail.aspx?App=23&amp;ReportView=4&amp;Qid=1747207&amp;Row=1928&amp;Col=1","No Title Assigned - #15273501191")</f>
        <v/>
      </c>
      <c r="B200" t="inlineStr">
        <is>
          <t>15273501191</t>
        </is>
      </c>
      <c r="E200" t="inlineStr">
        <is>
          <t>Adidas</t>
        </is>
      </c>
      <c r="F200" t="inlineStr">
        <is>
          <t>Adidas : Online</t>
        </is>
      </c>
      <c r="G200" t="n">
        <v>6274.7964</v>
      </c>
    </row>
    <row r="201">
      <c r="A201">
        <f>HYPERLINK("https://app.vivvix.com/360/KMI/IntelliDrive/ApplUI/Pages/CreativePages/CustomReportCreativeDetail.aspx?App=23&amp;ReportView=4&amp;Qid=1747207&amp;Row=1929&amp;Col=1","No Title Assigned - #15273509085")</f>
        <v/>
      </c>
      <c r="B201" t="inlineStr">
        <is>
          <t>15273509085</t>
        </is>
      </c>
      <c r="E201" t="inlineStr">
        <is>
          <t>Adidas</t>
        </is>
      </c>
      <c r="F201" t="inlineStr">
        <is>
          <t>Adidas : Online</t>
        </is>
      </c>
      <c r="G201" t="n">
        <v>3514.9331</v>
      </c>
    </row>
    <row r="202">
      <c r="A202">
        <f>HYPERLINK("https://app.vivvix.com/360/KMI/IntelliDrive/ApplUI/Pages/CreativePages/CustomReportCreativeDetail.aspx?App=23&amp;ReportView=4&amp;Qid=1747207&amp;Row=1931&amp;Col=1","No Title Assigned - #15273513647")</f>
        <v/>
      </c>
      <c r="B202" t="inlineStr">
        <is>
          <t>15273513647</t>
        </is>
      </c>
      <c r="E202" t="inlineStr">
        <is>
          <t>Adidas</t>
        </is>
      </c>
      <c r="F202" t="inlineStr">
        <is>
          <t>Adidas : Online</t>
        </is>
      </c>
      <c r="G202" t="n">
        <v>202.2677</v>
      </c>
    </row>
    <row r="203">
      <c r="A203">
        <f>HYPERLINK("https://app.vivvix.com/360/KMI/IntelliDrive/ApplUI/Pages/CreativePages/CustomReportCreativeDetail.aspx?App=23&amp;ReportView=4&amp;Qid=1747207&amp;Row=1935&amp;Col=1","No Title Assigned - #15273564998")</f>
        <v/>
      </c>
      <c r="B203" t="inlineStr">
        <is>
          <t>15273564998</t>
        </is>
      </c>
      <c r="E203" t="inlineStr">
        <is>
          <t>Adidas</t>
        </is>
      </c>
      <c r="F203" t="inlineStr">
        <is>
          <t>Adidas : Online</t>
        </is>
      </c>
      <c r="G203" t="n">
        <v>2273.6358</v>
      </c>
    </row>
    <row r="204">
      <c r="A204">
        <f>HYPERLINK("https://app.vivvix.com/360/KMI/IntelliDrive/ApplUI/Pages/CreativePages/CustomReportCreativeDetail.aspx?App=23&amp;ReportView=4&amp;Qid=1747207&amp;Row=1944&amp;Col=1","No Title Assigned - #15273638582")</f>
        <v/>
      </c>
      <c r="B204" t="inlineStr">
        <is>
          <t>15273638582</t>
        </is>
      </c>
      <c r="E204" t="inlineStr">
        <is>
          <t>Adidas</t>
        </is>
      </c>
      <c r="F204" t="inlineStr">
        <is>
          <t>Adidas : Online</t>
        </is>
      </c>
      <c r="G204" t="n">
        <v>31.6852</v>
      </c>
    </row>
    <row r="205">
      <c r="A205">
        <f>HYPERLINK("https://app.vivvix.com/360/KMI/IntelliDrive/ApplUI/Pages/CreativePages/CustomReportCreativeDetail.aspx?App=23&amp;ReportView=4&amp;Qid=1747207&amp;Row=1946&amp;Col=1","No Title Assigned - #15273640584")</f>
        <v/>
      </c>
      <c r="B205" t="inlineStr">
        <is>
          <t>15273640584</t>
        </is>
      </c>
      <c r="E205" t="inlineStr">
        <is>
          <t>Adidas</t>
        </is>
      </c>
      <c r="F205" t="inlineStr">
        <is>
          <t>Adidas : Online</t>
        </is>
      </c>
      <c r="G205" t="n">
        <v>271.1283</v>
      </c>
    </row>
    <row r="206">
      <c r="A206">
        <f>HYPERLINK("https://app.vivvix.com/360/KMI/IntelliDrive/ApplUI/Pages/CreativePages/CustomReportCreativeDetail.aspx?App=23&amp;ReportView=4&amp;Qid=1747207&amp;Row=1949&amp;Col=1","No Title Assigned - #15273659894")</f>
        <v/>
      </c>
      <c r="B206" t="inlineStr">
        <is>
          <t>15273659894</t>
        </is>
      </c>
      <c r="E206" t="inlineStr">
        <is>
          <t>Adidas</t>
        </is>
      </c>
      <c r="F206" t="inlineStr">
        <is>
          <t>Adidas : Online</t>
        </is>
      </c>
      <c r="G206" t="n">
        <v>542.2566</v>
      </c>
    </row>
    <row r="207">
      <c r="A207">
        <f>HYPERLINK("https://app.vivvix.com/360/KMI/IntelliDrive/ApplUI/Pages/CreativePages/CustomReportCreativeDetail.aspx?App=23&amp;ReportView=4&amp;Qid=1747207&amp;Row=1950&amp;Col=1","No Title Assigned - #15273660999")</f>
        <v/>
      </c>
      <c r="B207" t="inlineStr">
        <is>
          <t>15273660999</t>
        </is>
      </c>
      <c r="E207" t="inlineStr">
        <is>
          <t>Adidas</t>
        </is>
      </c>
      <c r="F207" t="inlineStr">
        <is>
          <t>Adidas : Online</t>
        </is>
      </c>
      <c r="G207" t="n">
        <v>23.6694</v>
      </c>
    </row>
    <row r="208">
      <c r="A208">
        <f>HYPERLINK("https://app.vivvix.com/360/KMI/IntelliDrive/ApplUI/Pages/CreativePages/CustomReportCreativeDetail.aspx?App=23&amp;ReportView=4&amp;Qid=1747207&amp;Row=1951&amp;Col=1","No Title Assigned - #15273667031")</f>
        <v/>
      </c>
      <c r="B208" t="inlineStr">
        <is>
          <t>15273667031</t>
        </is>
      </c>
      <c r="E208" t="inlineStr">
        <is>
          <t>Adidas</t>
        </is>
      </c>
      <c r="F208" t="inlineStr">
        <is>
          <t>Adidas : Online</t>
        </is>
      </c>
      <c r="G208" t="n">
        <v>609.8839</v>
      </c>
    </row>
    <row r="209">
      <c r="A209">
        <f>HYPERLINK("https://app.vivvix.com/360/KMI/IntelliDrive/ApplUI/Pages/CreativePages/CustomReportCreativeDetail.aspx?App=23&amp;ReportView=4&amp;Qid=1747207&amp;Row=1952&amp;Col=1","No Title Assigned - #15273667038")</f>
        <v/>
      </c>
      <c r="B209" t="inlineStr">
        <is>
          <t>15273667038</t>
        </is>
      </c>
      <c r="E209" t="inlineStr">
        <is>
          <t>Adidas</t>
        </is>
      </c>
      <c r="F209" t="inlineStr">
        <is>
          <t>Adidas : Online</t>
        </is>
      </c>
      <c r="G209" t="n">
        <v>609.8839</v>
      </c>
    </row>
    <row r="210">
      <c r="A210">
        <f>HYPERLINK("https://app.vivvix.com/360/KMI/IntelliDrive/ApplUI/Pages/CreativePages/CustomReportCreativeDetail.aspx?App=23&amp;ReportView=4&amp;Qid=1747207&amp;Row=1953&amp;Col=1","No Title Assigned - #15273667050")</f>
        <v/>
      </c>
      <c r="B210" t="inlineStr">
        <is>
          <t>15273667050</t>
        </is>
      </c>
      <c r="E210" t="inlineStr">
        <is>
          <t>Adidas</t>
        </is>
      </c>
      <c r="F210" t="inlineStr">
        <is>
          <t>Adidas : Online</t>
        </is>
      </c>
      <c r="G210" t="n">
        <v>609.8839</v>
      </c>
    </row>
    <row r="211">
      <c r="A211">
        <f>HYPERLINK("https://app.vivvix.com/360/KMI/IntelliDrive/ApplUI/Pages/CreativePages/CustomReportCreativeDetail.aspx?App=23&amp;ReportView=4&amp;Qid=1747207&amp;Row=1954&amp;Col=1","No Title Assigned - #15273672743")</f>
        <v/>
      </c>
      <c r="B211" t="inlineStr">
        <is>
          <t>15273672743</t>
        </is>
      </c>
      <c r="E211" t="inlineStr">
        <is>
          <t>Adidas</t>
        </is>
      </c>
      <c r="F211" t="inlineStr">
        <is>
          <t>Adidas : Online</t>
        </is>
      </c>
      <c r="G211" t="n">
        <v>5949.3662</v>
      </c>
    </row>
    <row r="212">
      <c r="A212">
        <f>HYPERLINK("https://app.vivvix.com/360/KMI/IntelliDrive/ApplUI/Pages/CreativePages/CustomReportCreativeDetail.aspx?App=23&amp;ReportView=4&amp;Qid=1747207&amp;Row=1956&amp;Col=1","No Title Assigned - #15273699941")</f>
        <v/>
      </c>
      <c r="B212" t="inlineStr">
        <is>
          <t>15273699941</t>
        </is>
      </c>
      <c r="E212" t="inlineStr">
        <is>
          <t>Adidas</t>
        </is>
      </c>
      <c r="F212" t="inlineStr">
        <is>
          <t>Adidas : Online</t>
        </is>
      </c>
      <c r="G212" t="n">
        <v>2129.9414</v>
      </c>
    </row>
    <row r="213">
      <c r="A213">
        <f>HYPERLINK("https://app.vivvix.com/360/KMI/IntelliDrive/ApplUI/Pages/CreativePages/CustomReportCreativeDetail.aspx?App=23&amp;ReportView=4&amp;Qid=1747207&amp;Row=1957&amp;Col=1","No Title Assigned - #15273703025")</f>
        <v/>
      </c>
      <c r="B213" t="inlineStr">
        <is>
          <t>15273703025</t>
        </is>
      </c>
      <c r="E213" t="inlineStr">
        <is>
          <t>Adidas</t>
        </is>
      </c>
      <c r="F213" t="inlineStr">
        <is>
          <t>Adidas : Online</t>
        </is>
      </c>
      <c r="G213" t="n">
        <v>3997.2861</v>
      </c>
    </row>
    <row r="214">
      <c r="A214">
        <f>HYPERLINK("https://app.vivvix.com/360/KMI/IntelliDrive/ApplUI/Pages/CreativePages/CustomReportCreativeDetail.aspx?App=23&amp;ReportView=4&amp;Qid=1747207&amp;Row=1958&amp;Col=1","No Title Assigned - #15273704188")</f>
        <v/>
      </c>
      <c r="B214" t="inlineStr">
        <is>
          <t>15273704188</t>
        </is>
      </c>
      <c r="E214" t="inlineStr">
        <is>
          <t>Adidas</t>
        </is>
      </c>
      <c r="F214" t="inlineStr">
        <is>
          <t>Adidas : Online</t>
        </is>
      </c>
      <c r="G214" t="n">
        <v>271.1283</v>
      </c>
    </row>
    <row r="215">
      <c r="A215">
        <f>HYPERLINK("https://app.vivvix.com/360/KMI/IntelliDrive/ApplUI/Pages/CreativePages/CustomReportCreativeDetail.aspx?App=23&amp;ReportView=4&amp;Qid=1747207&amp;Row=1965&amp;Col=1","No Title Assigned - #15273729755")</f>
        <v/>
      </c>
      <c r="B215" t="inlineStr">
        <is>
          <t>15273729755</t>
        </is>
      </c>
      <c r="E215" t="inlineStr">
        <is>
          <t>Adidas</t>
        </is>
      </c>
      <c r="F215" t="inlineStr">
        <is>
          <t>Adidas : Online</t>
        </is>
      </c>
      <c r="G215" t="n">
        <v>814.9023999999999</v>
      </c>
    </row>
    <row r="216">
      <c r="A216">
        <f>HYPERLINK("https://app.vivvix.com/360/KMI/IntelliDrive/ApplUI/Pages/CreativePages/CustomReportCreativeDetail.aspx?App=23&amp;ReportView=4&amp;Qid=1747207&amp;Row=1966&amp;Col=1","No Title Assigned - #15273731735")</f>
        <v/>
      </c>
      <c r="B216" t="inlineStr">
        <is>
          <t>15273731735</t>
        </is>
      </c>
      <c r="E216" t="inlineStr">
        <is>
          <t>Adidas</t>
        </is>
      </c>
      <c r="F216" t="inlineStr">
        <is>
          <t>Adidas : Online</t>
        </is>
      </c>
      <c r="G216" t="n">
        <v>156.8649</v>
      </c>
    </row>
    <row r="217">
      <c r="A217">
        <f>HYPERLINK("https://app.vivvix.com/360/KMI/IntelliDrive/ApplUI/Pages/CreativePages/CustomReportCreativeDetail.aspx?App=23&amp;ReportView=4&amp;Qid=1747207&amp;Row=1967&amp;Col=1","No Title Assigned - #15273731880")</f>
        <v/>
      </c>
      <c r="B217" t="inlineStr">
        <is>
          <t>15273731880</t>
        </is>
      </c>
      <c r="E217" t="inlineStr">
        <is>
          <t>Adidas</t>
        </is>
      </c>
      <c r="F217" t="inlineStr">
        <is>
          <t>Adidas : Online</t>
        </is>
      </c>
      <c r="G217" t="n">
        <v>560.6285</v>
      </c>
    </row>
    <row r="218">
      <c r="A218">
        <f>HYPERLINK("https://app.vivvix.com/360/KMI/IntelliDrive/ApplUI/Pages/CreativePages/CustomReportCreativeDetail.aspx?App=23&amp;ReportView=4&amp;Qid=1747207&amp;Row=1970&amp;Col=1","No Title Assigned - #15273738707")</f>
        <v/>
      </c>
      <c r="B218" t="inlineStr">
        <is>
          <t>15273738707</t>
        </is>
      </c>
      <c r="E218" t="inlineStr">
        <is>
          <t>Adidas</t>
        </is>
      </c>
      <c r="F218" t="inlineStr">
        <is>
          <t>Adidas : Online</t>
        </is>
      </c>
      <c r="G218" t="n">
        <v>20062.4746</v>
      </c>
    </row>
    <row r="219">
      <c r="A219">
        <f>HYPERLINK("https://app.vivvix.com/360/KMI/IntelliDrive/ApplUI/Pages/CreativePages/CustomReportCreativeDetail.aspx?App=23&amp;ReportView=4&amp;Qid=1747207&amp;Row=1980&amp;Col=1","No Title Assigned - #15273805821")</f>
        <v/>
      </c>
      <c r="B219" t="inlineStr">
        <is>
          <t>15273805821</t>
        </is>
      </c>
      <c r="E219" t="inlineStr">
        <is>
          <t>Adidas</t>
        </is>
      </c>
      <c r="F219" t="inlineStr">
        <is>
          <t>Adidas : Online</t>
        </is>
      </c>
      <c r="G219" t="n">
        <v>271.1283</v>
      </c>
    </row>
    <row r="220">
      <c r="A220">
        <f>HYPERLINK("https://app.vivvix.com/360/KMI/IntelliDrive/ApplUI/Pages/CreativePages/CustomReportCreativeDetail.aspx?App=23&amp;ReportView=4&amp;Qid=1747207&amp;Row=1996&amp;Col=1","No Title Assigned - #15273872823")</f>
        <v/>
      </c>
      <c r="B220" t="inlineStr">
        <is>
          <t>15273872823</t>
        </is>
      </c>
      <c r="E220" t="inlineStr">
        <is>
          <t>Adidas</t>
        </is>
      </c>
      <c r="F220" t="inlineStr">
        <is>
          <t>Adidas : Online</t>
        </is>
      </c>
      <c r="G220" t="n">
        <v>609.8839</v>
      </c>
    </row>
    <row r="221">
      <c r="A221">
        <f>HYPERLINK("https://app.vivvix.com/360/KMI/IntelliDrive/ApplUI/Pages/CreativePages/CustomReportCreativeDetail.aspx?App=23&amp;ReportView=4&amp;Qid=1747207&amp;Row=1998&amp;Col=1","No Title Assigned - #15273877106")</f>
        <v/>
      </c>
      <c r="B221" t="inlineStr">
        <is>
          <t>15273877106</t>
        </is>
      </c>
      <c r="E221" t="inlineStr">
        <is>
          <t>Adidas</t>
        </is>
      </c>
      <c r="F221" t="inlineStr">
        <is>
          <t>Adidas : Online</t>
        </is>
      </c>
      <c r="G221" t="n">
        <v>1473.6315</v>
      </c>
    </row>
    <row r="222">
      <c r="A222">
        <f>HYPERLINK("https://app.vivvix.com/360/KMI/IntelliDrive/ApplUI/Pages/CreativePages/CustomReportCreativeDetail.aspx?App=23&amp;ReportView=4&amp;Qid=1747207&amp;Row=2001&amp;Col=1","No Title Assigned - #15273888072")</f>
        <v/>
      </c>
      <c r="B222" t="inlineStr">
        <is>
          <t>15273888072</t>
        </is>
      </c>
      <c r="E222" t="inlineStr">
        <is>
          <t>Adidas</t>
        </is>
      </c>
      <c r="F222" t="inlineStr">
        <is>
          <t>Adidas : Online</t>
        </is>
      </c>
      <c r="G222" t="n">
        <v>268.3409</v>
      </c>
    </row>
    <row r="223">
      <c r="A223">
        <f>HYPERLINK("https://app.vivvix.com/360/KMI/IntelliDrive/ApplUI/Pages/CreativePages/CustomReportCreativeDetail.aspx?App=23&amp;ReportView=4&amp;Qid=1747207&amp;Row=2002&amp;Col=1","No Title Assigned - #15273888402")</f>
        <v/>
      </c>
      <c r="B223" t="inlineStr">
        <is>
          <t>15273888402</t>
        </is>
      </c>
      <c r="E223" t="inlineStr">
        <is>
          <t>Adidas</t>
        </is>
      </c>
      <c r="F223" t="inlineStr">
        <is>
          <t>Adidas : Online</t>
        </is>
      </c>
      <c r="G223" t="n">
        <v>136.597</v>
      </c>
    </row>
    <row r="224">
      <c r="A224">
        <f>HYPERLINK("https://app.vivvix.com/360/KMI/IntelliDrive/ApplUI/Pages/CreativePages/CustomReportCreativeDetail.aspx?App=23&amp;ReportView=4&amp;Qid=1747207&amp;Row=2012&amp;Col=1","No Title Assigned - #15273987341")</f>
        <v/>
      </c>
      <c r="B224" t="inlineStr">
        <is>
          <t>15273987341</t>
        </is>
      </c>
      <c r="E224" t="inlineStr">
        <is>
          <t>Adidas</t>
        </is>
      </c>
      <c r="F224" t="inlineStr">
        <is>
          <t>Adidas : Online</t>
        </is>
      </c>
      <c r="G224" t="n">
        <v>289.9806</v>
      </c>
    </row>
    <row r="225">
      <c r="A225">
        <f>HYPERLINK("https://app.vivvix.com/360/KMI/IntelliDrive/ApplUI/Pages/CreativePages/CustomReportCreativeDetail.aspx?App=23&amp;ReportView=4&amp;Qid=1747207&amp;Row=2034&amp;Col=1","No Title Assigned - #15274176863")</f>
        <v/>
      </c>
      <c r="B225" t="inlineStr">
        <is>
          <t>15274176863</t>
        </is>
      </c>
      <c r="E225" t="inlineStr">
        <is>
          <t>Adidas</t>
        </is>
      </c>
      <c r="F225" t="inlineStr">
        <is>
          <t>Adidas : Online</t>
        </is>
      </c>
      <c r="G225" t="n">
        <v>311.4607</v>
      </c>
    </row>
    <row r="226">
      <c r="A226">
        <f>HYPERLINK("https://app.vivvix.com/360/KMI/IntelliDrive/ApplUI/Pages/CreativePages/CustomReportCreativeDetail.aspx?App=23&amp;ReportView=4&amp;Qid=1747207&amp;Row=2035&amp;Col=1","No Title Assigned - #15274176889")</f>
        <v/>
      </c>
      <c r="B226" t="inlineStr">
        <is>
          <t>15274176889</t>
        </is>
      </c>
      <c r="E226" t="inlineStr">
        <is>
          <t>Adidas</t>
        </is>
      </c>
      <c r="F226" t="inlineStr">
        <is>
          <t>Adidas : Online</t>
        </is>
      </c>
      <c r="G226" t="n">
        <v>311.4607</v>
      </c>
    </row>
    <row r="227">
      <c r="A227">
        <f>HYPERLINK("https://app.vivvix.com/360/KMI/IntelliDrive/ApplUI/Pages/CreativePages/CustomReportCreativeDetail.aspx?App=23&amp;ReportView=4&amp;Qid=1747207&amp;Row=2043&amp;Col=1","No Title Assigned - #15274250218")</f>
        <v/>
      </c>
      <c r="B227" t="inlineStr">
        <is>
          <t>15274250218</t>
        </is>
      </c>
      <c r="E227" t="inlineStr">
        <is>
          <t>Adidas</t>
        </is>
      </c>
      <c r="F227" t="inlineStr">
        <is>
          <t>Adidas : Online</t>
        </is>
      </c>
      <c r="G227" t="n">
        <v>5953.4609</v>
      </c>
    </row>
    <row r="228">
      <c r="A228">
        <f>HYPERLINK("https://app.vivvix.com/360/KMI/IntelliDrive/ApplUI/Pages/CreativePages/CustomReportCreativeDetail.aspx?App=23&amp;ReportView=4&amp;Qid=1747207&amp;Row=2049&amp;Col=1","No Title Assigned - #15274327709")</f>
        <v/>
      </c>
      <c r="B228" t="inlineStr">
        <is>
          <t>15274327709</t>
        </is>
      </c>
      <c r="E228" t="inlineStr">
        <is>
          <t>Adidas</t>
        </is>
      </c>
      <c r="F228" t="inlineStr">
        <is>
          <t>Adidas : Online</t>
        </is>
      </c>
      <c r="G228" t="n">
        <v>268.3409</v>
      </c>
    </row>
    <row r="229">
      <c r="A229">
        <f>HYPERLINK("https://app.vivvix.com/360/KMI/IntelliDrive/ApplUI/Pages/CreativePages/CustomReportCreativeDetail.aspx?App=23&amp;ReportView=4&amp;Qid=1747207&amp;Row=2068&amp;Col=1","No Title Assigned - #15274412649")</f>
        <v/>
      </c>
      <c r="B229" t="inlineStr">
        <is>
          <t>15274412649</t>
        </is>
      </c>
      <c r="E229" t="inlineStr">
        <is>
          <t>Adidas</t>
        </is>
      </c>
      <c r="F229" t="inlineStr">
        <is>
          <t>Adidas : Online</t>
        </is>
      </c>
      <c r="G229" t="n">
        <v>47.3388</v>
      </c>
    </row>
    <row r="230">
      <c r="A230">
        <f>HYPERLINK("https://app.vivvix.com/360/KMI/IntelliDrive/ApplUI/Pages/CreativePages/CustomReportCreativeDetail.aspx?App=23&amp;ReportView=4&amp;Qid=1747207&amp;Row=2069&amp;Col=1","No Title Assigned - #15274417059")</f>
        <v/>
      </c>
      <c r="B230" t="inlineStr">
        <is>
          <t>15274417059</t>
        </is>
      </c>
      <c r="E230" t="inlineStr">
        <is>
          <t>Adidas</t>
        </is>
      </c>
      <c r="F230" t="inlineStr">
        <is>
          <t>Adidas : Online</t>
        </is>
      </c>
      <c r="G230" t="n">
        <v>3997.2861</v>
      </c>
    </row>
    <row r="231">
      <c r="A231">
        <f>HYPERLINK("https://app.vivvix.com/360/KMI/IntelliDrive/ApplUI/Pages/CreativePages/CustomReportCreativeDetail.aspx?App=23&amp;ReportView=4&amp;Qid=1747207&amp;Row=2071&amp;Col=1","No Title Assigned - #15274450986")</f>
        <v/>
      </c>
      <c r="B231" t="inlineStr">
        <is>
          <t>15274450986</t>
        </is>
      </c>
      <c r="E231" t="inlineStr">
        <is>
          <t>Adidas</t>
        </is>
      </c>
      <c r="F231" t="inlineStr">
        <is>
          <t>Adidas : Online</t>
        </is>
      </c>
      <c r="G231" t="n">
        <v>799.7336</v>
      </c>
    </row>
    <row r="232">
      <c r="A232">
        <f>HYPERLINK("https://app.vivvix.com/360/KMI/IntelliDrive/ApplUI/Pages/CreativePages/CustomReportCreativeDetail.aspx?App=23&amp;ReportView=4&amp;Qid=1747207&amp;Row=2073&amp;Col=1","No Title Assigned - #15274470584")</f>
        <v/>
      </c>
      <c r="B232" t="inlineStr">
        <is>
          <t>15274470584</t>
        </is>
      </c>
      <c r="E232" t="inlineStr">
        <is>
          <t>Adidas</t>
        </is>
      </c>
      <c r="F232" t="inlineStr">
        <is>
          <t>Adidas : Online</t>
        </is>
      </c>
      <c r="G232" t="n">
        <v>117.8865</v>
      </c>
    </row>
    <row r="233">
      <c r="A233">
        <f>HYPERLINK("https://app.vivvix.com/360/KMI/IntelliDrive/ApplUI/Pages/CreativePages/CustomReportCreativeDetail.aspx?App=23&amp;ReportView=4&amp;Qid=1747207&amp;Row=2074&amp;Col=1","No Title Assigned - #15274471102")</f>
        <v/>
      </c>
      <c r="B233" t="inlineStr">
        <is>
          <t>15274471102</t>
        </is>
      </c>
      <c r="E233" t="inlineStr">
        <is>
          <t>Adidas</t>
        </is>
      </c>
      <c r="F233" t="inlineStr">
        <is>
          <t>Adidas : Online</t>
        </is>
      </c>
      <c r="G233" t="n">
        <v>816.7503</v>
      </c>
    </row>
    <row r="234">
      <c r="A234">
        <f>HYPERLINK("https://app.vivvix.com/360/KMI/IntelliDrive/ApplUI/Pages/CreativePages/CustomReportCreativeDetail.aspx?App=23&amp;ReportView=4&amp;Qid=1747207&amp;Row=2076&amp;Col=1","No Title Assigned - #15274485562")</f>
        <v/>
      </c>
      <c r="B234" t="inlineStr">
        <is>
          <t>15274485562</t>
        </is>
      </c>
      <c r="E234" t="inlineStr">
        <is>
          <t>Adidas</t>
        </is>
      </c>
      <c r="F234" t="inlineStr">
        <is>
          <t>Adidas : Online</t>
        </is>
      </c>
      <c r="G234" t="n">
        <v>247.7998</v>
      </c>
    </row>
    <row r="235">
      <c r="A235">
        <f>HYPERLINK("https://app.vivvix.com/360/KMI/IntelliDrive/ApplUI/Pages/CreativePages/CustomReportCreativeDetail.aspx?App=23&amp;ReportView=4&amp;Qid=1747207&amp;Row=2079&amp;Col=1","No Title Assigned - #15274500792")</f>
        <v/>
      </c>
      <c r="B235" t="inlineStr">
        <is>
          <t>15274500792</t>
        </is>
      </c>
      <c r="E235" t="inlineStr">
        <is>
          <t>Adidas</t>
        </is>
      </c>
      <c r="F235" t="inlineStr">
        <is>
          <t>Adidas : Online</t>
        </is>
      </c>
      <c r="G235" t="n">
        <v>626.0393</v>
      </c>
    </row>
    <row r="236">
      <c r="A236">
        <f>HYPERLINK("https://app.vivvix.com/360/KMI/IntelliDrive/ApplUI/Pages/CreativePages/CustomReportCreativeDetail.aspx?App=23&amp;ReportView=4&amp;Qid=1747207&amp;Row=2081&amp;Col=1","No Title Assigned - #15274547969")</f>
        <v/>
      </c>
      <c r="B236" t="inlineStr">
        <is>
          <t>15274547969</t>
        </is>
      </c>
      <c r="E236" t="inlineStr">
        <is>
          <t>Adidas</t>
        </is>
      </c>
      <c r="F236" t="inlineStr">
        <is>
          <t>Adidas : Online</t>
        </is>
      </c>
      <c r="G236" t="n">
        <v>31.6852</v>
      </c>
    </row>
    <row r="237">
      <c r="A237">
        <f>HYPERLINK("https://app.vivvix.com/360/KMI/IntelliDrive/ApplUI/Pages/CreativePages/CustomReportCreativeDetail.aspx?App=23&amp;ReportView=4&amp;Qid=1747207&amp;Row=2089&amp;Col=1","No Title Assigned - #15274682313")</f>
        <v/>
      </c>
      <c r="B237" t="inlineStr">
        <is>
          <t>15274682313</t>
        </is>
      </c>
      <c r="E237" t="inlineStr">
        <is>
          <t>Adidas</t>
        </is>
      </c>
      <c r="F237" t="inlineStr">
        <is>
          <t>Adidas : Online</t>
        </is>
      </c>
      <c r="G237" t="n">
        <v>611.3261</v>
      </c>
    </row>
    <row r="238">
      <c r="A238">
        <f>HYPERLINK("https://app.vivvix.com/360/KMI/IntelliDrive/ApplUI/Pages/CreativePages/CustomReportCreativeDetail.aspx?App=23&amp;ReportView=4&amp;Qid=1747207&amp;Row=2091&amp;Col=1","No Title Assigned - #15274739297")</f>
        <v/>
      </c>
      <c r="B238" t="inlineStr">
        <is>
          <t>15274739297</t>
        </is>
      </c>
      <c r="E238" t="inlineStr">
        <is>
          <t>Adidas</t>
        </is>
      </c>
      <c r="F238" t="inlineStr">
        <is>
          <t>Adidas : Online</t>
        </is>
      </c>
      <c r="G238" t="n">
        <v>2129.9414</v>
      </c>
    </row>
    <row r="239">
      <c r="A239">
        <f>HYPERLINK("https://app.vivvix.com/360/KMI/IntelliDrive/ApplUI/Pages/CreativePages/CustomReportCreativeDetail.aspx?App=23&amp;ReportView=4&amp;Qid=1747207&amp;Row=2095&amp;Col=1","No Title Assigned - #15274746994")</f>
        <v/>
      </c>
      <c r="B239" t="inlineStr">
        <is>
          <t>15274746994</t>
        </is>
      </c>
      <c r="E239" t="inlineStr">
        <is>
          <t>Adidas</t>
        </is>
      </c>
      <c r="F239" t="inlineStr">
        <is>
          <t>Adidas : Online</t>
        </is>
      </c>
      <c r="G239" t="n">
        <v>1264.9734</v>
      </c>
    </row>
    <row r="240">
      <c r="A240">
        <f>HYPERLINK("https://app.vivvix.com/360/KMI/IntelliDrive/ApplUI/Pages/CreativePages/CustomReportCreativeDetail.aspx?App=23&amp;ReportView=4&amp;Qid=1747207&amp;Row=2096&amp;Col=1","No Title Assigned - #15274767088")</f>
        <v/>
      </c>
      <c r="B240" t="inlineStr">
        <is>
          <t>15274767088</t>
        </is>
      </c>
      <c r="E240" t="inlineStr">
        <is>
          <t>Adidas</t>
        </is>
      </c>
      <c r="F240" t="inlineStr">
        <is>
          <t>Adidas : Online</t>
        </is>
      </c>
      <c r="G240" t="n">
        <v>23.6694</v>
      </c>
    </row>
    <row r="241">
      <c r="A241">
        <f>HYPERLINK("https://app.vivvix.com/360/KMI/IntelliDrive/ApplUI/Pages/CreativePages/CustomReportCreativeDetail.aspx?App=23&amp;ReportView=4&amp;Qid=1747207&amp;Row=2098&amp;Col=1","No Title Assigned - #15274823517")</f>
        <v/>
      </c>
      <c r="B241" t="inlineStr">
        <is>
          <t>15274823517</t>
        </is>
      </c>
      <c r="E241" t="inlineStr">
        <is>
          <t>Adidas</t>
        </is>
      </c>
      <c r="F241" t="inlineStr">
        <is>
          <t>Adidas : Online</t>
        </is>
      </c>
      <c r="G241" t="n">
        <v>24.9309</v>
      </c>
    </row>
    <row r="242">
      <c r="A242">
        <f>HYPERLINK("https://app.vivvix.com/360/KMI/IntelliDrive/ApplUI/Pages/CreativePages/CustomReportCreativeDetail.aspx?App=23&amp;ReportView=4&amp;Qid=1747207&amp;Row=2099&amp;Col=1","No Title Assigned - #15274824142")</f>
        <v/>
      </c>
      <c r="B242" t="inlineStr">
        <is>
          <t>15274824142</t>
        </is>
      </c>
      <c r="E242" t="inlineStr">
        <is>
          <t>Adidas</t>
        </is>
      </c>
      <c r="F242" t="inlineStr">
        <is>
          <t>Adidas : Online</t>
        </is>
      </c>
      <c r="G242" t="n">
        <v>24.9309</v>
      </c>
    </row>
    <row r="243">
      <c r="A243">
        <f>HYPERLINK("https://app.vivvix.com/360/KMI/IntelliDrive/ApplUI/Pages/CreativePages/CustomReportCreativeDetail.aspx?App=23&amp;ReportView=4&amp;Qid=1747207&amp;Row=2100&amp;Col=1","No Title Assigned - #15274824201")</f>
        <v/>
      </c>
      <c r="B243" t="inlineStr">
        <is>
          <t>15274824201</t>
        </is>
      </c>
      <c r="E243" t="inlineStr">
        <is>
          <t>Adidas</t>
        </is>
      </c>
      <c r="F243" t="inlineStr">
        <is>
          <t>Adidas : Online</t>
        </is>
      </c>
      <c r="G243" t="n">
        <v>24.9309</v>
      </c>
    </row>
    <row r="244">
      <c r="A244">
        <f>HYPERLINK("https://app.vivvix.com/360/KMI/IntelliDrive/ApplUI/Pages/CreativePages/CustomReportCreativeDetail.aspx?App=23&amp;ReportView=4&amp;Qid=1747207&amp;Row=2103&amp;Col=1","No Title Assigned - #15274877103")</f>
        <v/>
      </c>
      <c r="B244" t="inlineStr">
        <is>
          <t>15274877103</t>
        </is>
      </c>
      <c r="E244" t="inlineStr">
        <is>
          <t>Adidas</t>
        </is>
      </c>
      <c r="F244" t="inlineStr">
        <is>
          <t>Adidas : Online</t>
        </is>
      </c>
      <c r="G244" t="n">
        <v>49.8618</v>
      </c>
    </row>
    <row r="245">
      <c r="A245">
        <f>HYPERLINK("https://app.vivvix.com/360/KMI/IntelliDrive/ApplUI/Pages/CreativePages/CustomReportCreativeDetail.aspx?App=23&amp;ReportView=4&amp;Qid=1747207&amp;Row=2104&amp;Col=1","No Title Assigned - #15274877104")</f>
        <v/>
      </c>
      <c r="B245" t="inlineStr">
        <is>
          <t>15274877104</t>
        </is>
      </c>
      <c r="E245" t="inlineStr">
        <is>
          <t>Adidas</t>
        </is>
      </c>
      <c r="F245" t="inlineStr">
        <is>
          <t>Adidas : Online</t>
        </is>
      </c>
      <c r="G245" t="n">
        <v>24.9309</v>
      </c>
    </row>
    <row r="246">
      <c r="A246">
        <f>HYPERLINK("https://app.vivvix.com/360/KMI/IntelliDrive/ApplUI/Pages/CreativePages/CustomReportCreativeDetail.aspx?App=23&amp;ReportView=4&amp;Qid=1747207&amp;Row=2105&amp;Col=1","No Title Assigned - #15274888692")</f>
        <v/>
      </c>
      <c r="B246" t="inlineStr">
        <is>
          <t>15274888692</t>
        </is>
      </c>
      <c r="E246" t="inlineStr">
        <is>
          <t>Adidas</t>
        </is>
      </c>
      <c r="F246" t="inlineStr">
        <is>
          <t>Adidas : Online</t>
        </is>
      </c>
      <c r="G246" t="n">
        <v>24.9309</v>
      </c>
    </row>
    <row r="247">
      <c r="A247">
        <f>HYPERLINK("https://app.vivvix.com/360/KMI/IntelliDrive/ApplUI/Pages/CreativePages/CustomReportCreativeDetail.aspx?App=23&amp;ReportView=4&amp;Qid=1747207&amp;Row=2107&amp;Col=1","No Title Assigned - #15274890204")</f>
        <v/>
      </c>
      <c r="B247" t="inlineStr">
        <is>
          <t>15274890204</t>
        </is>
      </c>
      <c r="E247" t="inlineStr">
        <is>
          <t>Adidas</t>
        </is>
      </c>
      <c r="F247" t="inlineStr">
        <is>
          <t>Adidas : Online</t>
        </is>
      </c>
      <c r="G247" t="n">
        <v>24.9309</v>
      </c>
    </row>
    <row r="248">
      <c r="A248">
        <f>HYPERLINK("https://app.vivvix.com/360/KMI/IntelliDrive/ApplUI/Pages/CreativePages/CustomReportCreativeDetail.aspx?App=23&amp;ReportView=4&amp;Qid=1747207&amp;Row=2108&amp;Col=1","No Title Assigned - #15274890218")</f>
        <v/>
      </c>
      <c r="B248" t="inlineStr">
        <is>
          <t>15274890218</t>
        </is>
      </c>
      <c r="E248" t="inlineStr">
        <is>
          <t>Adidas</t>
        </is>
      </c>
      <c r="F248" t="inlineStr">
        <is>
          <t>Adidas : Online</t>
        </is>
      </c>
      <c r="G248" t="n">
        <v>49.8618</v>
      </c>
    </row>
    <row r="249">
      <c r="A249">
        <f>HYPERLINK("https://app.vivvix.com/360/KMI/IntelliDrive/ApplUI/Pages/CreativePages/CustomReportCreativeDetail.aspx?App=23&amp;ReportView=4&amp;Qid=1747207&amp;Row=2109&amp;Col=1","No Title Assigned - #15274890236")</f>
        <v/>
      </c>
      <c r="B249" t="inlineStr">
        <is>
          <t>15274890236</t>
        </is>
      </c>
      <c r="E249" t="inlineStr">
        <is>
          <t>Adidas</t>
        </is>
      </c>
      <c r="F249" t="inlineStr">
        <is>
          <t>Adidas : Online</t>
        </is>
      </c>
      <c r="G249" t="n">
        <v>49.8618</v>
      </c>
    </row>
    <row r="250">
      <c r="A250">
        <f>HYPERLINK("https://app.vivvix.com/360/KMI/IntelliDrive/ApplUI/Pages/CreativePages/CustomReportCreativeDetail.aspx?App=23&amp;ReportView=4&amp;Qid=1747207&amp;Row=2110&amp;Col=1","No Title Assigned - #15274890283")</f>
        <v/>
      </c>
      <c r="B250" t="inlineStr">
        <is>
          <t>15274890283</t>
        </is>
      </c>
      <c r="E250" t="inlineStr">
        <is>
          <t>Adidas</t>
        </is>
      </c>
      <c r="F250" t="inlineStr">
        <is>
          <t>Adidas : Online</t>
        </is>
      </c>
      <c r="G250" t="n">
        <v>24.9309</v>
      </c>
    </row>
    <row r="251">
      <c r="A251">
        <f>HYPERLINK("https://app.vivvix.com/360/KMI/IntelliDrive/ApplUI/Pages/CreativePages/CustomReportCreativeDetail.aspx?App=23&amp;ReportView=4&amp;Qid=1747207&amp;Row=2115&amp;Col=1","No Title Assigned - #15274970829")</f>
        <v/>
      </c>
      <c r="B251" t="inlineStr">
        <is>
          <t>15274970829</t>
        </is>
      </c>
      <c r="E251" t="inlineStr">
        <is>
          <t>Adidas</t>
        </is>
      </c>
      <c r="F251" t="inlineStr">
        <is>
          <t>Adidas : Online</t>
        </is>
      </c>
      <c r="G251" t="n">
        <v>1238.1307</v>
      </c>
    </row>
    <row r="252">
      <c r="A252">
        <f>HYPERLINK("https://app.vivvix.com/360/KMI/IntelliDrive/ApplUI/Pages/CreativePages/CustomReportCreativeDetail.aspx?App=23&amp;ReportView=4&amp;Qid=1747207&amp;Row=2116&amp;Col=1","No Title Assigned - #15274970831")</f>
        <v/>
      </c>
      <c r="B252" t="inlineStr">
        <is>
          <t>15274970831</t>
        </is>
      </c>
      <c r="E252" t="inlineStr">
        <is>
          <t>Adidas</t>
        </is>
      </c>
      <c r="F252" t="inlineStr">
        <is>
          <t>Adidas : Online</t>
        </is>
      </c>
      <c r="G252" t="n">
        <v>1238.1307</v>
      </c>
    </row>
    <row r="253">
      <c r="A253">
        <f>HYPERLINK("https://app.vivvix.com/360/KMI/IntelliDrive/ApplUI/Pages/CreativePages/CustomReportCreativeDetail.aspx?App=23&amp;ReportView=4&amp;Qid=1747207&amp;Row=2120&amp;Col=1","No Title Assigned - #15274984700")</f>
        <v/>
      </c>
      <c r="B253" t="inlineStr">
        <is>
          <t>15274984700</t>
        </is>
      </c>
      <c r="E253" t="inlineStr">
        <is>
          <t>Adidas</t>
        </is>
      </c>
      <c r="F253" t="inlineStr">
        <is>
          <t>Adidas : Online</t>
        </is>
      </c>
      <c r="G253" t="n">
        <v>24.9309</v>
      </c>
    </row>
    <row r="254">
      <c r="A254">
        <f>HYPERLINK("https://app.vivvix.com/360/KMI/IntelliDrive/ApplUI/Pages/CreativePages/CustomReportCreativeDetail.aspx?App=23&amp;ReportView=4&amp;Qid=1747207&amp;Row=2121&amp;Col=1","No Title Assigned - #15274984701")</f>
        <v/>
      </c>
      <c r="B254" t="inlineStr">
        <is>
          <t>15274984701</t>
        </is>
      </c>
      <c r="E254" t="inlineStr">
        <is>
          <t>Adidas</t>
        </is>
      </c>
      <c r="F254" t="inlineStr">
        <is>
          <t>Adidas : Online</t>
        </is>
      </c>
      <c r="G254" t="n">
        <v>24.9309</v>
      </c>
    </row>
    <row r="255">
      <c r="A255">
        <f>HYPERLINK("https://app.vivvix.com/360/KMI/IntelliDrive/ApplUI/Pages/CreativePages/CustomReportCreativeDetail.aspx?App=23&amp;ReportView=4&amp;Qid=1747207&amp;Row=2122&amp;Col=1","No Title Assigned - #15274984702")</f>
        <v/>
      </c>
      <c r="B255" t="inlineStr">
        <is>
          <t>15274984702</t>
        </is>
      </c>
      <c r="E255" t="inlineStr">
        <is>
          <t>Adidas</t>
        </is>
      </c>
      <c r="F255" t="inlineStr">
        <is>
          <t>Adidas : Online</t>
        </is>
      </c>
      <c r="G255" t="n">
        <v>24.9309</v>
      </c>
    </row>
    <row r="256">
      <c r="A256">
        <f>HYPERLINK("https://app.vivvix.com/360/KMI/IntelliDrive/ApplUI/Pages/CreativePages/CustomReportCreativeDetail.aspx?App=23&amp;ReportView=4&amp;Qid=1747207&amp;Row=2123&amp;Col=1","No Title Assigned - #15274984924")</f>
        <v/>
      </c>
      <c r="B256" t="inlineStr">
        <is>
          <t>15274984924</t>
        </is>
      </c>
      <c r="E256" t="inlineStr">
        <is>
          <t>Adidas</t>
        </is>
      </c>
      <c r="F256" t="inlineStr">
        <is>
          <t>Adidas : Online</t>
        </is>
      </c>
      <c r="G256" t="n">
        <v>1238.1307</v>
      </c>
    </row>
    <row r="257">
      <c r="A257">
        <f>HYPERLINK("https://app.vivvix.com/360/KMI/IntelliDrive/ApplUI/Pages/CreativePages/CustomReportCreativeDetail.aspx?App=23&amp;ReportView=4&amp;Qid=1747207&amp;Row=2126&amp;Col=1","No Title Assigned - #15274988193")</f>
        <v/>
      </c>
      <c r="B257" t="inlineStr">
        <is>
          <t>15274988193</t>
        </is>
      </c>
      <c r="E257" t="inlineStr">
        <is>
          <t>Adidas</t>
        </is>
      </c>
      <c r="F257" t="inlineStr">
        <is>
          <t>Adidas : Online</t>
        </is>
      </c>
      <c r="G257" t="n">
        <v>136.597</v>
      </c>
    </row>
    <row r="258">
      <c r="A258">
        <f>HYPERLINK("https://app.vivvix.com/360/KMI/IntelliDrive/ApplUI/Pages/CreativePages/CustomReportCreativeDetail.aspx?App=23&amp;ReportView=4&amp;Qid=1747207&amp;Row=2130&amp;Col=1","No Title Assigned - #15275035878")</f>
        <v/>
      </c>
      <c r="B258" t="inlineStr">
        <is>
          <t>15275035878</t>
        </is>
      </c>
      <c r="E258" t="inlineStr">
        <is>
          <t>Adidas</t>
        </is>
      </c>
      <c r="F258" t="inlineStr">
        <is>
          <t>Adidas : Online</t>
        </is>
      </c>
      <c r="G258" t="n">
        <v>516.7872</v>
      </c>
    </row>
    <row r="259">
      <c r="A259">
        <f>HYPERLINK("https://app.vivvix.com/360/KMI/IntelliDrive/ApplUI/Pages/CreativePages/CustomReportCreativeDetail.aspx?App=23&amp;ReportView=4&amp;Qid=1747207&amp;Row=2131&amp;Col=1","No Title Assigned - #15275036735")</f>
        <v/>
      </c>
      <c r="B259" t="inlineStr">
        <is>
          <t>15275036735</t>
        </is>
      </c>
      <c r="E259" t="inlineStr">
        <is>
          <t>Adidas</t>
        </is>
      </c>
      <c r="F259" t="inlineStr">
        <is>
          <t>Adidas : Online</t>
        </is>
      </c>
      <c r="G259" t="n">
        <v>516.7872</v>
      </c>
    </row>
    <row r="260">
      <c r="A260">
        <f>HYPERLINK("https://app.vivvix.com/360/KMI/IntelliDrive/ApplUI/Pages/CreativePages/CustomReportCreativeDetail.aspx?App=23&amp;ReportView=4&amp;Qid=1747207&amp;Row=2134&amp;Col=1","No Title Assigned - #15275071001")</f>
        <v/>
      </c>
      <c r="B260" t="inlineStr">
        <is>
          <t>15275071001</t>
        </is>
      </c>
      <c r="E260" t="inlineStr">
        <is>
          <t>Adidas</t>
        </is>
      </c>
      <c r="F260" t="inlineStr">
        <is>
          <t>Adidas : Online</t>
        </is>
      </c>
      <c r="G260" t="n">
        <v>23.6694</v>
      </c>
    </row>
    <row r="261">
      <c r="A261">
        <f>HYPERLINK("https://app.vivvix.com/360/KMI/IntelliDrive/ApplUI/Pages/CreativePages/CustomReportCreativeDetail.aspx?App=23&amp;ReportView=4&amp;Qid=1747207&amp;Row=2138&amp;Col=1","No Title Assigned - #15275117568")</f>
        <v/>
      </c>
      <c r="B261" t="inlineStr">
        <is>
          <t>15275117568</t>
        </is>
      </c>
      <c r="E261" t="inlineStr">
        <is>
          <t>Adidas</t>
        </is>
      </c>
      <c r="F261" t="inlineStr">
        <is>
          <t>Adidas : Online</t>
        </is>
      </c>
      <c r="G261" t="n">
        <v>1081.3969</v>
      </c>
    </row>
    <row r="262">
      <c r="A262">
        <f>HYPERLINK("https://app.vivvix.com/360/KMI/IntelliDrive/ApplUI/Pages/CreativePages/CustomReportCreativeDetail.aspx?App=23&amp;ReportView=4&amp;Qid=1747207&amp;Row=2145&amp;Col=1","No Title Assigned - #15275247282")</f>
        <v/>
      </c>
      <c r="B262" t="inlineStr">
        <is>
          <t>15275247282</t>
        </is>
      </c>
      <c r="E262" t="inlineStr">
        <is>
          <t>Adidas</t>
        </is>
      </c>
      <c r="F262" t="inlineStr">
        <is>
          <t>Adidas : Online</t>
        </is>
      </c>
      <c r="G262" t="n">
        <v>50.3732</v>
      </c>
    </row>
    <row r="263">
      <c r="A263">
        <f>HYPERLINK("https://app.vivvix.com/360/KMI/IntelliDrive/ApplUI/Pages/CreativePages/CustomReportCreativeDetail.aspx?App=23&amp;ReportView=4&amp;Qid=1747207&amp;Row=2146&amp;Col=1","No Title Assigned - #15275247304")</f>
        <v/>
      </c>
      <c r="B263" t="inlineStr">
        <is>
          <t>15275247304</t>
        </is>
      </c>
      <c r="E263" t="inlineStr">
        <is>
          <t>Adidas</t>
        </is>
      </c>
      <c r="F263" t="inlineStr">
        <is>
          <t>Adidas : Online</t>
        </is>
      </c>
      <c r="G263" t="n">
        <v>50.3732</v>
      </c>
    </row>
    <row r="264">
      <c r="A264">
        <f>HYPERLINK("https://app.vivvix.com/360/KMI/IntelliDrive/ApplUI/Pages/CreativePages/CustomReportCreativeDetail.aspx?App=23&amp;ReportView=4&amp;Qid=1747207&amp;Row=2147&amp;Col=1","No Title Assigned - #15275247319")</f>
        <v/>
      </c>
      <c r="B264" t="inlineStr">
        <is>
          <t>15275247319</t>
        </is>
      </c>
      <c r="E264" t="inlineStr">
        <is>
          <t>Adidas</t>
        </is>
      </c>
      <c r="F264" t="inlineStr">
        <is>
          <t>Adidas : Online</t>
        </is>
      </c>
      <c r="G264" t="n">
        <v>251.866</v>
      </c>
    </row>
    <row r="265">
      <c r="A265">
        <f>HYPERLINK("https://app.vivvix.com/360/KMI/IntelliDrive/ApplUI/Pages/CreativePages/CustomReportCreativeDetail.aspx?App=23&amp;ReportView=4&amp;Qid=1747207&amp;Row=2150&amp;Col=1","No Title Assigned - #15275260003")</f>
        <v/>
      </c>
      <c r="B265" t="inlineStr">
        <is>
          <t>15275260003</t>
        </is>
      </c>
      <c r="E265" t="inlineStr">
        <is>
          <t>Adidas</t>
        </is>
      </c>
      <c r="F265" t="inlineStr">
        <is>
          <t>Adidas : Online</t>
        </is>
      </c>
      <c r="G265" t="n">
        <v>1522.1169</v>
      </c>
    </row>
    <row r="266">
      <c r="A266">
        <f>HYPERLINK("https://app.vivvix.com/360/KMI/IntelliDrive/ApplUI/Pages/CreativePages/CustomReportCreativeDetail.aspx?App=23&amp;ReportView=4&amp;Qid=1747207&amp;Row=2151&amp;Col=1","No Title Assigned - #15275272586")</f>
        <v/>
      </c>
      <c r="B266" t="inlineStr">
        <is>
          <t>15275272586</t>
        </is>
      </c>
      <c r="E266" t="inlineStr">
        <is>
          <t>Adidas</t>
        </is>
      </c>
      <c r="F266" t="inlineStr">
        <is>
          <t>Adidas : Online</t>
        </is>
      </c>
      <c r="G266" t="n">
        <v>23.6694</v>
      </c>
    </row>
    <row r="267">
      <c r="A267">
        <f>HYPERLINK("https://app.vivvix.com/360/KMI/IntelliDrive/ApplUI/Pages/CreativePages/CustomReportCreativeDetail.aspx?App=23&amp;ReportView=4&amp;Qid=1747207&amp;Row=2153&amp;Col=1","No Title Assigned - #15275281476")</f>
        <v/>
      </c>
      <c r="B267" t="inlineStr">
        <is>
          <t>15275281476</t>
        </is>
      </c>
      <c r="E267" t="inlineStr">
        <is>
          <t>Adidas</t>
        </is>
      </c>
      <c r="F267" t="inlineStr">
        <is>
          <t>Adidas : Online</t>
        </is>
      </c>
      <c r="G267" t="n">
        <v>3933.2416</v>
      </c>
    </row>
    <row r="268">
      <c r="A268">
        <f>HYPERLINK("https://app.vivvix.com/360/KMI/IntelliDrive/ApplUI/Pages/CreativePages/CustomReportCreativeDetail.aspx?App=23&amp;ReportView=4&amp;Qid=1747207&amp;Row=2155&amp;Col=1","No Title Assigned - #15275314240")</f>
        <v/>
      </c>
      <c r="B268" t="inlineStr">
        <is>
          <t>15275314240</t>
        </is>
      </c>
      <c r="E268" t="inlineStr">
        <is>
          <t>Adidas</t>
        </is>
      </c>
      <c r="F268" t="inlineStr">
        <is>
          <t>Adidas : Online</t>
        </is>
      </c>
      <c r="G268" t="n">
        <v>3510.1803</v>
      </c>
    </row>
    <row r="269">
      <c r="A269">
        <f>HYPERLINK("https://app.vivvix.com/360/KMI/IntelliDrive/ApplUI/Pages/CreativePages/CustomReportCreativeDetail.aspx?App=23&amp;ReportView=4&amp;Qid=1747207&amp;Row=2159&amp;Col=1","No Title Assigned - #15275328011")</f>
        <v/>
      </c>
      <c r="B269" t="inlineStr">
        <is>
          <t>15275328011</t>
        </is>
      </c>
      <c r="E269" t="inlineStr">
        <is>
          <t>Adidas</t>
        </is>
      </c>
      <c r="F269" t="inlineStr">
        <is>
          <t>Adidas : Online</t>
        </is>
      </c>
      <c r="G269" t="n">
        <v>313.3911</v>
      </c>
    </row>
    <row r="270">
      <c r="A270">
        <f>HYPERLINK("https://app.vivvix.com/360/KMI/IntelliDrive/ApplUI/Pages/CreativePages/CustomReportCreativeDetail.aspx?App=23&amp;ReportView=4&amp;Qid=1747207&amp;Row=2161&amp;Col=1","No Title Assigned - #15275370060")</f>
        <v/>
      </c>
      <c r="B270" t="inlineStr">
        <is>
          <t>15275370060</t>
        </is>
      </c>
      <c r="E270" t="inlineStr">
        <is>
          <t>Adidas</t>
        </is>
      </c>
      <c r="F270" t="inlineStr">
        <is>
          <t>Adidas : Online</t>
        </is>
      </c>
      <c r="G270" t="n">
        <v>2129.9414</v>
      </c>
    </row>
    <row r="271">
      <c r="A271">
        <f>HYPERLINK("https://app.vivvix.com/360/KMI/IntelliDrive/ApplUI/Pages/CreativePages/CustomReportCreativeDetail.aspx?App=23&amp;ReportView=4&amp;Qid=1747207&amp;Row=2184&amp;Col=1","No Title Assigned - #15275544645")</f>
        <v/>
      </c>
      <c r="B271" t="inlineStr">
        <is>
          <t>15275544645</t>
        </is>
      </c>
      <c r="E271" t="inlineStr">
        <is>
          <t>Adidas</t>
        </is>
      </c>
      <c r="F271" t="inlineStr">
        <is>
          <t>Adidas : Online</t>
        </is>
      </c>
      <c r="G271" t="n">
        <v>50.3732</v>
      </c>
    </row>
    <row r="272">
      <c r="A272">
        <f>HYPERLINK("https://app.vivvix.com/360/KMI/IntelliDrive/ApplUI/Pages/CreativePages/CustomReportCreativeDetail.aspx?App=23&amp;ReportView=4&amp;Qid=1747207&amp;Row=2185&amp;Col=1","No Title Assigned - #15275544775")</f>
        <v/>
      </c>
      <c r="B272" t="inlineStr">
        <is>
          <t>15275544775</t>
        </is>
      </c>
      <c r="E272" t="inlineStr">
        <is>
          <t>Adidas</t>
        </is>
      </c>
      <c r="F272" t="inlineStr">
        <is>
          <t>Adidas : Online</t>
        </is>
      </c>
      <c r="G272" t="n">
        <v>151.1196</v>
      </c>
    </row>
    <row r="273">
      <c r="A273">
        <f>HYPERLINK("https://app.vivvix.com/360/KMI/IntelliDrive/ApplUI/Pages/CreativePages/CustomReportCreativeDetail.aspx?App=23&amp;ReportView=4&amp;Qid=1747207&amp;Row=2186&amp;Col=1","No Title Assigned - #15275545818")</f>
        <v/>
      </c>
      <c r="B273" t="inlineStr">
        <is>
          <t>15275545818</t>
        </is>
      </c>
      <c r="E273" t="inlineStr">
        <is>
          <t>Adidas</t>
        </is>
      </c>
      <c r="F273" t="inlineStr">
        <is>
          <t>Adidas : Online</t>
        </is>
      </c>
      <c r="G273" t="n">
        <v>50.3732</v>
      </c>
    </row>
    <row r="274">
      <c r="A274">
        <f>HYPERLINK("https://app.vivvix.com/360/KMI/IntelliDrive/ApplUI/Pages/CreativePages/CustomReportCreativeDetail.aspx?App=23&amp;ReportView=4&amp;Qid=1747207&amp;Row=2188&amp;Col=1","No Title Assigned - #15275566146")</f>
        <v/>
      </c>
      <c r="B274" t="inlineStr">
        <is>
          <t>15275566146</t>
        </is>
      </c>
      <c r="E274" t="inlineStr">
        <is>
          <t>Adidas</t>
        </is>
      </c>
      <c r="F274" t="inlineStr">
        <is>
          <t>Adidas : Online</t>
        </is>
      </c>
      <c r="G274" t="n">
        <v>50.3732</v>
      </c>
    </row>
    <row r="275">
      <c r="A275">
        <f>HYPERLINK("https://app.vivvix.com/360/KMI/IntelliDrive/ApplUI/Pages/CreativePages/CustomReportCreativeDetail.aspx?App=23&amp;ReportView=4&amp;Qid=1747207&amp;Row=2190&amp;Col=1","No Title Assigned - #15275605076")</f>
        <v/>
      </c>
      <c r="B275" t="inlineStr">
        <is>
          <t>15275605076</t>
        </is>
      </c>
      <c r="E275" t="inlineStr">
        <is>
          <t>Adidas</t>
        </is>
      </c>
      <c r="F275" t="inlineStr">
        <is>
          <t>Adidas : Online</t>
        </is>
      </c>
      <c r="G275" t="n">
        <v>2652.8381</v>
      </c>
    </row>
    <row r="276">
      <c r="A276">
        <f>HYPERLINK("https://app.vivvix.com/360/KMI/IntelliDrive/ApplUI/Pages/CreativePages/CustomReportCreativeDetail.aspx?App=23&amp;ReportView=4&amp;Qid=1747207&amp;Row=2192&amp;Col=1","No Title Assigned - #15275606489")</f>
        <v/>
      </c>
      <c r="B276" t="inlineStr">
        <is>
          <t>15275606489</t>
        </is>
      </c>
      <c r="E276" t="inlineStr">
        <is>
          <t>Adidas</t>
        </is>
      </c>
      <c r="F276" t="inlineStr">
        <is>
          <t>Adidas : Online</t>
        </is>
      </c>
      <c r="G276" t="n">
        <v>1024.958</v>
      </c>
    </row>
    <row r="277">
      <c r="A277">
        <f>HYPERLINK("https://app.vivvix.com/360/KMI/IntelliDrive/ApplUI/Pages/CreativePages/CustomReportCreativeDetail.aspx?App=23&amp;ReportView=4&amp;Qid=1747207&amp;Row=2193&amp;Col=1","No Title Assigned - #15275606635")</f>
        <v/>
      </c>
      <c r="B277" t="inlineStr">
        <is>
          <t>15275606635</t>
        </is>
      </c>
      <c r="E277" t="inlineStr">
        <is>
          <t>Adidas</t>
        </is>
      </c>
      <c r="F277" t="inlineStr">
        <is>
          <t>Adidas : Online</t>
        </is>
      </c>
      <c r="G277" t="n">
        <v>782.2704</v>
      </c>
    </row>
    <row r="278">
      <c r="A278">
        <f>HYPERLINK("https://app.vivvix.com/360/KMI/IntelliDrive/ApplUI/Pages/CreativePages/CustomReportCreativeDetail.aspx?App=23&amp;ReportView=4&amp;Qid=1747207&amp;Row=2200&amp;Col=1","No Title Assigned - #15275650204")</f>
        <v/>
      </c>
      <c r="B278" t="inlineStr">
        <is>
          <t>15275650204</t>
        </is>
      </c>
      <c r="E278" t="inlineStr">
        <is>
          <t>Adidas</t>
        </is>
      </c>
      <c r="F278" t="inlineStr">
        <is>
          <t>Adidas : Online</t>
        </is>
      </c>
      <c r="G278" t="n">
        <v>241.3162</v>
      </c>
    </row>
    <row r="279">
      <c r="A279">
        <f>HYPERLINK("https://app.vivvix.com/360/KMI/IntelliDrive/ApplUI/Pages/CreativePages/CustomReportCreativeDetail.aspx?App=23&amp;ReportView=4&amp;Qid=1747207&amp;Row=2203&amp;Col=1","No Title Assigned - #15275669431")</f>
        <v/>
      </c>
      <c r="B279" t="inlineStr">
        <is>
          <t>15275669431</t>
        </is>
      </c>
      <c r="E279" t="inlineStr">
        <is>
          <t>Adidas</t>
        </is>
      </c>
      <c r="F279" t="inlineStr">
        <is>
          <t>Adidas : Online</t>
        </is>
      </c>
      <c r="G279" t="n">
        <v>514.9994</v>
      </c>
    </row>
    <row r="280">
      <c r="A280">
        <f>HYPERLINK("https://app.vivvix.com/360/KMI/IntelliDrive/ApplUI/Pages/CreativePages/CustomReportCreativeDetail.aspx?App=23&amp;ReportView=4&amp;Qid=1747207&amp;Row=2204&amp;Col=1","No Title Assigned - #15275705449")</f>
        <v/>
      </c>
      <c r="B280" t="inlineStr">
        <is>
          <t>15275705449</t>
        </is>
      </c>
      <c r="E280" t="inlineStr">
        <is>
          <t>Adidas</t>
        </is>
      </c>
      <c r="F280" t="inlineStr">
        <is>
          <t>Adidas : Online</t>
        </is>
      </c>
      <c r="G280" t="n">
        <v>1238.1307</v>
      </c>
    </row>
    <row r="281">
      <c r="A281">
        <f>HYPERLINK("https://app.vivvix.com/360/KMI/IntelliDrive/ApplUI/Pages/CreativePages/CustomReportCreativeDetail.aspx?App=23&amp;ReportView=4&amp;Qid=1747207&amp;Row=2205&amp;Col=1","No Title Assigned - #15275705450")</f>
        <v/>
      </c>
      <c r="B281" t="inlineStr">
        <is>
          <t>15275705450</t>
        </is>
      </c>
      <c r="E281" t="inlineStr">
        <is>
          <t>Adidas</t>
        </is>
      </c>
      <c r="F281" t="inlineStr">
        <is>
          <t>Adidas : Online</t>
        </is>
      </c>
      <c r="G281" t="n">
        <v>1238.1307</v>
      </c>
    </row>
    <row r="282">
      <c r="A282">
        <f>HYPERLINK("https://app.vivvix.com/360/KMI/IntelliDrive/ApplUI/Pages/CreativePages/CustomReportCreativeDetail.aspx?App=23&amp;ReportView=4&amp;Qid=1747207&amp;Row=2208&amp;Col=1","No Title Assigned - #15275721392")</f>
        <v/>
      </c>
      <c r="B282" t="inlineStr">
        <is>
          <t>15275721392</t>
        </is>
      </c>
      <c r="E282" t="inlineStr">
        <is>
          <t>Adidas</t>
        </is>
      </c>
      <c r="F282" t="inlineStr">
        <is>
          <t>Adidas : Online</t>
        </is>
      </c>
      <c r="G282" t="n">
        <v>1643.5924</v>
      </c>
    </row>
    <row r="283">
      <c r="A283">
        <f>HYPERLINK("https://app.vivvix.com/360/KMI/IntelliDrive/ApplUI/Pages/CreativePages/CustomReportCreativeDetail.aspx?App=23&amp;ReportView=4&amp;Qid=1747207&amp;Row=2212&amp;Col=1","No Title Assigned - #15275785410")</f>
        <v/>
      </c>
      <c r="B283" t="inlineStr">
        <is>
          <t>15275785410</t>
        </is>
      </c>
      <c r="E283" t="inlineStr">
        <is>
          <t>Adidas</t>
        </is>
      </c>
      <c r="F283" t="inlineStr">
        <is>
          <t>Adidas : Online</t>
        </is>
      </c>
      <c r="G283" t="n">
        <v>50.3732</v>
      </c>
    </row>
    <row r="284">
      <c r="A284">
        <f>HYPERLINK("https://app.vivvix.com/360/KMI/IntelliDrive/ApplUI/Pages/CreativePages/CustomReportCreativeDetail.aspx?App=23&amp;ReportView=4&amp;Qid=1747207&amp;Row=2213&amp;Col=1","No Title Assigned - #15275800786")</f>
        <v/>
      </c>
      <c r="B284" t="inlineStr">
        <is>
          <t>15275800786</t>
        </is>
      </c>
      <c r="E284" t="inlineStr">
        <is>
          <t>Adidas</t>
        </is>
      </c>
      <c r="F284" t="inlineStr">
        <is>
          <t>Adidas : Online</t>
        </is>
      </c>
      <c r="G284" t="n">
        <v>2129.9414</v>
      </c>
    </row>
    <row r="285">
      <c r="A285">
        <f>HYPERLINK("https://app.vivvix.com/360/KMI/IntelliDrive/ApplUI/Pages/CreativePages/CustomReportCreativeDetail.aspx?App=23&amp;ReportView=4&amp;Qid=1747207&amp;Row=2214&amp;Col=1","No Title Assigned - #15275800789")</f>
        <v/>
      </c>
      <c r="B285" t="inlineStr">
        <is>
          <t>15275800789</t>
        </is>
      </c>
      <c r="E285" t="inlineStr">
        <is>
          <t>Adidas</t>
        </is>
      </c>
      <c r="F285" t="inlineStr">
        <is>
          <t>Adidas : Online</t>
        </is>
      </c>
      <c r="G285" t="n">
        <v>821.7962</v>
      </c>
    </row>
    <row r="286">
      <c r="A286">
        <f>HYPERLINK("https://app.vivvix.com/360/KMI/IntelliDrive/ApplUI/Pages/CreativePages/CustomReportCreativeDetail.aspx?App=23&amp;ReportView=4&amp;Qid=1747207&amp;Row=2215&amp;Col=1","No Title Assigned - #15275810209")</f>
        <v/>
      </c>
      <c r="B286" t="inlineStr">
        <is>
          <t>15275810209</t>
        </is>
      </c>
      <c r="E286" t="inlineStr">
        <is>
          <t>Adidas</t>
        </is>
      </c>
      <c r="F286" t="inlineStr">
        <is>
          <t>Adidas : Online</t>
        </is>
      </c>
      <c r="G286" t="n">
        <v>11906.9218</v>
      </c>
    </row>
    <row r="287">
      <c r="A287">
        <f>HYPERLINK("https://app.vivvix.com/360/KMI/IntelliDrive/ApplUI/Pages/CreativePages/CustomReportCreativeDetail.aspx?App=23&amp;ReportView=4&amp;Qid=1747207&amp;Row=2216&amp;Col=1","No Title Assigned - #15275882167")</f>
        <v/>
      </c>
      <c r="B287" t="inlineStr">
        <is>
          <t>15275882167</t>
        </is>
      </c>
      <c r="E287" t="inlineStr">
        <is>
          <t>Adidas</t>
        </is>
      </c>
      <c r="F287" t="inlineStr">
        <is>
          <t>Adidas : Online</t>
        </is>
      </c>
      <c r="G287" t="n">
        <v>120.6581</v>
      </c>
    </row>
    <row r="288">
      <c r="A288">
        <f>HYPERLINK("https://app.vivvix.com/360/KMI/IntelliDrive/ApplUI/Pages/CreativePages/CustomReportCreativeDetail.aspx?App=23&amp;ReportView=4&amp;Qid=1747207&amp;Row=2217&amp;Col=1","No Title Assigned - #15275882189")</f>
        <v/>
      </c>
      <c r="B288" t="inlineStr">
        <is>
          <t>15275882189</t>
        </is>
      </c>
      <c r="E288" t="inlineStr">
        <is>
          <t>Adidas</t>
        </is>
      </c>
      <c r="F288" t="inlineStr">
        <is>
          <t>Adidas : Online</t>
        </is>
      </c>
      <c r="G288" t="n">
        <v>120.6581</v>
      </c>
    </row>
    <row r="289">
      <c r="A289">
        <f>HYPERLINK("https://app.vivvix.com/360/KMI/IntelliDrive/ApplUI/Pages/CreativePages/CustomReportCreativeDetail.aspx?App=23&amp;ReportView=4&amp;Qid=1747207&amp;Row=2219&amp;Col=1","No Title Assigned - #15275902197")</f>
        <v/>
      </c>
      <c r="B289" t="inlineStr">
        <is>
          <t>15275902197</t>
        </is>
      </c>
      <c r="E289" t="inlineStr">
        <is>
          <t>Adidas</t>
        </is>
      </c>
      <c r="F289" t="inlineStr">
        <is>
          <t>Adidas : Online</t>
        </is>
      </c>
      <c r="G289" t="n">
        <v>855.3285</v>
      </c>
    </row>
    <row r="290">
      <c r="A290">
        <f>HYPERLINK("https://app.vivvix.com/360/KMI/IntelliDrive/ApplUI/Pages/CreativePages/CustomReportCreativeDetail.aspx?App=23&amp;ReportView=4&amp;Qid=1747207&amp;Row=2223&amp;Col=1","No Title Assigned - #15275945656")</f>
        <v/>
      </c>
      <c r="B290" t="inlineStr">
        <is>
          <t>15275945656</t>
        </is>
      </c>
      <c r="E290" t="inlineStr">
        <is>
          <t>Adidas</t>
        </is>
      </c>
      <c r="F290" t="inlineStr">
        <is>
          <t>Adidas : Online</t>
        </is>
      </c>
      <c r="G290" t="n">
        <v>5953.4609</v>
      </c>
    </row>
    <row r="291">
      <c r="A291">
        <f>HYPERLINK("https://app.vivvix.com/360/KMI/IntelliDrive/ApplUI/Pages/CreativePages/CustomReportCreativeDetail.aspx?App=23&amp;ReportView=4&amp;Qid=1747207&amp;Row=2228&amp;Col=1","No Title Assigned - #15276042545")</f>
        <v/>
      </c>
      <c r="B291" t="inlineStr">
        <is>
          <t>15276042545</t>
        </is>
      </c>
      <c r="E291" t="inlineStr">
        <is>
          <t>Adidas</t>
        </is>
      </c>
      <c r="F291" t="inlineStr">
        <is>
          <t>Adidas : Online</t>
        </is>
      </c>
      <c r="G291" t="n">
        <v>861.179</v>
      </c>
    </row>
    <row r="292">
      <c r="A292">
        <f>HYPERLINK("https://app.vivvix.com/360/KMI/IntelliDrive/ApplUI/Pages/CreativePages/CustomReportCreativeDetail.aspx?App=23&amp;ReportView=4&amp;Qid=1747207&amp;Row=2229&amp;Col=1","No Title Assigned - #15276055352")</f>
        <v/>
      </c>
      <c r="B292" t="inlineStr">
        <is>
          <t>15276055352</t>
        </is>
      </c>
      <c r="E292" t="inlineStr">
        <is>
          <t>Adidas</t>
        </is>
      </c>
      <c r="F292" t="inlineStr">
        <is>
          <t>Adidas : Online</t>
        </is>
      </c>
      <c r="G292" t="n">
        <v>3344.2627</v>
      </c>
    </row>
    <row r="293">
      <c r="A293">
        <f>HYPERLINK("https://app.vivvix.com/360/KMI/IntelliDrive/ApplUI/Pages/CreativePages/CustomReportCreativeDetail.aspx?App=23&amp;ReportView=4&amp;Qid=1747207&amp;Row=2230&amp;Col=1","No Title Assigned - #15276057417")</f>
        <v/>
      </c>
      <c r="B293" t="inlineStr">
        <is>
          <t>15276057417</t>
        </is>
      </c>
      <c r="E293" t="inlineStr">
        <is>
          <t>Adidas</t>
        </is>
      </c>
      <c r="F293" t="inlineStr">
        <is>
          <t>Adidas : Online</t>
        </is>
      </c>
      <c r="G293" t="n">
        <v>3344.2627</v>
      </c>
    </row>
    <row r="294">
      <c r="A294">
        <f>HYPERLINK("https://app.vivvix.com/360/KMI/IntelliDrive/ApplUI/Pages/CreativePages/CustomReportCreativeDetail.aspx?App=23&amp;ReportView=4&amp;Qid=1747207&amp;Row=2232&amp;Col=1","No Title Assigned - #15276084154")</f>
        <v/>
      </c>
      <c r="B294" t="inlineStr">
        <is>
          <t>15276084154</t>
        </is>
      </c>
      <c r="E294" t="inlineStr">
        <is>
          <t>Adidas</t>
        </is>
      </c>
      <c r="F294" t="inlineStr">
        <is>
          <t>Adidas : Online</t>
        </is>
      </c>
      <c r="G294" t="n">
        <v>3344.2627</v>
      </c>
    </row>
    <row r="295">
      <c r="A295">
        <f>HYPERLINK("https://app.vivvix.com/360/KMI/IntelliDrive/ApplUI/Pages/CreativePages/CustomReportCreativeDetail.aspx?App=23&amp;ReportView=4&amp;Qid=1747207&amp;Row=2233&amp;Col=1","No Title Assigned - #15276088223")</f>
        <v/>
      </c>
      <c r="B295" t="inlineStr">
        <is>
          <t>15276088223</t>
        </is>
      </c>
      <c r="E295" t="inlineStr">
        <is>
          <t>Adidas</t>
        </is>
      </c>
      <c r="F295" t="inlineStr">
        <is>
          <t>Adidas : Online</t>
        </is>
      </c>
      <c r="G295" t="n">
        <v>33.5388</v>
      </c>
    </row>
    <row r="296">
      <c r="A296">
        <f>HYPERLINK("https://app.vivvix.com/360/KMI/IntelliDrive/ApplUI/Pages/CreativePages/CustomReportCreativeDetail.aspx?App=23&amp;ReportView=4&amp;Qid=1747207&amp;Row=2234&amp;Col=1","No Title Assigned - #15276088246")</f>
        <v/>
      </c>
      <c r="B296" t="inlineStr">
        <is>
          <t>15276088246</t>
        </is>
      </c>
      <c r="E296" t="inlineStr">
        <is>
          <t>Adidas</t>
        </is>
      </c>
      <c r="F296" t="inlineStr">
        <is>
          <t>Adidas : Online</t>
        </is>
      </c>
      <c r="G296" t="n">
        <v>33.5388</v>
      </c>
    </row>
    <row r="297">
      <c r="A297">
        <f>HYPERLINK("https://app.vivvix.com/360/KMI/IntelliDrive/ApplUI/Pages/CreativePages/CustomReportCreativeDetail.aspx?App=23&amp;ReportView=4&amp;Qid=1747207&amp;Row=2235&amp;Col=1","No Title Assigned - #15276088279")</f>
        <v/>
      </c>
      <c r="B297" t="inlineStr">
        <is>
          <t>15276088279</t>
        </is>
      </c>
      <c r="E297" t="inlineStr">
        <is>
          <t>Adidas</t>
        </is>
      </c>
      <c r="F297" t="inlineStr">
        <is>
          <t>Adidas : Online</t>
        </is>
      </c>
      <c r="G297" t="n">
        <v>33.5388</v>
      </c>
    </row>
    <row r="298">
      <c r="A298">
        <f>HYPERLINK("https://app.vivvix.com/360/KMI/IntelliDrive/ApplUI/Pages/CreativePages/CustomReportCreativeDetail.aspx?App=23&amp;ReportView=4&amp;Qid=1747207&amp;Row=2236&amp;Col=1","No Title Assigned - #15276117881")</f>
        <v/>
      </c>
      <c r="B298" t="inlineStr">
        <is>
          <t>15276117881</t>
        </is>
      </c>
      <c r="E298" t="inlineStr">
        <is>
          <t>Adidas</t>
        </is>
      </c>
      <c r="F298" t="inlineStr">
        <is>
          <t>Adidas : Online</t>
        </is>
      </c>
      <c r="G298" t="n">
        <v>3344.2627</v>
      </c>
    </row>
    <row r="299">
      <c r="A299">
        <f>HYPERLINK("https://app.vivvix.com/360/KMI/IntelliDrive/ApplUI/Pages/CreativePages/CustomReportCreativeDetail.aspx?App=23&amp;ReportView=4&amp;Qid=1747207&amp;Row=2237&amp;Col=1","No Title Assigned - #15276136426")</f>
        <v/>
      </c>
      <c r="B299" t="inlineStr">
        <is>
          <t>15276136426</t>
        </is>
      </c>
      <c r="E299" t="inlineStr">
        <is>
          <t>Adidas</t>
        </is>
      </c>
      <c r="F299" t="inlineStr">
        <is>
          <t>Adidas : Online</t>
        </is>
      </c>
      <c r="G299" t="n">
        <v>7071.4803</v>
      </c>
    </row>
    <row r="300">
      <c r="A300">
        <f>HYPERLINK("https://app.vivvix.com/360/KMI/IntelliDrive/ApplUI/Pages/CreativePages/CustomReportCreativeDetail.aspx?App=23&amp;ReportView=4&amp;Qid=1747207&amp;Row=2238&amp;Col=1","No Title Assigned - #15276153920")</f>
        <v/>
      </c>
      <c r="B300" t="inlineStr">
        <is>
          <t>15276153920</t>
        </is>
      </c>
      <c r="E300" t="inlineStr">
        <is>
          <t>Adidas</t>
        </is>
      </c>
      <c r="F300" t="inlineStr">
        <is>
          <t>Adidas : Online</t>
        </is>
      </c>
      <c r="G300" t="n">
        <v>7297.2134</v>
      </c>
    </row>
    <row r="301">
      <c r="A301">
        <f>HYPERLINK("https://app.vivvix.com/360/KMI/IntelliDrive/ApplUI/Pages/CreativePages/CustomReportCreativeDetail.aspx?App=23&amp;ReportView=4&amp;Qid=1747207&amp;Row=2245&amp;Col=1","No Title Assigned - #15276246412")</f>
        <v/>
      </c>
      <c r="B301" t="inlineStr">
        <is>
          <t>15276246412</t>
        </is>
      </c>
      <c r="E301" t="inlineStr">
        <is>
          <t>Adidas</t>
        </is>
      </c>
      <c r="F301" t="inlineStr">
        <is>
          <t>Adidas : Online</t>
        </is>
      </c>
      <c r="G301" t="n">
        <v>3344.2627</v>
      </c>
    </row>
    <row r="302">
      <c r="A302">
        <f>HYPERLINK("https://app.vivvix.com/360/KMI/IntelliDrive/ApplUI/Pages/CreativePages/CustomReportCreativeDetail.aspx?App=23&amp;ReportView=4&amp;Qid=1747207&amp;Row=2247&amp;Col=1","No Title Assigned - #15276255517")</f>
        <v/>
      </c>
      <c r="B302" t="inlineStr">
        <is>
          <t>15276255517</t>
        </is>
      </c>
      <c r="E302" t="inlineStr">
        <is>
          <t>Adidas</t>
        </is>
      </c>
      <c r="F302" t="inlineStr">
        <is>
          <t>Adidas : Online</t>
        </is>
      </c>
      <c r="G302" t="n">
        <v>3344.2627</v>
      </c>
    </row>
    <row r="303">
      <c r="A303">
        <f>HYPERLINK("https://app.vivvix.com/360/KMI/IntelliDrive/ApplUI/Pages/CreativePages/CustomReportCreativeDetail.aspx?App=23&amp;ReportView=4&amp;Qid=1747207&amp;Row=2248&amp;Col=1","No Title Assigned - #15276330921")</f>
        <v/>
      </c>
      <c r="B303" t="inlineStr">
        <is>
          <t>15276330921</t>
        </is>
      </c>
      <c r="E303" t="inlineStr">
        <is>
          <t>Adidas</t>
        </is>
      </c>
      <c r="F303" t="inlineStr">
        <is>
          <t>Adidas : Online</t>
        </is>
      </c>
      <c r="G303" t="n">
        <v>714.3522</v>
      </c>
    </row>
    <row r="304">
      <c r="A304">
        <f>HYPERLINK("https://app.vivvix.com/360/KMI/IntelliDrive/ApplUI/Pages/CreativePages/CustomReportCreativeDetail.aspx?App=23&amp;ReportView=4&amp;Qid=1747207&amp;Row=2253&amp;Col=1","No Title Assigned - #15276424033")</f>
        <v/>
      </c>
      <c r="B304" t="inlineStr">
        <is>
          <t>15276424033</t>
        </is>
      </c>
      <c r="E304" t="inlineStr">
        <is>
          <t>Adidas</t>
        </is>
      </c>
      <c r="F304" t="inlineStr">
        <is>
          <t>Adidas : Online</t>
        </is>
      </c>
      <c r="G304" t="n">
        <v>33.5388</v>
      </c>
    </row>
    <row r="305">
      <c r="A305">
        <f>HYPERLINK("https://app.vivvix.com/360/KMI/IntelliDrive/ApplUI/Pages/CreativePages/CustomReportCreativeDetail.aspx?App=23&amp;ReportView=4&amp;Qid=1747207&amp;Row=2255&amp;Col=1","No Title Assigned - #15276424037")</f>
        <v/>
      </c>
      <c r="B305" t="inlineStr">
        <is>
          <t>15276424037</t>
        </is>
      </c>
      <c r="E305" t="inlineStr">
        <is>
          <t>Adidas</t>
        </is>
      </c>
      <c r="F305" t="inlineStr">
        <is>
          <t>Adidas : Online</t>
        </is>
      </c>
      <c r="G305" t="n">
        <v>67.0776</v>
      </c>
    </row>
    <row r="306">
      <c r="A306">
        <f>HYPERLINK("https://app.vivvix.com/360/KMI/IntelliDrive/ApplUI/Pages/CreativePages/CustomReportCreativeDetail.aspx?App=23&amp;ReportView=4&amp;Qid=1747207&amp;Row=2256&amp;Col=1","No Title Assigned - #15276424061")</f>
        <v/>
      </c>
      <c r="B306" t="inlineStr">
        <is>
          <t>15276424061</t>
        </is>
      </c>
      <c r="E306" t="inlineStr">
        <is>
          <t>Adidas</t>
        </is>
      </c>
      <c r="F306" t="inlineStr">
        <is>
          <t>Adidas : Online</t>
        </is>
      </c>
      <c r="G306" t="n">
        <v>33.5388</v>
      </c>
    </row>
    <row r="307">
      <c r="A307">
        <f>HYPERLINK("https://app.vivvix.com/360/KMI/IntelliDrive/ApplUI/Pages/CreativePages/CustomReportCreativeDetail.aspx?App=23&amp;ReportView=4&amp;Qid=1747207&amp;Row=2257&amp;Col=1","No Title Assigned - #15276424116")</f>
        <v/>
      </c>
      <c r="B307" t="inlineStr">
        <is>
          <t>15276424116</t>
        </is>
      </c>
      <c r="E307" t="inlineStr">
        <is>
          <t>Adidas</t>
        </is>
      </c>
      <c r="F307" t="inlineStr">
        <is>
          <t>Adidas : Online</t>
        </is>
      </c>
      <c r="G307" t="n">
        <v>33.5388</v>
      </c>
    </row>
    <row r="308">
      <c r="A308">
        <f>HYPERLINK("https://app.vivvix.com/360/KMI/IntelliDrive/ApplUI/Pages/CreativePages/CustomReportCreativeDetail.aspx?App=23&amp;ReportView=4&amp;Qid=1747207&amp;Row=2258&amp;Col=1","No Title Assigned - #15276428457")</f>
        <v/>
      </c>
      <c r="B308" t="inlineStr">
        <is>
          <t>15276428457</t>
        </is>
      </c>
      <c r="E308" t="inlineStr">
        <is>
          <t>Adidas</t>
        </is>
      </c>
      <c r="F308" t="inlineStr">
        <is>
          <t>Adidas : Online</t>
        </is>
      </c>
      <c r="G308" t="n">
        <v>33.5388</v>
      </c>
    </row>
    <row r="309">
      <c r="A309">
        <f>HYPERLINK("https://app.vivvix.com/360/KMI/IntelliDrive/ApplUI/Pages/CreativePages/CustomReportCreativeDetail.aspx?App=23&amp;ReportView=4&amp;Qid=1747207&amp;Row=2259&amp;Col=1","No Title Assigned - #15276428461")</f>
        <v/>
      </c>
      <c r="B309" t="inlineStr">
        <is>
          <t>15276428461</t>
        </is>
      </c>
      <c r="E309" t="inlineStr">
        <is>
          <t>Adidas</t>
        </is>
      </c>
      <c r="F309" t="inlineStr">
        <is>
          <t>Adidas : Online</t>
        </is>
      </c>
      <c r="G309" t="n">
        <v>33.5388</v>
      </c>
    </row>
    <row r="310">
      <c r="A310">
        <f>HYPERLINK("https://app.vivvix.com/360/KMI/IntelliDrive/ApplUI/Pages/CreativePages/CustomReportCreativeDetail.aspx?App=23&amp;ReportView=4&amp;Qid=1747207&amp;Row=2264&amp;Col=1","No Title Assigned - #15276464255")</f>
        <v/>
      </c>
      <c r="B310" t="inlineStr">
        <is>
          <t>15276464255</t>
        </is>
      </c>
      <c r="E310" t="inlineStr">
        <is>
          <t>Adidas</t>
        </is>
      </c>
      <c r="F310" t="inlineStr">
        <is>
          <t>Adidas : Online</t>
        </is>
      </c>
      <c r="G310" t="n">
        <v>67.0776</v>
      </c>
    </row>
    <row r="311">
      <c r="A311">
        <f>HYPERLINK("https://app.vivvix.com/360/KMI/IntelliDrive/ApplUI/Pages/CreativePages/CustomReportCreativeDetail.aspx?App=23&amp;ReportView=4&amp;Qid=1747207&amp;Row=2265&amp;Col=1","No Title Assigned - #15276464257")</f>
        <v/>
      </c>
      <c r="B311" t="inlineStr">
        <is>
          <t>15276464257</t>
        </is>
      </c>
      <c r="E311" t="inlineStr">
        <is>
          <t>Adidas</t>
        </is>
      </c>
      <c r="F311" t="inlineStr">
        <is>
          <t>Adidas : Online</t>
        </is>
      </c>
      <c r="G311" t="n">
        <v>33.5388</v>
      </c>
    </row>
    <row r="312">
      <c r="A312">
        <f>HYPERLINK("https://app.vivvix.com/360/KMI/IntelliDrive/ApplUI/Pages/CreativePages/CustomReportCreativeDetail.aspx?App=23&amp;ReportView=4&amp;Qid=1747207&amp;Row=2268&amp;Col=1","No Title Assigned - #15276472661")</f>
        <v/>
      </c>
      <c r="B312" t="inlineStr">
        <is>
          <t>15276472661</t>
        </is>
      </c>
      <c r="E312" t="inlineStr">
        <is>
          <t>Adidas</t>
        </is>
      </c>
      <c r="F312" t="inlineStr">
        <is>
          <t>Adidas : Online</t>
        </is>
      </c>
      <c r="G312" t="n">
        <v>67.0776</v>
      </c>
    </row>
    <row r="313">
      <c r="A313">
        <f>HYPERLINK("https://app.vivvix.com/360/KMI/IntelliDrive/ApplUI/Pages/CreativePages/CustomReportCreativeDetail.aspx?App=23&amp;ReportView=4&amp;Qid=1747207&amp;Row=2269&amp;Col=1","No Title Assigned - #15276472663")</f>
        <v/>
      </c>
      <c r="B313" t="inlineStr">
        <is>
          <t>15276472663</t>
        </is>
      </c>
      <c r="E313" t="inlineStr">
        <is>
          <t>Adidas</t>
        </is>
      </c>
      <c r="F313" t="inlineStr">
        <is>
          <t>Adidas : Online</t>
        </is>
      </c>
      <c r="G313" t="n">
        <v>67.0776</v>
      </c>
    </row>
    <row r="314">
      <c r="A314">
        <f>HYPERLINK("https://app.vivvix.com/360/KMI/IntelliDrive/ApplUI/Pages/CreativePages/CustomReportCreativeDetail.aspx?App=23&amp;ReportView=4&amp;Qid=1747207&amp;Row=2271&amp;Col=1","No Title Assigned - #15276474097")</f>
        <v/>
      </c>
      <c r="B314" t="inlineStr">
        <is>
          <t>15276474097</t>
        </is>
      </c>
      <c r="E314" t="inlineStr">
        <is>
          <t>Adidas</t>
        </is>
      </c>
      <c r="F314" t="inlineStr">
        <is>
          <t>Adidas : Online</t>
        </is>
      </c>
      <c r="G314" t="n">
        <v>33.5388</v>
      </c>
    </row>
    <row r="315">
      <c r="A315">
        <f>HYPERLINK("https://app.vivvix.com/360/KMI/IntelliDrive/ApplUI/Pages/CreativePages/CustomReportCreativeDetail.aspx?App=23&amp;ReportView=4&amp;Qid=1747207&amp;Row=2274&amp;Col=1","No Title Assigned - #15276518476")</f>
        <v/>
      </c>
      <c r="B315" t="inlineStr">
        <is>
          <t>15276518476</t>
        </is>
      </c>
      <c r="E315" t="inlineStr">
        <is>
          <t>Adidas</t>
        </is>
      </c>
      <c r="F315" t="inlineStr">
        <is>
          <t>Adidas : Online</t>
        </is>
      </c>
      <c r="G315" t="n">
        <v>67.0776</v>
      </c>
    </row>
    <row r="316">
      <c r="A316">
        <f>HYPERLINK("https://app.vivvix.com/360/KMI/IntelliDrive/ApplUI/Pages/CreativePages/CustomReportCreativeDetail.aspx?App=23&amp;ReportView=4&amp;Qid=1747207&amp;Row=2276&amp;Col=1","No Title Assigned - #15276519638")</f>
        <v/>
      </c>
      <c r="B316" t="inlineStr">
        <is>
          <t>15276519638</t>
        </is>
      </c>
      <c r="E316" t="inlineStr">
        <is>
          <t>Adidas</t>
        </is>
      </c>
      <c r="F316" t="inlineStr">
        <is>
          <t>Adidas : Online</t>
        </is>
      </c>
      <c r="G316" t="n">
        <v>33.5388</v>
      </c>
    </row>
    <row r="317">
      <c r="A317">
        <f>HYPERLINK("https://app.vivvix.com/360/KMI/IntelliDrive/ApplUI/Pages/CreativePages/CustomReportCreativeDetail.aspx?App=23&amp;ReportView=4&amp;Qid=1747207&amp;Row=2277&amp;Col=1","No Title Assigned - #15276519639")</f>
        <v/>
      </c>
      <c r="B317" t="inlineStr">
        <is>
          <t>15276519639</t>
        </is>
      </c>
      <c r="E317" t="inlineStr">
        <is>
          <t>Adidas</t>
        </is>
      </c>
      <c r="F317" t="inlineStr">
        <is>
          <t>Adidas : Online</t>
        </is>
      </c>
      <c r="G317" t="n">
        <v>33.5388</v>
      </c>
    </row>
    <row r="318">
      <c r="A318">
        <f>HYPERLINK("https://app.vivvix.com/360/KMI/IntelliDrive/ApplUI/Pages/CreativePages/CustomReportCreativeDetail.aspx?App=23&amp;ReportView=4&amp;Qid=1747207&amp;Row=2286&amp;Col=1","No Title Assigned - #15276624514")</f>
        <v/>
      </c>
      <c r="B318" t="inlineStr">
        <is>
          <t>15276624514</t>
        </is>
      </c>
      <c r="E318" t="inlineStr">
        <is>
          <t>Adidas</t>
        </is>
      </c>
      <c r="F318" t="inlineStr">
        <is>
          <t>Adidas : Online</t>
        </is>
      </c>
      <c r="G318" t="n">
        <v>128.7965</v>
      </c>
    </row>
    <row r="319">
      <c r="A319">
        <f>HYPERLINK("https://app.vivvix.com/360/KMI/IntelliDrive/ApplUI/Pages/CreativePages/CustomReportCreativeDetail.aspx?App=23&amp;ReportView=4&amp;Qid=1747207&amp;Row=2287&amp;Col=1","No Title Assigned - #15276624803")</f>
        <v/>
      </c>
      <c r="B319" t="inlineStr">
        <is>
          <t>15276624803</t>
        </is>
      </c>
      <c r="E319" t="inlineStr">
        <is>
          <t>Adidas</t>
        </is>
      </c>
      <c r="F319" t="inlineStr">
        <is>
          <t>Adidas : Online</t>
        </is>
      </c>
      <c r="G319" t="n">
        <v>807.3946</v>
      </c>
    </row>
    <row r="320">
      <c r="A320">
        <f>HYPERLINK("https://app.vivvix.com/360/KMI/IntelliDrive/ApplUI/Pages/CreativePages/CustomReportCreativeDetail.aspx?App=23&amp;ReportView=4&amp;Qid=1747207&amp;Row=2298&amp;Col=1","No Title Assigned - #15276671584")</f>
        <v/>
      </c>
      <c r="B320" t="inlineStr">
        <is>
          <t>15276671584</t>
        </is>
      </c>
      <c r="E320" t="inlineStr">
        <is>
          <t>Adidas</t>
        </is>
      </c>
      <c r="F320" t="inlineStr">
        <is>
          <t>Adidas : Online</t>
        </is>
      </c>
      <c r="G320" t="n">
        <v>33.5388</v>
      </c>
    </row>
    <row r="321">
      <c r="A321">
        <f>HYPERLINK("https://app.vivvix.com/360/KMI/IntelliDrive/ApplUI/Pages/CreativePages/CustomReportCreativeDetail.aspx?App=23&amp;ReportView=4&amp;Qid=1747207&amp;Row=2299&amp;Col=1","No Title Assigned - #15276671586")</f>
        <v/>
      </c>
      <c r="B321" t="inlineStr">
        <is>
          <t>15276671586</t>
        </is>
      </c>
      <c r="E321" t="inlineStr">
        <is>
          <t>Adidas</t>
        </is>
      </c>
      <c r="F321" t="inlineStr">
        <is>
          <t>Adidas : Online</t>
        </is>
      </c>
      <c r="G321" t="n">
        <v>33.5388</v>
      </c>
    </row>
    <row r="322">
      <c r="A322">
        <f>HYPERLINK("https://app.vivvix.com/360/KMI/IntelliDrive/ApplUI/Pages/CreativePages/CustomReportCreativeDetail.aspx?App=23&amp;ReportView=4&amp;Qid=1747207&amp;Row=2308&amp;Col=1","No Title Assigned - #15276769498")</f>
        <v/>
      </c>
      <c r="B322" t="inlineStr">
        <is>
          <t>15276769498</t>
        </is>
      </c>
      <c r="E322" t="inlineStr">
        <is>
          <t>Adidas</t>
        </is>
      </c>
      <c r="F322" t="inlineStr">
        <is>
          <t>Adidas : Online</t>
        </is>
      </c>
      <c r="G322" t="n">
        <v>1614.7892</v>
      </c>
    </row>
    <row r="323">
      <c r="A323">
        <f>HYPERLINK("https://app.vivvix.com/360/KMI/IntelliDrive/ApplUI/Pages/CreativePages/CustomReportCreativeDetail.aspx?App=23&amp;ReportView=4&amp;Qid=1747207&amp;Row=2309&amp;Col=1","No Title Assigned - #15276769595")</f>
        <v/>
      </c>
      <c r="B323" t="inlineStr">
        <is>
          <t>15276769595</t>
        </is>
      </c>
      <c r="E323" t="inlineStr">
        <is>
          <t>Adidas</t>
        </is>
      </c>
      <c r="F323" t="inlineStr">
        <is>
          <t>Adidas : Online</t>
        </is>
      </c>
      <c r="G323" t="n">
        <v>1614.7892</v>
      </c>
    </row>
    <row r="324">
      <c r="A324">
        <f>HYPERLINK("https://app.vivvix.com/360/KMI/IntelliDrive/ApplUI/Pages/CreativePages/CustomReportCreativeDetail.aspx?App=23&amp;ReportView=4&amp;Qid=1747207&amp;Row=2310&amp;Col=1","No Title Assigned - #15276769808")</f>
        <v/>
      </c>
      <c r="B324" t="inlineStr">
        <is>
          <t>15276769808</t>
        </is>
      </c>
      <c r="E324" t="inlineStr">
        <is>
          <t>Adidas</t>
        </is>
      </c>
      <c r="F324" t="inlineStr">
        <is>
          <t>Adidas : Online</t>
        </is>
      </c>
      <c r="G324" t="n">
        <v>807.3946</v>
      </c>
    </row>
    <row r="325">
      <c r="A325">
        <f>HYPERLINK("https://app.vivvix.com/360/KMI/IntelliDrive/ApplUI/Pages/CreativePages/CustomReportCreativeDetail.aspx?App=23&amp;ReportView=4&amp;Qid=1747207&amp;Row=2312&amp;Col=1","No Title Assigned - #15276784379")</f>
        <v/>
      </c>
      <c r="B325" t="inlineStr">
        <is>
          <t>15276784379</t>
        </is>
      </c>
      <c r="E325" t="inlineStr">
        <is>
          <t>Adidas</t>
        </is>
      </c>
      <c r="F325" t="inlineStr">
        <is>
          <t>Adidas : Online</t>
        </is>
      </c>
      <c r="G325" t="n">
        <v>807.3946</v>
      </c>
    </row>
    <row r="326">
      <c r="A326">
        <f>HYPERLINK("https://app.vivvix.com/360/KMI/IntelliDrive/ApplUI/Pages/CreativePages/CustomReportCreativeDetail.aspx?App=23&amp;ReportView=4&amp;Qid=1747207&amp;Row=2313&amp;Col=1","No Title Assigned - #15276784380")</f>
        <v/>
      </c>
      <c r="B326" t="inlineStr">
        <is>
          <t>15276784380</t>
        </is>
      </c>
      <c r="E326" t="inlineStr">
        <is>
          <t>Adidas</t>
        </is>
      </c>
      <c r="F326" t="inlineStr">
        <is>
          <t>Adidas : Online</t>
        </is>
      </c>
      <c r="G326" t="n">
        <v>807.3946</v>
      </c>
    </row>
    <row r="327">
      <c r="A327">
        <f>HYPERLINK("https://app.vivvix.com/360/KMI/IntelliDrive/ApplUI/Pages/CreativePages/CustomReportCreativeDetail.aspx?App=23&amp;ReportView=4&amp;Qid=1747207&amp;Row=2316&amp;Col=1","No Title Assigned - #15276821217")</f>
        <v/>
      </c>
      <c r="B327" t="inlineStr">
        <is>
          <t>15276821217</t>
        </is>
      </c>
      <c r="E327" t="inlineStr">
        <is>
          <t>Adidas</t>
        </is>
      </c>
      <c r="F327" t="inlineStr">
        <is>
          <t>Adidas : Online</t>
        </is>
      </c>
      <c r="G327" t="n">
        <v>33.5388</v>
      </c>
    </row>
    <row r="328">
      <c r="A328">
        <f>HYPERLINK("https://app.vivvix.com/360/KMI/IntelliDrive/ApplUI/Pages/CreativePages/CustomReportCreativeDetail.aspx?App=23&amp;ReportView=4&amp;Qid=1747207&amp;Row=2319&amp;Col=1","No Title Assigned - #15276830184")</f>
        <v/>
      </c>
      <c r="B328" t="inlineStr">
        <is>
          <t>15276830184</t>
        </is>
      </c>
      <c r="E328" t="inlineStr">
        <is>
          <t>Adidas</t>
        </is>
      </c>
      <c r="F328" t="inlineStr">
        <is>
          <t>Adidas : Online</t>
        </is>
      </c>
      <c r="G328" t="n">
        <v>807.3946</v>
      </c>
    </row>
    <row r="329">
      <c r="A329">
        <f>HYPERLINK("https://app.vivvix.com/360/KMI/IntelliDrive/ApplUI/Pages/CreativePages/CustomReportCreativeDetail.aspx?App=23&amp;ReportView=4&amp;Qid=1747207&amp;Row=2320&amp;Col=1","No Title Assigned - #15276830486")</f>
        <v/>
      </c>
      <c r="B329" t="inlineStr">
        <is>
          <t>15276830486</t>
        </is>
      </c>
      <c r="E329" t="inlineStr">
        <is>
          <t>Adidas</t>
        </is>
      </c>
      <c r="F329" t="inlineStr">
        <is>
          <t>Adidas.ca : Online</t>
        </is>
      </c>
      <c r="G329" t="n">
        <v>2772.5926</v>
      </c>
    </row>
    <row r="330">
      <c r="A330">
        <f>HYPERLINK("https://app.vivvix.com/360/KMI/IntelliDrive/ApplUI/Pages/CreativePages/CustomReportCreativeDetail.aspx?App=23&amp;ReportView=4&amp;Qid=1747207&amp;Row=2321&amp;Col=1","No Title Assigned - #15276835424")</f>
        <v/>
      </c>
      <c r="B330" t="inlineStr">
        <is>
          <t>15276835424</t>
        </is>
      </c>
      <c r="E330" t="inlineStr">
        <is>
          <t>Adidas</t>
        </is>
      </c>
      <c r="F330" t="inlineStr">
        <is>
          <t>Adidas : Online</t>
        </is>
      </c>
      <c r="G330" t="n">
        <v>3344.2627</v>
      </c>
    </row>
    <row r="331">
      <c r="A331">
        <f>HYPERLINK("https://app.vivvix.com/360/KMI/IntelliDrive/ApplUI/Pages/CreativePages/CustomReportCreativeDetail.aspx?App=23&amp;ReportView=4&amp;Qid=1747207&amp;Row=2323&amp;Col=1","No Title Assigned - #15276848617")</f>
        <v/>
      </c>
      <c r="B331" t="inlineStr">
        <is>
          <t>15276848617</t>
        </is>
      </c>
      <c r="E331" t="inlineStr">
        <is>
          <t>Adidas</t>
        </is>
      </c>
      <c r="F331" t="inlineStr">
        <is>
          <t>Adidas : Online</t>
        </is>
      </c>
      <c r="G331" t="n">
        <v>5083.6733</v>
      </c>
    </row>
    <row r="332">
      <c r="A332">
        <f>HYPERLINK("https://app.vivvix.com/360/KMI/IntelliDrive/ApplUI/Pages/CreativePages/CustomReportCreativeDetail.aspx?App=23&amp;ReportView=4&amp;Qid=1747207&amp;Row=2325&amp;Col=1","No Title Assigned - #15276862162")</f>
        <v/>
      </c>
      <c r="B332" t="inlineStr">
        <is>
          <t>15276862162</t>
        </is>
      </c>
      <c r="E332" t="inlineStr">
        <is>
          <t>Adidas</t>
        </is>
      </c>
      <c r="F332" t="inlineStr">
        <is>
          <t>Adidas : Online</t>
        </is>
      </c>
      <c r="G332" t="n">
        <v>807.3946</v>
      </c>
    </row>
    <row r="333">
      <c r="A333">
        <f>HYPERLINK("https://app.vivvix.com/360/KMI/IntelliDrive/ApplUI/Pages/CreativePages/CustomReportCreativeDetail.aspx?App=23&amp;ReportView=4&amp;Qid=1747207&amp;Row=2329&amp;Col=1","No Title Assigned - #15276907927")</f>
        <v/>
      </c>
      <c r="B333" t="inlineStr">
        <is>
          <t>15276907927</t>
        </is>
      </c>
      <c r="E333" t="inlineStr">
        <is>
          <t>Adidas</t>
        </is>
      </c>
      <c r="F333" t="inlineStr">
        <is>
          <t>Adidas : Online</t>
        </is>
      </c>
      <c r="G333" t="n">
        <v>5083.6733</v>
      </c>
    </row>
    <row r="334">
      <c r="A334">
        <f>HYPERLINK("https://app.vivvix.com/360/KMI/IntelliDrive/ApplUI/Pages/CreativePages/CustomReportCreativeDetail.aspx?App=23&amp;ReportView=4&amp;Qid=1747207&amp;Row=2340&amp;Col=1","No Title Assigned - #15277056765")</f>
        <v/>
      </c>
      <c r="B334" t="inlineStr">
        <is>
          <t>15277056765</t>
        </is>
      </c>
      <c r="E334" t="inlineStr">
        <is>
          <t>Adidas</t>
        </is>
      </c>
      <c r="F334" t="inlineStr">
        <is>
          <t>Adidas : Online</t>
        </is>
      </c>
      <c r="G334" t="n">
        <v>1614.7892</v>
      </c>
    </row>
    <row r="335">
      <c r="A335">
        <f>HYPERLINK("https://app.vivvix.com/360/KMI/IntelliDrive/ApplUI/Pages/CreativePages/CustomReportCreativeDetail.aspx?App=23&amp;ReportView=4&amp;Qid=1747207&amp;Row=2341&amp;Col=1","No Title Assigned - #15277057698")</f>
        <v/>
      </c>
      <c r="B335" t="inlineStr">
        <is>
          <t>15277057698</t>
        </is>
      </c>
      <c r="E335" t="inlineStr">
        <is>
          <t>Adidas</t>
        </is>
      </c>
      <c r="F335" t="inlineStr">
        <is>
          <t>Adidas : Online</t>
        </is>
      </c>
      <c r="G335" t="n">
        <v>1402.8779</v>
      </c>
    </row>
    <row r="336">
      <c r="A336">
        <f>HYPERLINK("https://app.vivvix.com/360/KMI/IntelliDrive/ApplUI/Pages/CreativePages/CustomReportCreativeDetail.aspx?App=23&amp;ReportView=4&amp;Qid=1747207&amp;Row=2343&amp;Col=1","No Title Assigned - #15277069756")</f>
        <v/>
      </c>
      <c r="B336" t="inlineStr">
        <is>
          <t>15277069756</t>
        </is>
      </c>
      <c r="E336" t="inlineStr">
        <is>
          <t>Adidas</t>
        </is>
      </c>
      <c r="F336" t="inlineStr">
        <is>
          <t>Adidas : Online</t>
        </is>
      </c>
      <c r="G336" t="n">
        <v>3344.2627</v>
      </c>
    </row>
    <row r="337">
      <c r="A337">
        <f>HYPERLINK("https://app.vivvix.com/360/KMI/IntelliDrive/ApplUI/Pages/CreativePages/CustomReportCreativeDetail.aspx?App=23&amp;ReportView=4&amp;Qid=1747207&amp;Row=2346&amp;Col=1","No Title Assigned - #15277077778")</f>
        <v/>
      </c>
      <c r="B337" t="inlineStr">
        <is>
          <t>15277077778</t>
        </is>
      </c>
      <c r="E337" t="inlineStr">
        <is>
          <t>Adidas</t>
        </is>
      </c>
      <c r="F337" t="inlineStr">
        <is>
          <t>Adidas : Online</t>
        </is>
      </c>
      <c r="G337" t="n">
        <v>174.9571</v>
      </c>
    </row>
    <row r="338">
      <c r="A338">
        <f>HYPERLINK("https://app.vivvix.com/360/KMI/IntelliDrive/ApplUI/Pages/CreativePages/CustomReportCreativeDetail.aspx?App=23&amp;ReportView=4&amp;Qid=1747207&amp;Row=2347&amp;Col=1","No Title Assigned - #15277077968")</f>
        <v/>
      </c>
      <c r="B338" t="inlineStr">
        <is>
          <t>15277077968</t>
        </is>
      </c>
      <c r="E338" t="inlineStr">
        <is>
          <t>Adidas</t>
        </is>
      </c>
      <c r="F338" t="inlineStr">
        <is>
          <t>Adidas : Online</t>
        </is>
      </c>
      <c r="G338" t="n">
        <v>302.3704</v>
      </c>
    </row>
    <row r="339">
      <c r="A339">
        <f>HYPERLINK("https://app.vivvix.com/360/KMI/IntelliDrive/ApplUI/Pages/CreativePages/CustomReportCreativeDetail.aspx?App=23&amp;ReportView=4&amp;Qid=1747207&amp;Row=2348&amp;Col=1","No Title Assigned - #15277078618")</f>
        <v/>
      </c>
      <c r="B339" t="inlineStr">
        <is>
          <t>15277078618</t>
        </is>
      </c>
      <c r="E339" t="inlineStr">
        <is>
          <t>Adidas</t>
        </is>
      </c>
      <c r="F339" t="inlineStr">
        <is>
          <t>Adidas : Online</t>
        </is>
      </c>
      <c r="G339" t="n">
        <v>3344.2627</v>
      </c>
    </row>
    <row r="340">
      <c r="A340">
        <f>HYPERLINK("https://app.vivvix.com/360/KMI/IntelliDrive/ApplUI/Pages/CreativePages/CustomReportCreativeDetail.aspx?App=23&amp;ReportView=4&amp;Qid=1747207&amp;Row=2349&amp;Col=1","No Title Assigned - #15277079397")</f>
        <v/>
      </c>
      <c r="B340" t="inlineStr">
        <is>
          <t>15277079397</t>
        </is>
      </c>
      <c r="E340" t="inlineStr">
        <is>
          <t>Adidas</t>
        </is>
      </c>
      <c r="F340" t="inlineStr">
        <is>
          <t>Adidas : Online</t>
        </is>
      </c>
      <c r="G340" t="n">
        <v>3344.2627</v>
      </c>
    </row>
    <row r="341">
      <c r="A341">
        <f>HYPERLINK("https://app.vivvix.com/360/KMI/IntelliDrive/ApplUI/Pages/CreativePages/CustomReportCreativeDetail.aspx?App=23&amp;ReportView=4&amp;Qid=1747207&amp;Row=2351&amp;Col=1","No Title Assigned - #15277101734")</f>
        <v/>
      </c>
      <c r="B341" t="inlineStr">
        <is>
          <t>15277101734</t>
        </is>
      </c>
      <c r="E341" t="inlineStr">
        <is>
          <t>Adidas</t>
        </is>
      </c>
      <c r="F341" t="inlineStr">
        <is>
          <t>Adidas : Online</t>
        </is>
      </c>
      <c r="G341" t="n">
        <v>33.5388</v>
      </c>
    </row>
    <row r="342">
      <c r="A342">
        <f>HYPERLINK("https://app.vivvix.com/360/KMI/IntelliDrive/ApplUI/Pages/CreativePages/CustomReportCreativeDetail.aspx?App=23&amp;ReportView=4&amp;Qid=1747207&amp;Row=2355&amp;Col=1","No Title Assigned - #15277138206")</f>
        <v/>
      </c>
      <c r="B342" t="inlineStr">
        <is>
          <t>15277138206</t>
        </is>
      </c>
      <c r="E342" t="inlineStr">
        <is>
          <t>Adidas</t>
        </is>
      </c>
      <c r="F342" t="inlineStr">
        <is>
          <t>Adidas : Online</t>
        </is>
      </c>
      <c r="G342" t="n">
        <v>3344.2627</v>
      </c>
    </row>
    <row r="343">
      <c r="A343">
        <f>HYPERLINK("https://app.vivvix.com/360/KMI/IntelliDrive/ApplUI/Pages/CreativePages/CustomReportCreativeDetail.aspx?App=23&amp;ReportView=4&amp;Qid=1747207&amp;Row=2357&amp;Col=1","No Title Assigned - #15277139099")</f>
        <v/>
      </c>
      <c r="B343" t="inlineStr">
        <is>
          <t>15277139099</t>
        </is>
      </c>
      <c r="E343" t="inlineStr">
        <is>
          <t>Adidas</t>
        </is>
      </c>
      <c r="F343" t="inlineStr">
        <is>
          <t>Adidas : Online</t>
        </is>
      </c>
      <c r="G343" t="n">
        <v>764.7762</v>
      </c>
    </row>
    <row r="344">
      <c r="A344">
        <f>HYPERLINK("https://app.vivvix.com/360/KMI/IntelliDrive/ApplUI/Pages/CreativePages/CustomReportCreativeDetail.aspx?App=23&amp;ReportView=4&amp;Qid=1747207&amp;Row=2358&amp;Col=1","No Title Assigned - #15277139592")</f>
        <v/>
      </c>
      <c r="B344" t="inlineStr">
        <is>
          <t>15277139592</t>
        </is>
      </c>
      <c r="E344" t="inlineStr">
        <is>
          <t>Adidas</t>
        </is>
      </c>
      <c r="F344" t="inlineStr">
        <is>
          <t>Adidas : Online</t>
        </is>
      </c>
      <c r="G344" t="n">
        <v>3534.8022</v>
      </c>
    </row>
    <row r="345">
      <c r="A345">
        <f>HYPERLINK("https://app.vivvix.com/360/KMI/IntelliDrive/ApplUI/Pages/CreativePages/CustomReportCreativeDetail.aspx?App=23&amp;ReportView=4&amp;Qid=1747207&amp;Row=2365&amp;Col=1","No Title Assigned - #15277174179")</f>
        <v/>
      </c>
      <c r="B345" t="inlineStr">
        <is>
          <t>15277174179</t>
        </is>
      </c>
      <c r="E345" t="inlineStr">
        <is>
          <t>Adidas</t>
        </is>
      </c>
      <c r="F345" t="inlineStr">
        <is>
          <t>Adidas : Shorts Men &amp; Women</t>
        </is>
      </c>
      <c r="G345" t="n">
        <v>455.6909</v>
      </c>
    </row>
    <row r="346">
      <c r="A346">
        <f>HYPERLINK("https://app.vivvix.com/360/KMI/IntelliDrive/ApplUI/Pages/CreativePages/CustomReportCreativeDetail.aspx?App=23&amp;ReportView=4&amp;Qid=1747207&amp;Row=2376&amp;Col=1","No Title Assigned - #15277239776")</f>
        <v/>
      </c>
      <c r="B346" t="inlineStr">
        <is>
          <t>15277239776</t>
        </is>
      </c>
      <c r="E346" t="inlineStr">
        <is>
          <t>Adidas</t>
        </is>
      </c>
      <c r="F346" t="inlineStr">
        <is>
          <t>Adidas : Online</t>
        </is>
      </c>
      <c r="G346" t="n">
        <v>1537.5774</v>
      </c>
    </row>
    <row r="347">
      <c r="A347">
        <f>HYPERLINK("https://app.vivvix.com/360/KMI/IntelliDrive/ApplUI/Pages/CreativePages/CustomReportCreativeDetail.aspx?App=23&amp;ReportView=4&amp;Qid=1747207&amp;Row=2379&amp;Col=1","No Title Assigned - #15277266398")</f>
        <v/>
      </c>
      <c r="B347" t="inlineStr">
        <is>
          <t>15277266398</t>
        </is>
      </c>
      <c r="E347" t="inlineStr">
        <is>
          <t>Adidas</t>
        </is>
      </c>
      <c r="F347" t="inlineStr">
        <is>
          <t>Adidas : Online</t>
        </is>
      </c>
      <c r="G347" t="n">
        <v>849.0662</v>
      </c>
    </row>
    <row r="348">
      <c r="A348">
        <f>HYPERLINK("https://app.vivvix.com/360/KMI/IntelliDrive/ApplUI/Pages/CreativePages/CustomReportCreativeDetail.aspx?App=23&amp;ReportView=4&amp;Qid=1747207&amp;Row=2391&amp;Col=1","No Title Assigned - #15277296786")</f>
        <v/>
      </c>
      <c r="B348" t="inlineStr">
        <is>
          <t>15277296786</t>
        </is>
      </c>
      <c r="E348" t="inlineStr">
        <is>
          <t>Adidas</t>
        </is>
      </c>
      <c r="F348" t="inlineStr">
        <is>
          <t>Adidas : Online</t>
        </is>
      </c>
      <c r="G348" t="n">
        <v>33.5388</v>
      </c>
    </row>
    <row r="349">
      <c r="A349">
        <f>HYPERLINK("https://app.vivvix.com/360/KMI/IntelliDrive/ApplUI/Pages/CreativePages/CustomReportCreativeDetail.aspx?App=23&amp;ReportView=4&amp;Qid=1747207&amp;Row=2415&amp;Col=1","No Title Assigned - #15277616869")</f>
        <v/>
      </c>
      <c r="B349" t="inlineStr">
        <is>
          <t>15277616869</t>
        </is>
      </c>
      <c r="E349" t="inlineStr">
        <is>
          <t>Adidas</t>
        </is>
      </c>
      <c r="F349" t="inlineStr">
        <is>
          <t>Adidas : Online</t>
        </is>
      </c>
      <c r="G349" t="n">
        <v>1614.7892</v>
      </c>
    </row>
    <row r="350">
      <c r="A350">
        <f>HYPERLINK("https://app.vivvix.com/360/KMI/IntelliDrive/ApplUI/Pages/CreativePages/CustomReportCreativeDetail.aspx?App=23&amp;ReportView=4&amp;Qid=1747207&amp;Row=2416&amp;Col=1","No Title Assigned - #15277616885")</f>
        <v/>
      </c>
      <c r="B350" t="inlineStr">
        <is>
          <t>15277616885</t>
        </is>
      </c>
      <c r="E350" t="inlineStr">
        <is>
          <t>Adidas</t>
        </is>
      </c>
      <c r="F350" t="inlineStr">
        <is>
          <t>Adidas : Online</t>
        </is>
      </c>
      <c r="G350" t="n">
        <v>550.7546</v>
      </c>
    </row>
    <row r="351">
      <c r="A351">
        <f>HYPERLINK("https://app.vivvix.com/360/KMI/IntelliDrive/ApplUI/Pages/CreativePages/CustomReportCreativeDetail.aspx?App=23&amp;ReportView=4&amp;Qid=1747207&amp;Row=2420&amp;Col=1","No Title Assigned - #15277651732")</f>
        <v/>
      </c>
      <c r="B351" t="inlineStr">
        <is>
          <t>15277651732</t>
        </is>
      </c>
      <c r="E351" t="inlineStr">
        <is>
          <t>Adidas</t>
        </is>
      </c>
      <c r="F351" t="inlineStr">
        <is>
          <t>Adidas : Online</t>
        </is>
      </c>
      <c r="G351" t="n">
        <v>257.593</v>
      </c>
    </row>
    <row r="352">
      <c r="A352">
        <f>HYPERLINK("https://app.vivvix.com/360/KMI/IntelliDrive/ApplUI/Pages/CreativePages/CustomReportCreativeDetail.aspx?App=23&amp;ReportView=4&amp;Qid=1747207&amp;Row=2421&amp;Col=1","No Title Assigned - #15277654658")</f>
        <v/>
      </c>
      <c r="B352" t="inlineStr">
        <is>
          <t>15277654658</t>
        </is>
      </c>
      <c r="E352" t="inlineStr">
        <is>
          <t>Adidas</t>
        </is>
      </c>
      <c r="F352" t="inlineStr">
        <is>
          <t>Adidas : Online</t>
        </is>
      </c>
      <c r="G352" t="n">
        <v>3229.5784</v>
      </c>
    </row>
    <row r="353">
      <c r="A353">
        <f>HYPERLINK("https://app.vivvix.com/360/KMI/IntelliDrive/ApplUI/Pages/CreativePages/CustomReportCreativeDetail.aspx?App=23&amp;ReportView=4&amp;Qid=1747207&amp;Row=2423&amp;Col=1","No Title Assigned - #15277654978")</f>
        <v/>
      </c>
      <c r="B353" t="inlineStr">
        <is>
          <t>15277654978</t>
        </is>
      </c>
      <c r="E353" t="inlineStr">
        <is>
          <t>Adidas</t>
        </is>
      </c>
      <c r="F353" t="inlineStr">
        <is>
          <t>Adidas : Online</t>
        </is>
      </c>
      <c r="G353" t="n">
        <v>807.3946</v>
      </c>
    </row>
    <row r="354">
      <c r="A354">
        <f>HYPERLINK("https://app.vivvix.com/360/KMI/IntelliDrive/ApplUI/Pages/CreativePages/CustomReportCreativeDetail.aspx?App=23&amp;ReportView=4&amp;Qid=1747207&amp;Row=2426&amp;Col=1","No Title Assigned - #15277669216")</f>
        <v/>
      </c>
      <c r="B354" t="inlineStr">
        <is>
          <t>15277669216</t>
        </is>
      </c>
      <c r="E354" t="inlineStr">
        <is>
          <t>Adidas</t>
        </is>
      </c>
      <c r="F354" t="inlineStr">
        <is>
          <t>Adidas : Online</t>
        </is>
      </c>
      <c r="G354" t="n">
        <v>281.4508</v>
      </c>
    </row>
    <row r="355">
      <c r="A355">
        <f>HYPERLINK("https://app.vivvix.com/360/KMI/IntelliDrive/ApplUI/Pages/CreativePages/CustomReportCreativeDetail.aspx?App=23&amp;ReportView=4&amp;Qid=1747207&amp;Row=2428&amp;Col=1","No Title Assigned - #15277678714")</f>
        <v/>
      </c>
      <c r="B355" t="inlineStr">
        <is>
          <t>15277678714</t>
        </is>
      </c>
      <c r="E355" t="inlineStr">
        <is>
          <t>Adidas</t>
        </is>
      </c>
      <c r="F355" t="inlineStr">
        <is>
          <t>Adidas : Online</t>
        </is>
      </c>
      <c r="G355" t="n">
        <v>807.3946</v>
      </c>
    </row>
    <row r="356">
      <c r="A356">
        <f>HYPERLINK("https://app.vivvix.com/360/KMI/IntelliDrive/ApplUI/Pages/CreativePages/CustomReportCreativeDetail.aspx?App=23&amp;ReportView=4&amp;Qid=1747207&amp;Row=2430&amp;Col=1","No Title Assigned - #15277679772")</f>
        <v/>
      </c>
      <c r="B356" t="inlineStr">
        <is>
          <t>15277679772</t>
        </is>
      </c>
      <c r="E356" t="inlineStr">
        <is>
          <t>Adidas</t>
        </is>
      </c>
      <c r="F356" t="inlineStr">
        <is>
          <t>Adidas : Online</t>
        </is>
      </c>
      <c r="G356" t="n">
        <v>33.5388</v>
      </c>
    </row>
    <row r="357">
      <c r="A357">
        <f>HYPERLINK("https://app.vivvix.com/360/KMI/IntelliDrive/ApplUI/Pages/CreativePages/CustomReportCreativeDetail.aspx?App=23&amp;ReportView=4&amp;Qid=1747207&amp;Row=2434&amp;Col=1","No Title Assigned - #15277698537")</f>
        <v/>
      </c>
      <c r="B357" t="inlineStr">
        <is>
          <t>15277698537</t>
        </is>
      </c>
      <c r="E357" t="inlineStr">
        <is>
          <t>Adidas</t>
        </is>
      </c>
      <c r="F357" t="inlineStr">
        <is>
          <t>Adidas : Online</t>
        </is>
      </c>
      <c r="G357" t="n">
        <v>475.8033</v>
      </c>
    </row>
    <row r="358">
      <c r="A358">
        <f>HYPERLINK("https://app.vivvix.com/360/KMI/IntelliDrive/ApplUI/Pages/CreativePages/CustomReportCreativeDetail.aspx?App=23&amp;ReportView=4&amp;Qid=1747207&amp;Row=2437&amp;Col=1","No Title Assigned - #15277709912")</f>
        <v/>
      </c>
      <c r="B358" t="inlineStr">
        <is>
          <t>15277709912</t>
        </is>
      </c>
      <c r="E358" t="inlineStr">
        <is>
          <t>Adidas</t>
        </is>
      </c>
      <c r="F358" t="inlineStr">
        <is>
          <t>Adidas : Coats Men &amp; Women</t>
        </is>
      </c>
      <c r="G358" t="n">
        <v>262.2461</v>
      </c>
    </row>
    <row r="359">
      <c r="A359">
        <f>HYPERLINK("https://app.vivvix.com/360/KMI/IntelliDrive/ApplUI/Pages/CreativePages/CustomReportCreativeDetail.aspx?App=23&amp;ReportView=4&amp;Qid=1747207&amp;Row=2453&amp;Col=1","No Title Assigned - #15277804412")</f>
        <v/>
      </c>
      <c r="B359" t="inlineStr">
        <is>
          <t>15277804412</t>
        </is>
      </c>
      <c r="E359" t="inlineStr">
        <is>
          <t>Adidas</t>
        </is>
      </c>
      <c r="F359" t="inlineStr">
        <is>
          <t>Adidas : Online</t>
        </is>
      </c>
      <c r="G359" t="n">
        <v>445.7113</v>
      </c>
    </row>
    <row r="360">
      <c r="A360">
        <f>HYPERLINK("https://app.vivvix.com/360/KMI/IntelliDrive/ApplUI/Pages/CreativePages/CustomReportCreativeDetail.aspx?App=23&amp;ReportView=4&amp;Qid=1747207&amp;Row=2460&amp;Col=1","No Title Assigned - #15277839605")</f>
        <v/>
      </c>
      <c r="B360" t="inlineStr">
        <is>
          <t>15277839605</t>
        </is>
      </c>
      <c r="E360" t="inlineStr">
        <is>
          <t>Adidas</t>
        </is>
      </c>
      <c r="F360" t="inlineStr">
        <is>
          <t>Adidas : Online</t>
        </is>
      </c>
      <c r="G360" t="n">
        <v>2422.1838</v>
      </c>
    </row>
    <row r="361">
      <c r="A361">
        <f>HYPERLINK("https://app.vivvix.com/360/KMI/IntelliDrive/ApplUI/Pages/CreativePages/CustomReportCreativeDetail.aspx?App=23&amp;ReportView=4&amp;Qid=1747207&amp;Row=2465&amp;Col=1","No Title Assigned - #15277844546")</f>
        <v/>
      </c>
      <c r="B361" t="inlineStr">
        <is>
          <t>15277844546</t>
        </is>
      </c>
      <c r="E361" t="inlineStr">
        <is>
          <t>Adidas</t>
        </is>
      </c>
      <c r="F361" t="inlineStr">
        <is>
          <t>Adidas : Online</t>
        </is>
      </c>
      <c r="G361" t="n">
        <v>807.3946</v>
      </c>
    </row>
    <row r="362">
      <c r="A362">
        <f>HYPERLINK("https://app.vivvix.com/360/KMI/IntelliDrive/ApplUI/Pages/CreativePages/CustomReportCreativeDetail.aspx?App=23&amp;ReportView=4&amp;Qid=1747207&amp;Row=2471&amp;Col=1","No Title Assigned - #15277860727")</f>
        <v/>
      </c>
      <c r="B362" t="inlineStr">
        <is>
          <t>15277860727</t>
        </is>
      </c>
      <c r="E362" t="inlineStr">
        <is>
          <t>Adidas</t>
        </is>
      </c>
      <c r="F362" t="inlineStr">
        <is>
          <t>Adidas : Online</t>
        </is>
      </c>
      <c r="G362" t="n">
        <v>2306.3206</v>
      </c>
    </row>
    <row r="363">
      <c r="A363">
        <f>HYPERLINK("https://app.vivvix.com/360/KMI/IntelliDrive/ApplUI/Pages/CreativePages/CustomReportCreativeDetail.aspx?App=23&amp;ReportView=4&amp;Qid=1747207&amp;Row=2475&amp;Col=1","No Title Assigned - #15277874186")</f>
        <v/>
      </c>
      <c r="B363" t="inlineStr">
        <is>
          <t>15277874186</t>
        </is>
      </c>
      <c r="E363" t="inlineStr">
        <is>
          <t>Adidas</t>
        </is>
      </c>
      <c r="F363" t="inlineStr">
        <is>
          <t>Adidas : Online</t>
        </is>
      </c>
      <c r="G363" t="n">
        <v>807.3946</v>
      </c>
    </row>
    <row r="364">
      <c r="A364">
        <f>HYPERLINK("https://app.vivvix.com/360/KMI/IntelliDrive/ApplUI/Pages/CreativePages/CustomReportCreativeDetail.aspx?App=23&amp;ReportView=4&amp;Qid=1747207&amp;Row=2476&amp;Col=1","No Title Assigned - #15277874196")</f>
        <v/>
      </c>
      <c r="B364" t="inlineStr">
        <is>
          <t>15277874196</t>
        </is>
      </c>
      <c r="E364" t="inlineStr">
        <is>
          <t>Adidas</t>
        </is>
      </c>
      <c r="F364" t="inlineStr">
        <is>
          <t>Adidas : Online</t>
        </is>
      </c>
      <c r="G364" t="n">
        <v>1614.7892</v>
      </c>
    </row>
    <row r="365">
      <c r="A365">
        <f>HYPERLINK("https://app.vivvix.com/360/KMI/IntelliDrive/ApplUI/Pages/CreativePages/CustomReportCreativeDetail.aspx?App=23&amp;ReportView=4&amp;Qid=1747207&amp;Row=2481&amp;Col=1","No Title Assigned - #15277899671")</f>
        <v/>
      </c>
      <c r="B365" t="inlineStr">
        <is>
          <t>15277899671</t>
        </is>
      </c>
      <c r="E365" t="inlineStr">
        <is>
          <t>Adidas</t>
        </is>
      </c>
      <c r="F365" t="inlineStr">
        <is>
          <t>Adidas : Online</t>
        </is>
      </c>
      <c r="G365" t="n">
        <v>990.9204999999999</v>
      </c>
    </row>
    <row r="366">
      <c r="A366">
        <f>HYPERLINK("https://app.vivvix.com/360/KMI/IntelliDrive/ApplUI/Pages/CreativePages/CustomReportCreativeDetail.aspx?App=23&amp;ReportView=4&amp;Qid=1747207&amp;Row=2485&amp;Col=1","No Title Assigned - #15277913805")</f>
        <v/>
      </c>
      <c r="B366" t="inlineStr">
        <is>
          <t>15277913805</t>
        </is>
      </c>
      <c r="E366" t="inlineStr">
        <is>
          <t>Adidas</t>
        </is>
      </c>
      <c r="F366" t="inlineStr">
        <is>
          <t>Adidas : Online</t>
        </is>
      </c>
      <c r="G366" t="n">
        <v>1614.7892</v>
      </c>
    </row>
    <row r="367">
      <c r="A367">
        <f>HYPERLINK("https://app.vivvix.com/360/KMI/IntelliDrive/ApplUI/Pages/CreativePages/CustomReportCreativeDetail.aspx?App=23&amp;ReportView=4&amp;Qid=1747207&amp;Row=2486&amp;Col=1","No Title Assigned - #15277914432")</f>
        <v/>
      </c>
      <c r="B367" t="inlineStr">
        <is>
          <t>15277914432</t>
        </is>
      </c>
      <c r="E367" t="inlineStr">
        <is>
          <t>Adidas</t>
        </is>
      </c>
      <c r="F367" t="inlineStr">
        <is>
          <t>Adidas : Online</t>
        </is>
      </c>
      <c r="G367" t="n">
        <v>807.3946</v>
      </c>
    </row>
    <row r="368">
      <c r="A368">
        <f>HYPERLINK("https://app.vivvix.com/360/KMI/IntelliDrive/ApplUI/Pages/CreativePages/CustomReportCreativeDetail.aspx?App=23&amp;ReportView=4&amp;Qid=1747207&amp;Row=2487&amp;Col=1","No Title Assigned - #15277914481")</f>
        <v/>
      </c>
      <c r="B368" t="inlineStr">
        <is>
          <t>15277914481</t>
        </is>
      </c>
      <c r="E368" t="inlineStr">
        <is>
          <t>Adidas</t>
        </is>
      </c>
      <c r="F368" t="inlineStr">
        <is>
          <t>Adidas : Online</t>
        </is>
      </c>
      <c r="G368" t="n">
        <v>247.6995</v>
      </c>
    </row>
    <row r="369">
      <c r="A369">
        <f>HYPERLINK("https://app.vivvix.com/360/KMI/IntelliDrive/ApplUI/Pages/CreativePages/CustomReportCreativeDetail.aspx?App=23&amp;ReportView=4&amp;Qid=1747207&amp;Row=2489&amp;Col=1","No Title Assigned - #15277945157")</f>
        <v/>
      </c>
      <c r="B369" t="inlineStr">
        <is>
          <t>15277945157</t>
        </is>
      </c>
      <c r="E369" t="inlineStr">
        <is>
          <t>Adidas</t>
        </is>
      </c>
      <c r="F369" t="inlineStr">
        <is>
          <t>Adidas : Online</t>
        </is>
      </c>
      <c r="G369" t="n">
        <v>807.3946</v>
      </c>
    </row>
    <row r="370">
      <c r="A370">
        <f>HYPERLINK("https://app.vivvix.com/360/KMI/IntelliDrive/ApplUI/Pages/CreativePages/CustomReportCreativeDetail.aspx?App=23&amp;ReportView=4&amp;Qid=1747207&amp;Row=2491&amp;Col=1","No Title Assigned - #15277945167")</f>
        <v/>
      </c>
      <c r="B370" t="inlineStr">
        <is>
          <t>15277945167</t>
        </is>
      </c>
      <c r="E370" t="inlineStr">
        <is>
          <t>Adidas</t>
        </is>
      </c>
      <c r="F370" t="inlineStr">
        <is>
          <t>Adidas : Online</t>
        </is>
      </c>
      <c r="G370" t="n">
        <v>807.3946</v>
      </c>
    </row>
    <row r="371">
      <c r="A371">
        <f>HYPERLINK("https://app.vivvix.com/360/KMI/IntelliDrive/ApplUI/Pages/CreativePages/CustomReportCreativeDetail.aspx?App=23&amp;ReportView=4&amp;Qid=1747207&amp;Row=2493&amp;Col=1","No Title Assigned - #15277945198")</f>
        <v/>
      </c>
      <c r="B371" t="inlineStr">
        <is>
          <t>15277945198</t>
        </is>
      </c>
      <c r="E371" t="inlineStr">
        <is>
          <t>Adidas</t>
        </is>
      </c>
      <c r="F371" t="inlineStr">
        <is>
          <t>Adidas : Online</t>
        </is>
      </c>
      <c r="G371" t="n">
        <v>299.6475</v>
      </c>
    </row>
    <row r="372">
      <c r="A372">
        <f>HYPERLINK("https://app.vivvix.com/360/KMI/IntelliDrive/ApplUI/Pages/CreativePages/CustomReportCreativeDetail.aspx?App=23&amp;ReportView=4&amp;Qid=1747207&amp;Row=2494&amp;Col=1","No Title Assigned - #15277945199")</f>
        <v/>
      </c>
      <c r="B372" t="inlineStr">
        <is>
          <t>15277945199</t>
        </is>
      </c>
      <c r="E372" t="inlineStr">
        <is>
          <t>Adidas</t>
        </is>
      </c>
      <c r="F372" t="inlineStr">
        <is>
          <t>Adidas : Online</t>
        </is>
      </c>
      <c r="G372" t="n">
        <v>299.6475</v>
      </c>
    </row>
    <row r="373">
      <c r="A373">
        <f>HYPERLINK("https://app.vivvix.com/360/KMI/IntelliDrive/ApplUI/Pages/CreativePages/CustomReportCreativeDetail.aspx?App=23&amp;ReportView=4&amp;Qid=1747207&amp;Row=2500&amp;Col=1","No Title Assigned - #15278010880")</f>
        <v/>
      </c>
      <c r="B373" t="inlineStr">
        <is>
          <t>15278010880</t>
        </is>
      </c>
      <c r="E373" t="inlineStr">
        <is>
          <t>Adidas</t>
        </is>
      </c>
      <c r="F373" t="inlineStr">
        <is>
          <t>Adidas : Online</t>
        </is>
      </c>
      <c r="G373" t="n">
        <v>33.5388</v>
      </c>
    </row>
    <row r="374">
      <c r="A374">
        <f>HYPERLINK("https://app.vivvix.com/360/KMI/IntelliDrive/ApplUI/Pages/CreativePages/CustomReportCreativeDetail.aspx?App=23&amp;ReportView=4&amp;Qid=1747207&amp;Row=2507&amp;Col=1","No Title Assigned - #15278096296")</f>
        <v/>
      </c>
      <c r="B374" t="inlineStr">
        <is>
          <t>15278096296</t>
        </is>
      </c>
      <c r="E374" t="inlineStr">
        <is>
          <t>Adidas</t>
        </is>
      </c>
      <c r="F374" t="inlineStr">
        <is>
          <t>Adidas : Online</t>
        </is>
      </c>
      <c r="G374" t="n">
        <v>499.642</v>
      </c>
    </row>
    <row r="375">
      <c r="A375">
        <f>HYPERLINK("https://app.vivvix.com/360/KMI/IntelliDrive/ApplUI/Pages/CreativePages/CustomReportCreativeDetail.aspx?App=23&amp;ReportView=4&amp;Qid=1747207&amp;Row=2517&amp;Col=1","No Title Assigned - #15278144625")</f>
        <v/>
      </c>
      <c r="B375" t="inlineStr">
        <is>
          <t>15278144625</t>
        </is>
      </c>
      <c r="E375" t="inlineStr">
        <is>
          <t>Adidas</t>
        </is>
      </c>
      <c r="F375" t="inlineStr">
        <is>
          <t>Adidas : Online</t>
        </is>
      </c>
      <c r="G375" t="n">
        <v>499.642</v>
      </c>
    </row>
    <row r="376">
      <c r="A376">
        <f>HYPERLINK("https://app.vivvix.com/360/KMI/IntelliDrive/ApplUI/Pages/CreativePages/CustomReportCreativeDetail.aspx?App=23&amp;ReportView=4&amp;Qid=1747207&amp;Row=2518&amp;Col=1","No Title Assigned - #15278144830")</f>
        <v/>
      </c>
      <c r="B376" t="inlineStr">
        <is>
          <t>15278144830</t>
        </is>
      </c>
      <c r="E376" t="inlineStr">
        <is>
          <t>Adidas</t>
        </is>
      </c>
      <c r="F376" t="inlineStr">
        <is>
          <t>Adidas : Online</t>
        </is>
      </c>
      <c r="G376" t="n">
        <v>1807.0919</v>
      </c>
    </row>
    <row r="377">
      <c r="A377">
        <f>HYPERLINK("https://app.vivvix.com/360/KMI/IntelliDrive/ApplUI/Pages/CreativePages/CustomReportCreativeDetail.aspx?App=23&amp;ReportView=4&amp;Qid=1747207&amp;Row=2519&amp;Col=1","No Title Assigned - #15278144855")</f>
        <v/>
      </c>
      <c r="B377" t="inlineStr">
        <is>
          <t>15278144855</t>
        </is>
      </c>
      <c r="E377" t="inlineStr">
        <is>
          <t>Adidas</t>
        </is>
      </c>
      <c r="F377" t="inlineStr">
        <is>
          <t>Adidas : Online</t>
        </is>
      </c>
      <c r="G377" t="n">
        <v>1807.0919</v>
      </c>
    </row>
    <row r="378">
      <c r="A378">
        <f>HYPERLINK("https://app.vivvix.com/360/KMI/IntelliDrive/ApplUI/Pages/CreativePages/CustomReportCreativeDetail.aspx?App=23&amp;ReportView=4&amp;Qid=1747207&amp;Row=2520&amp;Col=1","No Title Assigned - #15278144919")</f>
        <v/>
      </c>
      <c r="B378" t="inlineStr">
        <is>
          <t>15278144919</t>
        </is>
      </c>
      <c r="E378" t="inlineStr">
        <is>
          <t>Adidas</t>
        </is>
      </c>
      <c r="F378" t="inlineStr">
        <is>
          <t>Adidas : Online</t>
        </is>
      </c>
      <c r="G378" t="n">
        <v>1807.0919</v>
      </c>
    </row>
    <row r="379">
      <c r="A379">
        <f>HYPERLINK("https://app.vivvix.com/360/KMI/IntelliDrive/ApplUI/Pages/CreativePages/CustomReportCreativeDetail.aspx?App=23&amp;ReportView=4&amp;Qid=1747207&amp;Row=2527&amp;Col=1","No Title Assigned - #15278157816")</f>
        <v/>
      </c>
      <c r="B379" t="inlineStr">
        <is>
          <t>15278157816</t>
        </is>
      </c>
      <c r="E379" t="inlineStr">
        <is>
          <t>Adidas</t>
        </is>
      </c>
      <c r="F379" t="inlineStr">
        <is>
          <t>Adidas : Online</t>
        </is>
      </c>
      <c r="G379" t="n">
        <v>499.642</v>
      </c>
    </row>
    <row r="380">
      <c r="A380">
        <f>HYPERLINK("https://app.vivvix.com/360/KMI/IntelliDrive/ApplUI/Pages/CreativePages/CustomReportCreativeDetail.aspx?App=23&amp;ReportView=4&amp;Qid=1747207&amp;Row=2532&amp;Col=1","No Title Assigned - #15278172608")</f>
        <v/>
      </c>
      <c r="B380" t="inlineStr">
        <is>
          <t>15278172608</t>
        </is>
      </c>
      <c r="E380" t="inlineStr">
        <is>
          <t>Adidas</t>
        </is>
      </c>
      <c r="F380" t="inlineStr">
        <is>
          <t>Adidas : Online</t>
        </is>
      </c>
      <c r="G380" t="n">
        <v>499.642</v>
      </c>
    </row>
    <row r="381">
      <c r="A381">
        <f>HYPERLINK("https://app.vivvix.com/360/KMI/IntelliDrive/ApplUI/Pages/CreativePages/CustomReportCreativeDetail.aspx?App=23&amp;ReportView=4&amp;Qid=1747207&amp;Row=2533&amp;Col=1","No Title Assigned - #15278172609")</f>
        <v/>
      </c>
      <c r="B381" t="inlineStr">
        <is>
          <t>15278172609</t>
        </is>
      </c>
      <c r="E381" t="inlineStr">
        <is>
          <t>Adidas</t>
        </is>
      </c>
      <c r="F381" t="inlineStr">
        <is>
          <t>Adidas : Online</t>
        </is>
      </c>
      <c r="G381" t="n">
        <v>2997.852</v>
      </c>
    </row>
    <row r="382">
      <c r="A382">
        <f>HYPERLINK("https://app.vivvix.com/360/KMI/IntelliDrive/ApplUI/Pages/CreativePages/CustomReportCreativeDetail.aspx?App=23&amp;ReportView=4&amp;Qid=1747207&amp;Row=2534&amp;Col=1","No Title Assigned - #15278172741")</f>
        <v/>
      </c>
      <c r="B382" t="inlineStr">
        <is>
          <t>15278172741</t>
        </is>
      </c>
      <c r="E382" t="inlineStr">
        <is>
          <t>Adidas</t>
        </is>
      </c>
      <c r="F382" t="inlineStr">
        <is>
          <t>Adidas : Online</t>
        </is>
      </c>
      <c r="G382" t="n">
        <v>2102.8464</v>
      </c>
    </row>
    <row r="383">
      <c r="A383">
        <f>HYPERLINK("https://app.vivvix.com/360/KMI/IntelliDrive/ApplUI/Pages/CreativePages/CustomReportCreativeDetail.aspx?App=23&amp;ReportView=4&amp;Qid=1747207&amp;Row=2537&amp;Col=1","No Title Assigned - #15278205103")</f>
        <v/>
      </c>
      <c r="B383" t="inlineStr">
        <is>
          <t>15278205103</t>
        </is>
      </c>
      <c r="E383" t="inlineStr">
        <is>
          <t>Adidas</t>
        </is>
      </c>
      <c r="F383" t="inlineStr">
        <is>
          <t>Adidas : Online</t>
        </is>
      </c>
      <c r="G383" t="n">
        <v>499.642</v>
      </c>
    </row>
    <row r="384">
      <c r="A384">
        <f>HYPERLINK("https://app.vivvix.com/360/KMI/IntelliDrive/ApplUI/Pages/CreativePages/CustomReportCreativeDetail.aspx?App=23&amp;ReportView=4&amp;Qid=1747207&amp;Row=2539&amp;Col=1","No Title Assigned - #15278206190")</f>
        <v/>
      </c>
      <c r="B384" t="inlineStr">
        <is>
          <t>15278206190</t>
        </is>
      </c>
      <c r="E384" t="inlineStr">
        <is>
          <t>Adidas</t>
        </is>
      </c>
      <c r="F384" t="inlineStr">
        <is>
          <t>Adidas : Online</t>
        </is>
      </c>
      <c r="G384" t="n">
        <v>499.642</v>
      </c>
    </row>
    <row r="385">
      <c r="A385">
        <f>HYPERLINK("https://app.vivvix.com/360/KMI/IntelliDrive/ApplUI/Pages/CreativePages/CustomReportCreativeDetail.aspx?App=23&amp;ReportView=4&amp;Qid=1747207&amp;Row=2542&amp;Col=1","No Title Assigned - #15278207824")</f>
        <v/>
      </c>
      <c r="B385" t="inlineStr">
        <is>
          <t>15278207824</t>
        </is>
      </c>
      <c r="E385" t="inlineStr">
        <is>
          <t>Adidas</t>
        </is>
      </c>
      <c r="F385" t="inlineStr">
        <is>
          <t>Adidas : Online</t>
        </is>
      </c>
      <c r="G385" t="n">
        <v>1807.0919</v>
      </c>
    </row>
    <row r="386">
      <c r="A386">
        <f>HYPERLINK("https://app.vivvix.com/360/KMI/IntelliDrive/ApplUI/Pages/CreativePages/CustomReportCreativeDetail.aspx?App=23&amp;ReportView=4&amp;Qid=1747207&amp;Row=2547&amp;Col=1","No Title Assigned - #15278230161")</f>
        <v/>
      </c>
      <c r="B386" t="inlineStr">
        <is>
          <t>15278230161</t>
        </is>
      </c>
      <c r="E386" t="inlineStr">
        <is>
          <t>Adidas</t>
        </is>
      </c>
      <c r="F386" t="inlineStr">
        <is>
          <t>Adidas : Online</t>
        </is>
      </c>
      <c r="G386" t="n">
        <v>499.642</v>
      </c>
    </row>
    <row r="387">
      <c r="A387">
        <f>HYPERLINK("https://app.vivvix.com/360/KMI/IntelliDrive/ApplUI/Pages/CreativePages/CustomReportCreativeDetail.aspx?App=23&amp;ReportView=4&amp;Qid=1747207&amp;Row=2563&amp;Col=1","No Title Assigned - #15278280730")</f>
        <v/>
      </c>
      <c r="B387" t="inlineStr">
        <is>
          <t>15278280730</t>
        </is>
      </c>
      <c r="E387" t="inlineStr">
        <is>
          <t>Adidas</t>
        </is>
      </c>
      <c r="F387" t="inlineStr">
        <is>
          <t>Adidas : Online</t>
        </is>
      </c>
      <c r="G387" t="n">
        <v>499.642</v>
      </c>
    </row>
    <row r="388">
      <c r="A388">
        <f>HYPERLINK("https://app.vivvix.com/360/KMI/IntelliDrive/ApplUI/Pages/CreativePages/CustomReportCreativeDetail.aspx?App=23&amp;ReportView=4&amp;Qid=1747207&amp;Row=2567&amp;Col=1","No Title Assigned - #15278290271")</f>
        <v/>
      </c>
      <c r="B388" t="inlineStr">
        <is>
          <t>15278290271</t>
        </is>
      </c>
      <c r="E388" t="inlineStr">
        <is>
          <t>Adidas</t>
        </is>
      </c>
      <c r="F388" t="inlineStr">
        <is>
          <t>Adidas : Online</t>
        </is>
      </c>
      <c r="G388" t="n">
        <v>597.2042</v>
      </c>
    </row>
    <row r="389">
      <c r="A389">
        <f>HYPERLINK("https://app.vivvix.com/360/KMI/IntelliDrive/ApplUI/Pages/CreativePages/CustomReportCreativeDetail.aspx?App=23&amp;ReportView=4&amp;Qid=1747207&amp;Row=2575&amp;Col=1","No Title Assigned - #15278335488")</f>
        <v/>
      </c>
      <c r="B389" t="inlineStr">
        <is>
          <t>15278335488</t>
        </is>
      </c>
      <c r="E389" t="inlineStr">
        <is>
          <t>Adidas</t>
        </is>
      </c>
      <c r="F389" t="inlineStr">
        <is>
          <t>Adidas : Online</t>
        </is>
      </c>
      <c r="G389" t="n">
        <v>512.3599</v>
      </c>
    </row>
    <row r="390">
      <c r="A390">
        <f>HYPERLINK("https://app.vivvix.com/360/KMI/IntelliDrive/ApplUI/Pages/CreativePages/CustomReportCreativeDetail.aspx?App=23&amp;ReportView=4&amp;Qid=1747207&amp;Row=2583&amp;Col=1","No Title Assigned - #15278337540")</f>
        <v/>
      </c>
      <c r="B390" t="inlineStr">
        <is>
          <t>15278337540</t>
        </is>
      </c>
      <c r="E390" t="inlineStr">
        <is>
          <t>Adidas</t>
        </is>
      </c>
      <c r="F390" t="inlineStr">
        <is>
          <t>Adidas : Online</t>
        </is>
      </c>
      <c r="G390" t="n">
        <v>124.0862</v>
      </c>
    </row>
    <row r="391">
      <c r="A391">
        <f>HYPERLINK("https://app.vivvix.com/360/KMI/IntelliDrive/ApplUI/Pages/CreativePages/CustomReportCreativeDetail.aspx?App=23&amp;ReportView=4&amp;Qid=1747207&amp;Row=2588&amp;Col=1","No Title Assigned - #15278341034")</f>
        <v/>
      </c>
      <c r="B391" t="inlineStr">
        <is>
          <t>15278341034</t>
        </is>
      </c>
      <c r="E391" t="inlineStr">
        <is>
          <t>Adidas</t>
        </is>
      </c>
      <c r="F391" t="inlineStr">
        <is>
          <t>Adidas : Online</t>
        </is>
      </c>
      <c r="G391" t="n">
        <v>499.642</v>
      </c>
    </row>
    <row r="392">
      <c r="A392">
        <f>HYPERLINK("https://app.vivvix.com/360/KMI/IntelliDrive/ApplUI/Pages/CreativePages/CustomReportCreativeDetail.aspx?App=23&amp;ReportView=4&amp;Qid=1747207&amp;Row=2592&amp;Col=1","No Title Assigned - #15278347937")</f>
        <v/>
      </c>
      <c r="B392" t="inlineStr">
        <is>
          <t>15278347937</t>
        </is>
      </c>
      <c r="E392" t="inlineStr">
        <is>
          <t>Adidas</t>
        </is>
      </c>
      <c r="F392" t="inlineStr">
        <is>
          <t>Adidas : Online</t>
        </is>
      </c>
      <c r="G392" t="n">
        <v>1790.0801</v>
      </c>
    </row>
    <row r="393">
      <c r="A393">
        <f>HYPERLINK("https://app.vivvix.com/360/KMI/IntelliDrive/ApplUI/Pages/CreativePages/CustomReportCreativeDetail.aspx?App=23&amp;ReportView=4&amp;Qid=1747207&amp;Row=2593&amp;Col=1","No Title Assigned - #15278348214")</f>
        <v/>
      </c>
      <c r="B393" t="inlineStr">
        <is>
          <t>15278348214</t>
        </is>
      </c>
      <c r="E393" t="inlineStr">
        <is>
          <t>Adidas</t>
        </is>
      </c>
      <c r="F393" t="inlineStr">
        <is>
          <t>Adidas : Online</t>
        </is>
      </c>
      <c r="G393" t="n">
        <v>124.0862</v>
      </c>
    </row>
    <row r="394">
      <c r="A394">
        <f>HYPERLINK("https://app.vivvix.com/360/KMI/IntelliDrive/ApplUI/Pages/CreativePages/CustomReportCreativeDetail.aspx?App=23&amp;ReportView=4&amp;Qid=1747207&amp;Row=2599&amp;Col=1","No Title Assigned - #15278358483")</f>
        <v/>
      </c>
      <c r="B394" t="inlineStr">
        <is>
          <t>15278358483</t>
        </is>
      </c>
      <c r="E394" t="inlineStr">
        <is>
          <t>Adidas</t>
        </is>
      </c>
      <c r="F394" t="inlineStr">
        <is>
          <t>Adidas : Online</t>
        </is>
      </c>
      <c r="G394" t="n">
        <v>9592.2508</v>
      </c>
    </row>
    <row r="395">
      <c r="A395">
        <f>HYPERLINK("https://app.vivvix.com/360/KMI/IntelliDrive/ApplUI/Pages/CreativePages/CustomReportCreativeDetail.aspx?App=23&amp;ReportView=4&amp;Qid=1747207&amp;Row=2611&amp;Col=1","No Title Assigned - #15278412691")</f>
        <v/>
      </c>
      <c r="B395" t="inlineStr">
        <is>
          <t>15278412691</t>
        </is>
      </c>
      <c r="E395" t="inlineStr">
        <is>
          <t>Adidas</t>
        </is>
      </c>
      <c r="F395" t="inlineStr">
        <is>
          <t>Adidas : Online</t>
        </is>
      </c>
      <c r="G395" t="n">
        <v>445.3357</v>
      </c>
    </row>
    <row r="396">
      <c r="A396">
        <f>HYPERLINK("https://app.vivvix.com/360/KMI/IntelliDrive/ApplUI/Pages/CreativePages/CustomReportCreativeDetail.aspx?App=23&amp;ReportView=4&amp;Qid=1747207&amp;Row=2617&amp;Col=1","No Title Assigned - #15278419156")</f>
        <v/>
      </c>
      <c r="B396" t="inlineStr">
        <is>
          <t>15278419156</t>
        </is>
      </c>
      <c r="E396" t="inlineStr">
        <is>
          <t>Adidas</t>
        </is>
      </c>
      <c r="F396" t="inlineStr">
        <is>
          <t>Adidas : Online</t>
        </is>
      </c>
      <c r="G396" t="n">
        <v>124.0862</v>
      </c>
    </row>
    <row r="397">
      <c r="A397">
        <f>HYPERLINK("https://app.vivvix.com/360/KMI/IntelliDrive/ApplUI/Pages/CreativePages/CustomReportCreativeDetail.aspx?App=23&amp;ReportView=4&amp;Qid=1747207&amp;Row=2618&amp;Col=1","No Title Assigned - #15278419157")</f>
        <v/>
      </c>
      <c r="B397" t="inlineStr">
        <is>
          <t>15278419157</t>
        </is>
      </c>
      <c r="E397" t="inlineStr">
        <is>
          <t>Adidas</t>
        </is>
      </c>
      <c r="F397" t="inlineStr">
        <is>
          <t>Adidas : Online</t>
        </is>
      </c>
      <c r="G397" t="n">
        <v>124.0862</v>
      </c>
    </row>
    <row r="398">
      <c r="A398">
        <f>HYPERLINK("https://app.vivvix.com/360/KMI/IntelliDrive/ApplUI/Pages/CreativePages/CustomReportCreativeDetail.aspx?App=23&amp;ReportView=4&amp;Qid=1747207&amp;Row=2619&amp;Col=1","No Title Assigned - #15278419786")</f>
        <v/>
      </c>
      <c r="B398" t="inlineStr">
        <is>
          <t>15278419786</t>
        </is>
      </c>
      <c r="E398" t="inlineStr">
        <is>
          <t>Adidas</t>
        </is>
      </c>
      <c r="F398" t="inlineStr">
        <is>
          <t>Adidas : Online</t>
        </is>
      </c>
      <c r="G398" t="n">
        <v>49.3875</v>
      </c>
    </row>
    <row r="399">
      <c r="A399">
        <f>HYPERLINK("https://app.vivvix.com/360/KMI/IntelliDrive/ApplUI/Pages/CreativePages/CustomReportCreativeDetail.aspx?App=23&amp;ReportView=4&amp;Qid=1747207&amp;Row=2622&amp;Col=1","No Title Assigned - #15278431230")</f>
        <v/>
      </c>
      <c r="B399" t="inlineStr">
        <is>
          <t>15278431230</t>
        </is>
      </c>
      <c r="E399" t="inlineStr">
        <is>
          <t>Adidas</t>
        </is>
      </c>
      <c r="F399" t="inlineStr">
        <is>
          <t>Adidas : Online</t>
        </is>
      </c>
      <c r="G399" t="n">
        <v>2926.2468</v>
      </c>
    </row>
    <row r="400">
      <c r="A400">
        <f>HYPERLINK("https://app.vivvix.com/360/KMI/IntelliDrive/ApplUI/Pages/CreativePages/CustomReportCreativeDetail.aspx?App=23&amp;ReportView=4&amp;Qid=1747207&amp;Row=2627&amp;Col=1","No Title Assigned - #15278434223")</f>
        <v/>
      </c>
      <c r="B400" t="inlineStr">
        <is>
          <t>15278434223</t>
        </is>
      </c>
      <c r="E400" t="inlineStr">
        <is>
          <t>Adidas</t>
        </is>
      </c>
      <c r="F400" t="inlineStr">
        <is>
          <t>Adidas : Online</t>
        </is>
      </c>
      <c r="G400" t="n">
        <v>493.7654</v>
      </c>
    </row>
    <row r="401">
      <c r="A401">
        <f>HYPERLINK("https://app.vivvix.com/360/KMI/IntelliDrive/ApplUI/Pages/CreativePages/CustomReportCreativeDetail.aspx?App=23&amp;ReportView=4&amp;Qid=1747207&amp;Row=2628&amp;Col=1","No Title Assigned - #15278434241")</f>
        <v/>
      </c>
      <c r="B401" t="inlineStr">
        <is>
          <t>15278434241</t>
        </is>
      </c>
      <c r="E401" t="inlineStr">
        <is>
          <t>Adidas</t>
        </is>
      </c>
      <c r="F401" t="inlineStr">
        <is>
          <t>Adidas : Online</t>
        </is>
      </c>
      <c r="G401" t="n">
        <v>493.7654</v>
      </c>
    </row>
    <row r="402">
      <c r="A402">
        <f>HYPERLINK("https://app.vivvix.com/360/KMI/IntelliDrive/ApplUI/Pages/CreativePages/CustomReportCreativeDetail.aspx?App=23&amp;ReportView=4&amp;Qid=1747207&amp;Row=2630&amp;Col=1","No Title Assigned - #15278451868")</f>
        <v/>
      </c>
      <c r="B402" t="inlineStr">
        <is>
          <t>15278451868</t>
        </is>
      </c>
      <c r="E402" t="inlineStr">
        <is>
          <t>Adidas</t>
        </is>
      </c>
      <c r="F402" t="inlineStr">
        <is>
          <t>Adidas : Online</t>
        </is>
      </c>
      <c r="G402" t="n">
        <v>499.642</v>
      </c>
    </row>
    <row r="403">
      <c r="A403">
        <f>HYPERLINK("https://app.vivvix.com/360/KMI/IntelliDrive/ApplUI/Pages/CreativePages/CustomReportCreativeDetail.aspx?App=23&amp;ReportView=4&amp;Qid=1747207&amp;Row=2631&amp;Col=1","No Title Assigned - #15278451907")</f>
        <v/>
      </c>
      <c r="B403" t="inlineStr">
        <is>
          <t>15278451907</t>
        </is>
      </c>
      <c r="E403" t="inlineStr">
        <is>
          <t>Adidas</t>
        </is>
      </c>
      <c r="F403" t="inlineStr">
        <is>
          <t>Adidas : Online</t>
        </is>
      </c>
      <c r="G403" t="n">
        <v>499.642</v>
      </c>
    </row>
    <row r="404">
      <c r="A404">
        <f>HYPERLINK("https://app.vivvix.com/360/KMI/IntelliDrive/ApplUI/Pages/CreativePages/CustomReportCreativeDetail.aspx?App=23&amp;ReportView=4&amp;Qid=1747207&amp;Row=2632&amp;Col=1","No Title Assigned - #15278451924")</f>
        <v/>
      </c>
      <c r="B404" t="inlineStr">
        <is>
          <t>15278451924</t>
        </is>
      </c>
      <c r="E404" t="inlineStr">
        <is>
          <t>Adidas</t>
        </is>
      </c>
      <c r="F404" t="inlineStr">
        <is>
          <t>Adidas : Online</t>
        </is>
      </c>
      <c r="G404" t="n">
        <v>1807.0919</v>
      </c>
    </row>
    <row r="405">
      <c r="A405">
        <f>HYPERLINK("https://app.vivvix.com/360/KMI/IntelliDrive/ApplUI/Pages/CreativePages/CustomReportCreativeDetail.aspx?App=23&amp;ReportView=4&amp;Qid=1747207&amp;Row=2633&amp;Col=1","No Title Assigned - #15278452069")</f>
        <v/>
      </c>
      <c r="B405" t="inlineStr">
        <is>
          <t>15278452069</t>
        </is>
      </c>
      <c r="E405" t="inlineStr">
        <is>
          <t>Adidas</t>
        </is>
      </c>
      <c r="F405" t="inlineStr">
        <is>
          <t>Adidas : Online</t>
        </is>
      </c>
      <c r="G405" t="n">
        <v>4285.5381</v>
      </c>
    </row>
    <row r="406">
      <c r="A406">
        <f>HYPERLINK("https://app.vivvix.com/360/KMI/IntelliDrive/ApplUI/Pages/CreativePages/CustomReportCreativeDetail.aspx?App=23&amp;ReportView=4&amp;Qid=1747207&amp;Row=2638&amp;Col=1","No Title Assigned - #15278474295")</f>
        <v/>
      </c>
      <c r="B406" t="inlineStr">
        <is>
          <t>15278474295</t>
        </is>
      </c>
      <c r="E406" t="inlineStr">
        <is>
          <t>Adidas</t>
        </is>
      </c>
      <c r="F406" t="inlineStr">
        <is>
          <t>Adidas : Online</t>
        </is>
      </c>
      <c r="G406" t="n">
        <v>499.642</v>
      </c>
    </row>
    <row r="407">
      <c r="A407">
        <f>HYPERLINK("https://app.vivvix.com/360/KMI/IntelliDrive/ApplUI/Pages/CreativePages/CustomReportCreativeDetail.aspx?App=23&amp;ReportView=4&amp;Qid=1747207&amp;Row=2639&amp;Col=1","No Title Assigned - #15278474453")</f>
        <v/>
      </c>
      <c r="B407" t="inlineStr">
        <is>
          <t>15278474453</t>
        </is>
      </c>
      <c r="E407" t="inlineStr">
        <is>
          <t>Adidas</t>
        </is>
      </c>
      <c r="F407" t="inlineStr">
        <is>
          <t>Adidas : Online</t>
        </is>
      </c>
      <c r="G407" t="n">
        <v>222.1706</v>
      </c>
    </row>
    <row r="408">
      <c r="A408">
        <f>HYPERLINK("https://app.vivvix.com/360/KMI/IntelliDrive/ApplUI/Pages/CreativePages/CustomReportCreativeDetail.aspx?App=23&amp;ReportView=4&amp;Qid=1747207&amp;Row=2644&amp;Col=1","No Title Assigned - #15278478047")</f>
        <v/>
      </c>
      <c r="B408" t="inlineStr">
        <is>
          <t>15278478047</t>
        </is>
      </c>
      <c r="E408" t="inlineStr">
        <is>
          <t>Adidas</t>
        </is>
      </c>
      <c r="F408" t="inlineStr">
        <is>
          <t>Adidas : Online</t>
        </is>
      </c>
      <c r="G408" t="n">
        <v>499.642</v>
      </c>
    </row>
    <row r="409">
      <c r="A409">
        <f>HYPERLINK("https://app.vivvix.com/360/KMI/IntelliDrive/ApplUI/Pages/CreativePages/CustomReportCreativeDetail.aspx?App=23&amp;ReportView=4&amp;Qid=1747207&amp;Row=2650&amp;Col=1","No Title Assigned - #15278494558")</f>
        <v/>
      </c>
      <c r="B409" t="inlineStr">
        <is>
          <t>15278494558</t>
        </is>
      </c>
      <c r="E409" t="inlineStr">
        <is>
          <t>Adidas</t>
        </is>
      </c>
      <c r="F409" t="inlineStr">
        <is>
          <t>Adidas : Online</t>
        </is>
      </c>
      <c r="G409" t="n">
        <v>124.0862</v>
      </c>
    </row>
    <row r="410">
      <c r="A410">
        <f>HYPERLINK("https://app.vivvix.com/360/KMI/IntelliDrive/ApplUI/Pages/CreativePages/CustomReportCreativeDetail.aspx?App=23&amp;ReportView=4&amp;Qid=1747207&amp;Row=2652&amp;Col=1","No Title Assigned - #15278517314")</f>
        <v/>
      </c>
      <c r="B410" t="inlineStr">
        <is>
          <t>15278517314</t>
        </is>
      </c>
      <c r="E410" t="inlineStr">
        <is>
          <t>Adidas</t>
        </is>
      </c>
      <c r="F410" t="inlineStr">
        <is>
          <t>Adidas : Online</t>
        </is>
      </c>
      <c r="G410" t="n">
        <v>499.642</v>
      </c>
    </row>
    <row r="411">
      <c r="A411">
        <f>HYPERLINK("https://app.vivvix.com/360/KMI/IntelliDrive/ApplUI/Pages/CreativePages/CustomReportCreativeDetail.aspx?App=23&amp;ReportView=4&amp;Qid=1747207&amp;Row=2658&amp;Col=1","No Title Assigned - #15278530436")</f>
        <v/>
      </c>
      <c r="B411" t="inlineStr">
        <is>
          <t>15278530436</t>
        </is>
      </c>
      <c r="E411" t="inlineStr">
        <is>
          <t>Adidas</t>
        </is>
      </c>
      <c r="F411" t="inlineStr">
        <is>
          <t>Adidas : Online</t>
        </is>
      </c>
      <c r="G411" t="n">
        <v>1712.8896</v>
      </c>
    </row>
    <row r="412">
      <c r="A412">
        <f>HYPERLINK("https://app.vivvix.com/360/KMI/IntelliDrive/ApplUI/Pages/CreativePages/CustomReportCreativeDetail.aspx?App=23&amp;ReportView=4&amp;Qid=1747207&amp;Row=2661&amp;Col=1","No Title Assigned - #15278537215")</f>
        <v/>
      </c>
      <c r="B412" t="inlineStr">
        <is>
          <t>15278537215</t>
        </is>
      </c>
      <c r="E412" t="inlineStr">
        <is>
          <t>Adidas</t>
        </is>
      </c>
      <c r="F412" t="inlineStr">
        <is>
          <t>Adidas : Online</t>
        </is>
      </c>
      <c r="G412" t="n">
        <v>499.642</v>
      </c>
    </row>
    <row r="413">
      <c r="A413">
        <f>HYPERLINK("https://app.vivvix.com/360/KMI/IntelliDrive/ApplUI/Pages/CreativePages/CustomReportCreativeDetail.aspx?App=23&amp;ReportView=4&amp;Qid=1747207&amp;Row=2664&amp;Col=1","No Title Assigned - #15278546547")</f>
        <v/>
      </c>
      <c r="B413" t="inlineStr">
        <is>
          <t>15278546547</t>
        </is>
      </c>
      <c r="E413" t="inlineStr">
        <is>
          <t>Adidas</t>
        </is>
      </c>
      <c r="F413" t="inlineStr">
        <is>
          <t>Adidas : Online</t>
        </is>
      </c>
      <c r="G413" t="n">
        <v>2498.21</v>
      </c>
    </row>
    <row r="414">
      <c r="A414">
        <f>HYPERLINK("https://app.vivvix.com/360/KMI/IntelliDrive/ApplUI/Pages/CreativePages/CustomReportCreativeDetail.aspx?App=23&amp;ReportView=4&amp;Qid=1747207&amp;Row=2666&amp;Col=1","No Title Assigned - #15278548206")</f>
        <v/>
      </c>
      <c r="B414" t="inlineStr">
        <is>
          <t>15278548206</t>
        </is>
      </c>
      <c r="E414" t="inlineStr">
        <is>
          <t>Adidas</t>
        </is>
      </c>
      <c r="F414" t="inlineStr">
        <is>
          <t>Adidas : Online</t>
        </is>
      </c>
      <c r="G414" t="n">
        <v>166.4447</v>
      </c>
    </row>
    <row r="415">
      <c r="A415">
        <f>HYPERLINK("https://app.vivvix.com/360/KMI/IntelliDrive/ApplUI/Pages/CreativePages/CustomReportCreativeDetail.aspx?App=23&amp;ReportView=4&amp;Qid=1747207&amp;Row=2686&amp;Col=1","No Title Assigned - #15278646969")</f>
        <v/>
      </c>
      <c r="B415" t="inlineStr">
        <is>
          <t>15278646969</t>
        </is>
      </c>
      <c r="E415" t="inlineStr">
        <is>
          <t>Adidas</t>
        </is>
      </c>
      <c r="F415" t="inlineStr">
        <is>
          <t>Adidas : Online</t>
        </is>
      </c>
      <c r="G415" t="n">
        <v>18495.9769</v>
      </c>
    </row>
    <row r="416">
      <c r="A416">
        <f>HYPERLINK("https://app.vivvix.com/360/KMI/IntelliDrive/ApplUI/Pages/CreativePages/CustomReportCreativeDetail.aspx?App=23&amp;ReportView=4&amp;Qid=1747207&amp;Row=2697&amp;Col=1","No Title Assigned - #15278672078")</f>
        <v/>
      </c>
      <c r="B416" t="inlineStr">
        <is>
          <t>15278672078</t>
        </is>
      </c>
      <c r="E416" t="inlineStr">
        <is>
          <t>Adidas</t>
        </is>
      </c>
      <c r="F416" t="inlineStr">
        <is>
          <t>Adidas : Online</t>
        </is>
      </c>
      <c r="G416" t="n">
        <v>322.6858</v>
      </c>
    </row>
    <row r="417">
      <c r="A417">
        <f>HYPERLINK("https://app.vivvix.com/360/KMI/IntelliDrive/ApplUI/Pages/CreativePages/CustomReportCreativeDetail.aspx?App=23&amp;ReportView=4&amp;Qid=1747207&amp;Row=2703&amp;Col=1","No Title Assigned - #15278699439")</f>
        <v/>
      </c>
      <c r="B417" t="inlineStr">
        <is>
          <t>15278699439</t>
        </is>
      </c>
      <c r="E417" t="inlineStr">
        <is>
          <t>Adidas</t>
        </is>
      </c>
      <c r="F417" t="inlineStr">
        <is>
          <t>Adidas : Online</t>
        </is>
      </c>
      <c r="G417" t="n">
        <v>124.0862</v>
      </c>
    </row>
    <row r="418">
      <c r="A418">
        <f>HYPERLINK("https://app.vivvix.com/360/KMI/IntelliDrive/ApplUI/Pages/CreativePages/CustomReportCreativeDetail.aspx?App=23&amp;ReportView=4&amp;Qid=1747207&amp;Row=2704&amp;Col=1","No Title Assigned - #15278699629")</f>
        <v/>
      </c>
      <c r="B418" t="inlineStr">
        <is>
          <t>15278699629</t>
        </is>
      </c>
      <c r="E418" t="inlineStr">
        <is>
          <t>Adidas</t>
        </is>
      </c>
      <c r="F418" t="inlineStr">
        <is>
          <t>Adidas : Online</t>
        </is>
      </c>
      <c r="G418" t="n">
        <v>999.284</v>
      </c>
    </row>
    <row r="419">
      <c r="A419">
        <f>HYPERLINK("https://app.vivvix.com/360/KMI/IntelliDrive/ApplUI/Pages/CreativePages/CustomReportCreativeDetail.aspx?App=23&amp;ReportView=4&amp;Qid=1747207&amp;Row=2708&amp;Col=1","No Title Assigned - #15278707472")</f>
        <v/>
      </c>
      <c r="B419" t="inlineStr">
        <is>
          <t>15278707472</t>
        </is>
      </c>
      <c r="E419" t="inlineStr">
        <is>
          <t>Adidas</t>
        </is>
      </c>
      <c r="F419" t="inlineStr">
        <is>
          <t>Adidas : Online</t>
        </is>
      </c>
      <c r="G419" t="n">
        <v>1705.8887</v>
      </c>
    </row>
    <row r="420">
      <c r="A420">
        <f>HYPERLINK("https://app.vivvix.com/360/KMI/IntelliDrive/ApplUI/Pages/CreativePages/CustomReportCreativeDetail.aspx?App=23&amp;ReportView=4&amp;Qid=1747207&amp;Row=2714&amp;Col=1","No Title Assigned - #15278756166")</f>
        <v/>
      </c>
      <c r="B420" t="inlineStr">
        <is>
          <t>15278756166</t>
        </is>
      </c>
      <c r="E420" t="inlineStr">
        <is>
          <t>Adidas</t>
        </is>
      </c>
      <c r="F420" t="inlineStr">
        <is>
          <t>Adidas : Online</t>
        </is>
      </c>
      <c r="G420" t="n">
        <v>999.284</v>
      </c>
    </row>
    <row r="421">
      <c r="A421">
        <f>HYPERLINK("https://app.vivvix.com/360/KMI/IntelliDrive/ApplUI/Pages/CreativePages/CustomReportCreativeDetail.aspx?App=23&amp;ReportView=4&amp;Qid=1747207&amp;Row=2718&amp;Col=1","No Title Assigned - #15278759126")</f>
        <v/>
      </c>
      <c r="B421" t="inlineStr">
        <is>
          <t>15278759126</t>
        </is>
      </c>
      <c r="E421" t="inlineStr">
        <is>
          <t>Adidas</t>
        </is>
      </c>
      <c r="F421" t="inlineStr">
        <is>
          <t>Adidas : Online</t>
        </is>
      </c>
      <c r="G421" t="n">
        <v>29.4687</v>
      </c>
    </row>
    <row r="422">
      <c r="A422">
        <f>HYPERLINK("https://app.vivvix.com/360/KMI/IntelliDrive/ApplUI/Pages/CreativePages/CustomReportCreativeDetail.aspx?App=23&amp;ReportView=4&amp;Qid=1747207&amp;Row=2721&amp;Col=1","No Title Assigned - #15278769409")</f>
        <v/>
      </c>
      <c r="B422" t="inlineStr">
        <is>
          <t>15278769409</t>
        </is>
      </c>
      <c r="E422" t="inlineStr">
        <is>
          <t>Adidas</t>
        </is>
      </c>
      <c r="F422" t="inlineStr">
        <is>
          <t>Adidas : Online</t>
        </is>
      </c>
      <c r="G422" t="n">
        <v>173.5443</v>
      </c>
    </row>
    <row r="423">
      <c r="A423">
        <f>HYPERLINK("https://app.vivvix.com/360/KMI/IntelliDrive/ApplUI/Pages/CreativePages/CustomReportCreativeDetail.aspx?App=23&amp;ReportView=4&amp;Qid=1747207&amp;Row=2722&amp;Col=1","No Title Assigned - #15278769866")</f>
        <v/>
      </c>
      <c r="B423" t="inlineStr">
        <is>
          <t>15278769866</t>
        </is>
      </c>
      <c r="E423" t="inlineStr">
        <is>
          <t>Adidas</t>
        </is>
      </c>
      <c r="F423" t="inlineStr">
        <is>
          <t>Adidas : Online</t>
        </is>
      </c>
      <c r="G423" t="n">
        <v>29.4687</v>
      </c>
    </row>
    <row r="424">
      <c r="A424">
        <f>HYPERLINK("https://app.vivvix.com/360/KMI/IntelliDrive/ApplUI/Pages/CreativePages/CustomReportCreativeDetail.aspx?App=23&amp;ReportView=4&amp;Qid=1747207&amp;Row=2724&amp;Col=1","No Title Assigned - #15278774814")</f>
        <v/>
      </c>
      <c r="B424" t="inlineStr">
        <is>
          <t>15278774814</t>
        </is>
      </c>
      <c r="E424" t="inlineStr">
        <is>
          <t>Adidas</t>
        </is>
      </c>
      <c r="F424" t="inlineStr">
        <is>
          <t>Adidas : Online</t>
        </is>
      </c>
      <c r="G424" t="n">
        <v>250.0301</v>
      </c>
    </row>
    <row r="425">
      <c r="A425">
        <f>HYPERLINK("https://app.vivvix.com/360/KMI/IntelliDrive/ApplUI/Pages/CreativePages/CustomReportCreativeDetail.aspx?App=23&amp;ReportView=4&amp;Qid=1747207&amp;Row=2728&amp;Col=1","No Title Assigned - #15278774920")</f>
        <v/>
      </c>
      <c r="B425" t="inlineStr">
        <is>
          <t>15278774920</t>
        </is>
      </c>
      <c r="E425" t="inlineStr">
        <is>
          <t>Adidas</t>
        </is>
      </c>
      <c r="F425" t="inlineStr">
        <is>
          <t>Adidas : Online</t>
        </is>
      </c>
      <c r="G425" t="n">
        <v>250.0301</v>
      </c>
    </row>
    <row r="426">
      <c r="A426">
        <f>HYPERLINK("https://app.vivvix.com/360/KMI/IntelliDrive/ApplUI/Pages/CreativePages/CustomReportCreativeDetail.aspx?App=23&amp;ReportView=4&amp;Qid=1747207&amp;Row=2737&amp;Col=1","No Title Assigned - #15278819786")</f>
        <v/>
      </c>
      <c r="B426" t="inlineStr">
        <is>
          <t>15278819786</t>
        </is>
      </c>
      <c r="E426" t="inlineStr">
        <is>
          <t>Adidas</t>
        </is>
      </c>
      <c r="F426" t="inlineStr">
        <is>
          <t>Adidas : Online</t>
        </is>
      </c>
      <c r="G426" t="n">
        <v>3465.4956</v>
      </c>
    </row>
    <row r="427">
      <c r="A427">
        <f>HYPERLINK("https://app.vivvix.com/360/KMI/IntelliDrive/ApplUI/Pages/CreativePages/CustomReportCreativeDetail.aspx?App=23&amp;ReportView=4&amp;Qid=1747207&amp;Row=2738&amp;Col=1","No Title Assigned - #15278824683")</f>
        <v/>
      </c>
      <c r="B427" t="inlineStr">
        <is>
          <t>15278824683</t>
        </is>
      </c>
      <c r="E427" t="inlineStr">
        <is>
          <t>Adidas</t>
        </is>
      </c>
      <c r="F427" t="inlineStr">
        <is>
          <t>Adidas : Online</t>
        </is>
      </c>
      <c r="G427" t="n">
        <v>3465.4956</v>
      </c>
    </row>
    <row r="428">
      <c r="A428">
        <f>HYPERLINK("https://app.vivvix.com/360/KMI/IntelliDrive/ApplUI/Pages/CreativePages/CustomReportCreativeDetail.aspx?App=23&amp;ReportView=4&amp;Qid=1747207&amp;Row=2743&amp;Col=1","No Title Assigned - #15278833215")</f>
        <v/>
      </c>
      <c r="B428" t="inlineStr">
        <is>
          <t>15278833215</t>
        </is>
      </c>
      <c r="E428" t="inlineStr">
        <is>
          <t>Adidas</t>
        </is>
      </c>
      <c r="F428" t="inlineStr">
        <is>
          <t>Adidas : Online</t>
        </is>
      </c>
      <c r="G428" t="n">
        <v>49.3875</v>
      </c>
    </row>
    <row r="429">
      <c r="A429">
        <f>HYPERLINK("https://app.vivvix.com/360/KMI/IntelliDrive/ApplUI/Pages/CreativePages/CustomReportCreativeDetail.aspx?App=23&amp;ReportView=4&amp;Qid=1747207&amp;Row=2744&amp;Col=1","No Title Assigned - #15278837726")</f>
        <v/>
      </c>
      <c r="B429" t="inlineStr">
        <is>
          <t>15278837726</t>
        </is>
      </c>
      <c r="E429" t="inlineStr">
        <is>
          <t>Adidas</t>
        </is>
      </c>
      <c r="F429" t="inlineStr">
        <is>
          <t>Adidas : Online</t>
        </is>
      </c>
      <c r="G429" t="n">
        <v>98.77500000000001</v>
      </c>
    </row>
    <row r="430">
      <c r="A430">
        <f>HYPERLINK("https://app.vivvix.com/360/KMI/IntelliDrive/ApplUI/Pages/CreativePages/CustomReportCreativeDetail.aspx?App=23&amp;ReportView=4&amp;Qid=1747207&amp;Row=2751&amp;Col=1","No Title Assigned - #15278872569")</f>
        <v/>
      </c>
      <c r="B430" t="inlineStr">
        <is>
          <t>15278872569</t>
        </is>
      </c>
      <c r="E430" t="inlineStr">
        <is>
          <t>Adidas</t>
        </is>
      </c>
      <c r="F430" t="inlineStr">
        <is>
          <t>Adidas : Online</t>
        </is>
      </c>
      <c r="G430" t="n">
        <v>486.1538</v>
      </c>
    </row>
    <row r="431">
      <c r="A431">
        <f>HYPERLINK("https://app.vivvix.com/360/KMI/IntelliDrive/ApplUI/Pages/CreativePages/CustomReportCreativeDetail.aspx?App=23&amp;ReportView=4&amp;Qid=1747207&amp;Row=2755&amp;Col=1","No Title Assigned - #15278878662")</f>
        <v/>
      </c>
      <c r="B431" t="inlineStr">
        <is>
          <t>15278878662</t>
        </is>
      </c>
      <c r="E431" t="inlineStr">
        <is>
          <t>Adidas</t>
        </is>
      </c>
      <c r="F431" t="inlineStr">
        <is>
          <t>Adidas : Online</t>
        </is>
      </c>
      <c r="G431" t="n">
        <v>857.5467</v>
      </c>
    </row>
    <row r="432">
      <c r="A432">
        <f>HYPERLINK("https://app.vivvix.com/360/KMI/IntelliDrive/ApplUI/Pages/CreativePages/CustomReportCreativeDetail.aspx?App=23&amp;ReportView=4&amp;Qid=1747207&amp;Row=2761&amp;Col=1","No Title Assigned - #15278892986")</f>
        <v/>
      </c>
      <c r="B432" t="inlineStr">
        <is>
          <t>15278892986</t>
        </is>
      </c>
      <c r="E432" t="inlineStr">
        <is>
          <t>Adidas</t>
        </is>
      </c>
      <c r="F432" t="inlineStr">
        <is>
          <t>Adidas : Online</t>
        </is>
      </c>
      <c r="G432" t="n">
        <v>999.284</v>
      </c>
    </row>
    <row r="433">
      <c r="A433">
        <f>HYPERLINK("https://app.vivvix.com/360/KMI/IntelliDrive/ApplUI/Pages/CreativePages/CustomReportCreativeDetail.aspx?App=23&amp;ReportView=4&amp;Qid=1747207&amp;Row=2762&amp;Col=1","No Title Assigned - #15278893879")</f>
        <v/>
      </c>
      <c r="B433" t="inlineStr">
        <is>
          <t>15278893879</t>
        </is>
      </c>
      <c r="E433" t="inlineStr">
        <is>
          <t>Adidas</t>
        </is>
      </c>
      <c r="F433" t="inlineStr">
        <is>
          <t>Adidas : Online</t>
        </is>
      </c>
      <c r="G433" t="n">
        <v>499.642</v>
      </c>
    </row>
    <row r="434">
      <c r="A434">
        <f>HYPERLINK("https://app.vivvix.com/360/KMI/IntelliDrive/ApplUI/Pages/CreativePages/CustomReportCreativeDetail.aspx?App=23&amp;ReportView=4&amp;Qid=1747207&amp;Row=2764&amp;Col=1","No Title Assigned - #15278898659")</f>
        <v/>
      </c>
      <c r="B434" t="inlineStr">
        <is>
          <t>15278898659</t>
        </is>
      </c>
      <c r="E434" t="inlineStr">
        <is>
          <t>Adidas</t>
        </is>
      </c>
      <c r="F434" t="inlineStr">
        <is>
          <t>Adidas : Online</t>
        </is>
      </c>
      <c r="G434" t="n">
        <v>518.9383</v>
      </c>
    </row>
    <row r="435">
      <c r="A435">
        <f>HYPERLINK("https://app.vivvix.com/360/KMI/IntelliDrive/ApplUI/Pages/CreativePages/CustomReportCreativeDetail.aspx?App=23&amp;ReportView=4&amp;Qid=1747207&amp;Row=2768&amp;Col=1","No Title Assigned - #15278904343")</f>
        <v/>
      </c>
      <c r="B435" t="inlineStr">
        <is>
          <t>15278904343</t>
        </is>
      </c>
      <c r="E435" t="inlineStr">
        <is>
          <t>Adidas</t>
        </is>
      </c>
      <c r="F435" t="inlineStr">
        <is>
          <t>Adidas : Online</t>
        </is>
      </c>
      <c r="G435" t="n">
        <v>29.4687</v>
      </c>
    </row>
    <row r="436">
      <c r="A436">
        <f>HYPERLINK("https://app.vivvix.com/360/KMI/IntelliDrive/ApplUI/Pages/CreativePages/CustomReportCreativeDetail.aspx?App=23&amp;ReportView=4&amp;Qid=1747207&amp;Row=2771&amp;Col=1","No Title Assigned - #15278908990")</f>
        <v/>
      </c>
      <c r="B436" t="inlineStr">
        <is>
          <t>15278908990</t>
        </is>
      </c>
      <c r="E436" t="inlineStr">
        <is>
          <t>Adidas</t>
        </is>
      </c>
      <c r="F436" t="inlineStr">
        <is>
          <t>Adidas : Online</t>
        </is>
      </c>
      <c r="G436" t="n">
        <v>1655.1114</v>
      </c>
    </row>
    <row r="437">
      <c r="A437">
        <f>HYPERLINK("https://app.vivvix.com/360/KMI/IntelliDrive/ApplUI/Pages/CreativePages/CustomReportCreativeDetail.aspx?App=23&amp;ReportView=4&amp;Qid=1747207&amp;Row=2772&amp;Col=1","No Title Assigned - #15278911724")</f>
        <v/>
      </c>
      <c r="B437" t="inlineStr">
        <is>
          <t>15278911724</t>
        </is>
      </c>
      <c r="E437" t="inlineStr">
        <is>
          <t>Adidas</t>
        </is>
      </c>
      <c r="F437" t="inlineStr">
        <is>
          <t>Adidas : Online</t>
        </is>
      </c>
      <c r="G437" t="n">
        <v>85.4931</v>
      </c>
    </row>
    <row r="438">
      <c r="A438">
        <f>HYPERLINK("https://app.vivvix.com/360/KMI/IntelliDrive/ApplUI/Pages/CreativePages/CustomReportCreativeDetail.aspx?App=23&amp;ReportView=4&amp;Qid=1747207&amp;Row=2779&amp;Col=1","No Title Assigned - #15278944944")</f>
        <v/>
      </c>
      <c r="B438" t="inlineStr">
        <is>
          <t>15278944944</t>
        </is>
      </c>
      <c r="E438" t="inlineStr">
        <is>
          <t>Adidas</t>
        </is>
      </c>
      <c r="F438" t="inlineStr">
        <is>
          <t>Adidas : Online</t>
        </is>
      </c>
      <c r="G438" t="n">
        <v>448.5442</v>
      </c>
    </row>
    <row r="439">
      <c r="A439">
        <f>HYPERLINK("https://app.vivvix.com/360/KMI/IntelliDrive/ApplUI/Pages/CreativePages/CustomReportCreativeDetail.aspx?App=23&amp;ReportView=4&amp;Qid=1747207&amp;Row=2781&amp;Col=1","No Title Assigned - #15278946510")</f>
        <v/>
      </c>
      <c r="B439" t="inlineStr">
        <is>
          <t>15278946510</t>
        </is>
      </c>
      <c r="E439" t="inlineStr">
        <is>
          <t>Adidas</t>
        </is>
      </c>
      <c r="F439" t="inlineStr">
        <is>
          <t>Adidas : Online</t>
        </is>
      </c>
      <c r="G439" t="n">
        <v>261.9331</v>
      </c>
    </row>
    <row r="440">
      <c r="A440">
        <f>HYPERLINK("https://app.vivvix.com/360/KMI/IntelliDrive/ApplUI/Pages/CreativePages/CustomReportCreativeDetail.aspx?App=23&amp;ReportView=4&amp;Qid=1747207&amp;Row=2786&amp;Col=1","No Title Assigned - #15278956796")</f>
        <v/>
      </c>
      <c r="B440" t="inlineStr">
        <is>
          <t>15278956796</t>
        </is>
      </c>
      <c r="E440" t="inlineStr">
        <is>
          <t>Adidas</t>
        </is>
      </c>
      <c r="F440" t="inlineStr">
        <is>
          <t>Adidas : Online</t>
        </is>
      </c>
      <c r="G440" t="n">
        <v>217.5878</v>
      </c>
    </row>
    <row r="441">
      <c r="A441">
        <f>HYPERLINK("https://app.vivvix.com/360/KMI/IntelliDrive/ApplUI/Pages/CreativePages/CustomReportCreativeDetail.aspx?App=23&amp;ReportView=4&amp;Qid=1747207&amp;Row=2790&amp;Col=1","No Title Assigned - #15278967698")</f>
        <v/>
      </c>
      <c r="B441" t="inlineStr">
        <is>
          <t>15278967698</t>
        </is>
      </c>
      <c r="E441" t="inlineStr">
        <is>
          <t>Adidas</t>
        </is>
      </c>
      <c r="F441" t="inlineStr">
        <is>
          <t>Adidas : Online</t>
        </is>
      </c>
      <c r="G441" t="n">
        <v>124.0862</v>
      </c>
    </row>
    <row r="442">
      <c r="A442">
        <f>HYPERLINK("https://app.vivvix.com/360/KMI/IntelliDrive/ApplUI/Pages/CreativePages/CustomReportCreativeDetail.aspx?App=23&amp;ReportView=4&amp;Qid=1747207&amp;Row=2791&amp;Col=1","No Title Assigned - #15278967933")</f>
        <v/>
      </c>
      <c r="B442" t="inlineStr">
        <is>
          <t>15278967933</t>
        </is>
      </c>
      <c r="E442" t="inlineStr">
        <is>
          <t>Adidas</t>
        </is>
      </c>
      <c r="F442" t="inlineStr">
        <is>
          <t>Adidas : Online</t>
        </is>
      </c>
      <c r="G442" t="n">
        <v>64.4226</v>
      </c>
    </row>
    <row r="443">
      <c r="A443">
        <f>HYPERLINK("https://app.vivvix.com/360/KMI/IntelliDrive/ApplUI/Pages/CreativePages/CustomReportCreativeDetail.aspx?App=23&amp;ReportView=4&amp;Qid=1747207&amp;Row=2792&amp;Col=1","No Title Assigned - #15278967938")</f>
        <v/>
      </c>
      <c r="B443" t="inlineStr">
        <is>
          <t>15278967938</t>
        </is>
      </c>
      <c r="E443" t="inlineStr">
        <is>
          <t>Adidas</t>
        </is>
      </c>
      <c r="F443" t="inlineStr">
        <is>
          <t>Adidas : Online</t>
        </is>
      </c>
      <c r="G443" t="n">
        <v>128.8452</v>
      </c>
    </row>
    <row r="444">
      <c r="A444">
        <f>HYPERLINK("https://app.vivvix.com/360/KMI/IntelliDrive/ApplUI/Pages/CreativePages/CustomReportCreativeDetail.aspx?App=23&amp;ReportView=4&amp;Qid=1747207&amp;Row=2793&amp;Col=1","No Title Assigned - #15278973693")</f>
        <v/>
      </c>
      <c r="B444" t="inlineStr">
        <is>
          <t>15278973693</t>
        </is>
      </c>
      <c r="E444" t="inlineStr">
        <is>
          <t>Adidas</t>
        </is>
      </c>
      <c r="F444" t="inlineStr">
        <is>
          <t>Adidas : Online</t>
        </is>
      </c>
      <c r="G444" t="n">
        <v>248.1724</v>
      </c>
    </row>
    <row r="445">
      <c r="A445">
        <f>HYPERLINK("https://app.vivvix.com/360/KMI/IntelliDrive/ApplUI/Pages/CreativePages/CustomReportCreativeDetail.aspx?App=23&amp;ReportView=4&amp;Qid=1747207&amp;Row=2797&amp;Col=1","No Title Assigned - #15279000913")</f>
        <v/>
      </c>
      <c r="B445" t="inlineStr">
        <is>
          <t>15279000913</t>
        </is>
      </c>
      <c r="E445" t="inlineStr">
        <is>
          <t>Adidas</t>
        </is>
      </c>
      <c r="F445" t="inlineStr">
        <is>
          <t>Adidas : Online</t>
        </is>
      </c>
      <c r="G445" t="n">
        <v>29.4687</v>
      </c>
    </row>
    <row r="446">
      <c r="A446">
        <f>HYPERLINK("https://app.vivvix.com/360/KMI/IntelliDrive/ApplUI/Pages/CreativePages/CustomReportCreativeDetail.aspx?App=23&amp;ReportView=4&amp;Qid=1747207&amp;Row=2798&amp;Col=1","No Title Assigned - #15279003659")</f>
        <v/>
      </c>
      <c r="B446" t="inlineStr">
        <is>
          <t>15279003659</t>
        </is>
      </c>
      <c r="E446" t="inlineStr">
        <is>
          <t>Adidas</t>
        </is>
      </c>
      <c r="F446" t="inlineStr">
        <is>
          <t>Adidas : Online</t>
        </is>
      </c>
      <c r="G446" t="n">
        <v>29.4687</v>
      </c>
    </row>
    <row r="447">
      <c r="A447">
        <f>HYPERLINK("https://app.vivvix.com/360/KMI/IntelliDrive/ApplUI/Pages/CreativePages/CustomReportCreativeDetail.aspx?App=23&amp;ReportView=4&amp;Qid=1747207&amp;Row=2799&amp;Col=1","No Title Assigned - #15279003866")</f>
        <v/>
      </c>
      <c r="B447" t="inlineStr">
        <is>
          <t>15279003866</t>
        </is>
      </c>
      <c r="E447" t="inlineStr">
        <is>
          <t>Adidas</t>
        </is>
      </c>
      <c r="F447" t="inlineStr">
        <is>
          <t>Adidas : Online</t>
        </is>
      </c>
      <c r="G447" t="n">
        <v>58.9374</v>
      </c>
    </row>
    <row r="448">
      <c r="A448">
        <f>HYPERLINK("https://app.vivvix.com/360/KMI/IntelliDrive/ApplUI/Pages/CreativePages/CustomReportCreativeDetail.aspx?App=23&amp;ReportView=4&amp;Qid=1747207&amp;Row=2816&amp;Col=1","No Title Assigned - #15279061619")</f>
        <v/>
      </c>
      <c r="B448" t="inlineStr">
        <is>
          <t>15279061619</t>
        </is>
      </c>
      <c r="E448" t="inlineStr">
        <is>
          <t>Adidas</t>
        </is>
      </c>
      <c r="F448" t="inlineStr">
        <is>
          <t>Adidas : Online</t>
        </is>
      </c>
      <c r="G448" t="n">
        <v>393.703</v>
      </c>
    </row>
    <row r="449">
      <c r="A449">
        <f>HYPERLINK("https://app.vivvix.com/360/KMI/IntelliDrive/ApplUI/Pages/CreativePages/CustomReportCreativeDetail.aspx?App=23&amp;ReportView=4&amp;Qid=1747207&amp;Row=2817&amp;Col=1","No Title Assigned - #15279061766")</f>
        <v/>
      </c>
      <c r="B449" t="inlineStr">
        <is>
          <t>15279061766</t>
        </is>
      </c>
      <c r="E449" t="inlineStr">
        <is>
          <t>Adidas</t>
        </is>
      </c>
      <c r="F449" t="inlineStr">
        <is>
          <t>Adidas : Online</t>
        </is>
      </c>
      <c r="G449" t="n">
        <v>1770.955</v>
      </c>
    </row>
    <row r="450">
      <c r="A450">
        <f>HYPERLINK("https://app.vivvix.com/360/KMI/IntelliDrive/ApplUI/Pages/CreativePages/CustomReportCreativeDetail.aspx?App=23&amp;ReportView=4&amp;Qid=1747207&amp;Row=2827&amp;Col=1","No Title Assigned - #15279090178")</f>
        <v/>
      </c>
      <c r="B450" t="inlineStr">
        <is>
          <t>15279090178</t>
        </is>
      </c>
      <c r="E450" t="inlineStr">
        <is>
          <t>Adidas</t>
        </is>
      </c>
      <c r="F450" t="inlineStr">
        <is>
          <t>Adidas : Online</t>
        </is>
      </c>
      <c r="G450" t="n">
        <v>1266.4354</v>
      </c>
    </row>
    <row r="451">
      <c r="A451">
        <f>HYPERLINK("https://app.vivvix.com/360/KMI/IntelliDrive/ApplUI/Pages/CreativePages/CustomReportCreativeDetail.aspx?App=23&amp;ReportView=4&amp;Qid=1747207&amp;Row=2828&amp;Col=1","No Title Assigned - #15279090280")</f>
        <v/>
      </c>
      <c r="B451" t="inlineStr">
        <is>
          <t>15279090280</t>
        </is>
      </c>
      <c r="E451" t="inlineStr">
        <is>
          <t>Adidas</t>
        </is>
      </c>
      <c r="F451" t="inlineStr">
        <is>
          <t>Adidas : Online</t>
        </is>
      </c>
      <c r="G451" t="n">
        <v>432.7037</v>
      </c>
    </row>
    <row r="452">
      <c r="A452">
        <f>HYPERLINK("https://app.vivvix.com/360/KMI/IntelliDrive/ApplUI/Pages/CreativePages/CustomReportCreativeDetail.aspx?App=23&amp;ReportView=4&amp;Qid=1747207&amp;Row=2829&amp;Col=1","No Title Assigned - #15279090322")</f>
        <v/>
      </c>
      <c r="B452" t="inlineStr">
        <is>
          <t>15279090322</t>
        </is>
      </c>
      <c r="E452" t="inlineStr">
        <is>
          <t>Adidas</t>
        </is>
      </c>
      <c r="F452" t="inlineStr">
        <is>
          <t>Adidas : Online</t>
        </is>
      </c>
      <c r="G452" t="n">
        <v>29.4687</v>
      </c>
    </row>
    <row r="453">
      <c r="A453">
        <f>HYPERLINK("https://app.vivvix.com/360/KMI/IntelliDrive/ApplUI/Pages/CreativePages/CustomReportCreativeDetail.aspx?App=23&amp;ReportView=4&amp;Qid=1747207&amp;Row=2832&amp;Col=1","No Title Assigned - #15279110817")</f>
        <v/>
      </c>
      <c r="B453" t="inlineStr">
        <is>
          <t>15279110817</t>
        </is>
      </c>
      <c r="E453" t="inlineStr">
        <is>
          <t>Adidas</t>
        </is>
      </c>
      <c r="F453" t="inlineStr">
        <is>
          <t>Adidas : Online</t>
        </is>
      </c>
      <c r="G453" t="n">
        <v>13.7829</v>
      </c>
    </row>
    <row r="454">
      <c r="A454">
        <f>HYPERLINK("https://app.vivvix.com/360/KMI/IntelliDrive/ApplUI/Pages/CreativePages/CustomReportCreativeDetail.aspx?App=23&amp;ReportView=4&amp;Qid=1747207&amp;Row=2833&amp;Col=1","No Title Assigned - #15279110988")</f>
        <v/>
      </c>
      <c r="B454" t="inlineStr">
        <is>
          <t>15279110988</t>
        </is>
      </c>
      <c r="E454" t="inlineStr">
        <is>
          <t>Adidas</t>
        </is>
      </c>
      <c r="F454" t="inlineStr">
        <is>
          <t>Adidas : Online</t>
        </is>
      </c>
      <c r="G454" t="n">
        <v>27.5658</v>
      </c>
    </row>
    <row r="455">
      <c r="A455">
        <f>HYPERLINK("https://app.vivvix.com/360/KMI/IntelliDrive/ApplUI/Pages/CreativePages/CustomReportCreativeDetail.aspx?App=23&amp;ReportView=4&amp;Qid=1747207&amp;Row=2836&amp;Col=1","No Title Assigned - #15279114294")</f>
        <v/>
      </c>
      <c r="B455" t="inlineStr">
        <is>
          <t>15279114294</t>
        </is>
      </c>
      <c r="E455" t="inlineStr">
        <is>
          <t>Adidas</t>
        </is>
      </c>
      <c r="F455" t="inlineStr">
        <is>
          <t>Adidas : Online</t>
        </is>
      </c>
      <c r="G455" t="n">
        <v>13.7829</v>
      </c>
    </row>
    <row r="456">
      <c r="A456">
        <f>HYPERLINK("https://app.vivvix.com/360/KMI/IntelliDrive/ApplUI/Pages/CreativePages/CustomReportCreativeDetail.aspx?App=23&amp;ReportView=4&amp;Qid=1747207&amp;Row=2838&amp;Col=1","No Title Assigned - #15279114785")</f>
        <v/>
      </c>
      <c r="B456" t="inlineStr">
        <is>
          <t>15279114785</t>
        </is>
      </c>
      <c r="E456" t="inlineStr">
        <is>
          <t>Adidas</t>
        </is>
      </c>
      <c r="F456" t="inlineStr">
        <is>
          <t>Adidas : Online</t>
        </is>
      </c>
      <c r="G456" t="n">
        <v>13.7829</v>
      </c>
    </row>
    <row r="457">
      <c r="A457">
        <f>HYPERLINK("https://app.vivvix.com/360/KMI/IntelliDrive/ApplUI/Pages/CreativePages/CustomReportCreativeDetail.aspx?App=23&amp;ReportView=4&amp;Qid=1747207&amp;Row=2842&amp;Col=1","No Title Assigned - #15279138699")</f>
        <v/>
      </c>
      <c r="B457" t="inlineStr">
        <is>
          <t>15279138699</t>
        </is>
      </c>
      <c r="E457" t="inlineStr">
        <is>
          <t>Adidas</t>
        </is>
      </c>
      <c r="F457" t="inlineStr">
        <is>
          <t>Adidas : Online</t>
        </is>
      </c>
      <c r="G457" t="n">
        <v>41.9147</v>
      </c>
    </row>
    <row r="458">
      <c r="A458">
        <f>HYPERLINK("https://app.vivvix.com/360/KMI/IntelliDrive/ApplUI/Pages/CreativePages/CustomReportCreativeDetail.aspx?App=23&amp;ReportView=4&amp;Qid=1747207&amp;Row=2844&amp;Col=1","No Title Assigned - #15279138984")</f>
        <v/>
      </c>
      <c r="B458" t="inlineStr">
        <is>
          <t>15279138984</t>
        </is>
      </c>
      <c r="E458" t="inlineStr">
        <is>
          <t>Adidas</t>
        </is>
      </c>
      <c r="F458" t="inlineStr">
        <is>
          <t>Adidas : Online</t>
        </is>
      </c>
      <c r="G458" t="n">
        <v>41.9147</v>
      </c>
    </row>
    <row r="459">
      <c r="A459">
        <f>HYPERLINK("https://app.vivvix.com/360/KMI/IntelliDrive/ApplUI/Pages/CreativePages/CustomReportCreativeDetail.aspx?App=23&amp;ReportView=4&amp;Qid=1747207&amp;Row=2847&amp;Col=1","No Title Assigned - #15279168595")</f>
        <v/>
      </c>
      <c r="B459" t="inlineStr">
        <is>
          <t>15279168595</t>
        </is>
      </c>
      <c r="E459" t="inlineStr">
        <is>
          <t>Adidas</t>
        </is>
      </c>
      <c r="F459" t="inlineStr">
        <is>
          <t>Adidas : Online</t>
        </is>
      </c>
      <c r="G459" t="n">
        <v>514.1205</v>
      </c>
    </row>
    <row r="460">
      <c r="A460">
        <f>HYPERLINK("https://app.vivvix.com/360/KMI/IntelliDrive/ApplUI/Pages/CreativePages/CustomReportCreativeDetail.aspx?App=23&amp;ReportView=4&amp;Qid=1747207&amp;Row=2852&amp;Col=1","No Title Assigned - #15279181235")</f>
        <v/>
      </c>
      <c r="B460" t="inlineStr">
        <is>
          <t>15279181235</t>
        </is>
      </c>
      <c r="E460" t="inlineStr">
        <is>
          <t>Adidas</t>
        </is>
      </c>
      <c r="F460" t="inlineStr">
        <is>
          <t>Adidas : Online</t>
        </is>
      </c>
      <c r="G460" t="n">
        <v>126.5815</v>
      </c>
    </row>
    <row r="461">
      <c r="A461">
        <f>HYPERLINK("https://app.vivvix.com/360/KMI/IntelliDrive/ApplUI/Pages/CreativePages/CustomReportCreativeDetail.aspx?App=23&amp;ReportView=4&amp;Qid=1747207&amp;Row=2858&amp;Col=1","No Title Assigned - #15279193370")</f>
        <v/>
      </c>
      <c r="B461" t="inlineStr">
        <is>
          <t>15279193370</t>
        </is>
      </c>
      <c r="E461" t="inlineStr">
        <is>
          <t>Adidas</t>
        </is>
      </c>
      <c r="F461" t="inlineStr">
        <is>
          <t>Adidas : Online</t>
        </is>
      </c>
      <c r="G461" t="n">
        <v>2614.4546</v>
      </c>
    </row>
    <row r="462">
      <c r="A462">
        <f>HYPERLINK("https://app.vivvix.com/360/KMI/IntelliDrive/ApplUI/Pages/CreativePages/CustomReportCreativeDetail.aspx?App=23&amp;ReportView=4&amp;Qid=1747207&amp;Row=2859&amp;Col=1","No Title Assigned - #15279193371")</f>
        <v/>
      </c>
      <c r="B462" t="inlineStr">
        <is>
          <t>15279193371</t>
        </is>
      </c>
      <c r="E462" t="inlineStr">
        <is>
          <t>Adidas</t>
        </is>
      </c>
      <c r="F462" t="inlineStr">
        <is>
          <t>Adidas : Online</t>
        </is>
      </c>
      <c r="G462" t="n">
        <v>1307.2273</v>
      </c>
    </row>
    <row r="463">
      <c r="A463">
        <f>HYPERLINK("https://app.vivvix.com/360/KMI/IntelliDrive/ApplUI/Pages/CreativePages/CustomReportCreativeDetail.aspx?App=23&amp;ReportView=4&amp;Qid=1747207&amp;Row=2861&amp;Col=1","No Title Assigned - #15279196672")</f>
        <v/>
      </c>
      <c r="B463" t="inlineStr">
        <is>
          <t>15279196672</t>
        </is>
      </c>
      <c r="E463" t="inlineStr">
        <is>
          <t>Adidas</t>
        </is>
      </c>
      <c r="F463" t="inlineStr">
        <is>
          <t>Adidas : Online</t>
        </is>
      </c>
      <c r="G463" t="n">
        <v>294.1589</v>
      </c>
    </row>
    <row r="464">
      <c r="A464">
        <f>HYPERLINK("https://app.vivvix.com/360/KMI/IntelliDrive/ApplUI/Pages/CreativePages/CustomReportCreativeDetail.aspx?App=23&amp;ReportView=4&amp;Qid=1747207&amp;Row=2868&amp;Col=1","No Title Assigned - #15279235255")</f>
        <v/>
      </c>
      <c r="B464" t="inlineStr">
        <is>
          <t>15279235255</t>
        </is>
      </c>
      <c r="E464" t="inlineStr">
        <is>
          <t>Adidas</t>
        </is>
      </c>
      <c r="F464" t="inlineStr">
        <is>
          <t>Adidas : Online</t>
        </is>
      </c>
      <c r="G464" t="n">
        <v>29.4687</v>
      </c>
    </row>
    <row r="465">
      <c r="A465">
        <f>HYPERLINK("https://app.vivvix.com/360/KMI/IntelliDrive/ApplUI/Pages/CreativePages/CustomReportCreativeDetail.aspx?App=23&amp;ReportView=4&amp;Qid=1747207&amp;Row=2869&amp;Col=1","No Title Assigned - #15279235586")</f>
        <v/>
      </c>
      <c r="B465" t="inlineStr">
        <is>
          <t>15279235586</t>
        </is>
      </c>
      <c r="E465" t="inlineStr">
        <is>
          <t>Adidas</t>
        </is>
      </c>
      <c r="F465" t="inlineStr">
        <is>
          <t>Adidas : Online</t>
        </is>
      </c>
      <c r="G465" t="n">
        <v>672.2190000000001</v>
      </c>
    </row>
    <row r="466">
      <c r="A466">
        <f>HYPERLINK("https://app.vivvix.com/360/KMI/IntelliDrive/ApplUI/Pages/CreativePages/CustomReportCreativeDetail.aspx?App=23&amp;ReportView=4&amp;Qid=1747207&amp;Row=2873&amp;Col=1","No Title Assigned - #15279246078")</f>
        <v/>
      </c>
      <c r="B466" t="inlineStr">
        <is>
          <t>15279246078</t>
        </is>
      </c>
      <c r="E466" t="inlineStr">
        <is>
          <t>Adidas</t>
        </is>
      </c>
      <c r="F466" t="inlineStr">
        <is>
          <t>Adidas : Online</t>
        </is>
      </c>
      <c r="G466" t="n">
        <v>29.4687</v>
      </c>
    </row>
    <row r="467">
      <c r="A467">
        <f>HYPERLINK("https://app.vivvix.com/360/KMI/IntelliDrive/ApplUI/Pages/CreativePages/CustomReportCreativeDetail.aspx?App=23&amp;ReportView=4&amp;Qid=1747207&amp;Row=2876&amp;Col=1","No Title Assigned - #15279249224")</f>
        <v/>
      </c>
      <c r="B467" t="inlineStr">
        <is>
          <t>15279249224</t>
        </is>
      </c>
      <c r="E467" t="inlineStr">
        <is>
          <t>Adidas</t>
        </is>
      </c>
      <c r="F467" t="inlineStr">
        <is>
          <t>Adidas : Online</t>
        </is>
      </c>
      <c r="G467" t="n">
        <v>141.5493</v>
      </c>
    </row>
    <row r="468">
      <c r="A468">
        <f>HYPERLINK("https://app.vivvix.com/360/KMI/IntelliDrive/ApplUI/Pages/CreativePages/CustomReportCreativeDetail.aspx?App=23&amp;ReportView=4&amp;Qid=1747207&amp;Row=2877&amp;Col=1","No Title Assigned - #15279249349")</f>
        <v/>
      </c>
      <c r="B468" t="inlineStr">
        <is>
          <t>15279249349</t>
        </is>
      </c>
      <c r="E468" t="inlineStr">
        <is>
          <t>Adidas</t>
        </is>
      </c>
      <c r="F468" t="inlineStr">
        <is>
          <t>Adidas : Online</t>
        </is>
      </c>
      <c r="G468" t="n">
        <v>141.5493</v>
      </c>
    </row>
    <row r="469">
      <c r="A469">
        <f>HYPERLINK("https://app.vivvix.com/360/KMI/IntelliDrive/ApplUI/Pages/CreativePages/CustomReportCreativeDetail.aspx?App=23&amp;ReportView=4&amp;Qid=1747207&amp;Row=2878&amp;Col=1","No Title Assigned - #15279249351")</f>
        <v/>
      </c>
      <c r="B469" t="inlineStr">
        <is>
          <t>15279249351</t>
        </is>
      </c>
      <c r="E469" t="inlineStr">
        <is>
          <t>Adidas</t>
        </is>
      </c>
      <c r="F469" t="inlineStr">
        <is>
          <t>Adidas : Online</t>
        </is>
      </c>
      <c r="G469" t="n">
        <v>141.5493</v>
      </c>
    </row>
    <row r="470">
      <c r="A470">
        <f>HYPERLINK("https://app.vivvix.com/360/KMI/IntelliDrive/ApplUI/Pages/CreativePages/CustomReportCreativeDetail.aspx?App=23&amp;ReportView=4&amp;Qid=1747207&amp;Row=2879&amp;Col=1","No Title Assigned - #15279251126")</f>
        <v/>
      </c>
      <c r="B470" t="inlineStr">
        <is>
          <t>15279251126</t>
        </is>
      </c>
      <c r="E470" t="inlineStr">
        <is>
          <t>Adidas</t>
        </is>
      </c>
      <c r="F470" t="inlineStr">
        <is>
          <t>Adidas : Online</t>
        </is>
      </c>
      <c r="G470" t="n">
        <v>1307.2273</v>
      </c>
    </row>
    <row r="471">
      <c r="A471">
        <f>HYPERLINK("https://app.vivvix.com/360/KMI/IntelliDrive/ApplUI/Pages/CreativePages/CustomReportCreativeDetail.aspx?App=23&amp;ReportView=4&amp;Qid=1747207&amp;Row=2882&amp;Col=1","No Title Assigned - #15279252082")</f>
        <v/>
      </c>
      <c r="B471" t="inlineStr">
        <is>
          <t>15279252082</t>
        </is>
      </c>
      <c r="E471" t="inlineStr">
        <is>
          <t>Adidas</t>
        </is>
      </c>
      <c r="F471" t="inlineStr">
        <is>
          <t>Adidas : Online</t>
        </is>
      </c>
      <c r="G471" t="n">
        <v>141.5493</v>
      </c>
    </row>
    <row r="472">
      <c r="A472">
        <f>HYPERLINK("https://app.vivvix.com/360/KMI/IntelliDrive/ApplUI/Pages/CreativePages/CustomReportCreativeDetail.aspx?App=23&amp;ReportView=4&amp;Qid=1747207&amp;Row=2884&amp;Col=1","No Title Assigned - #15279254790")</f>
        <v/>
      </c>
      <c r="B472" t="inlineStr">
        <is>
          <t>15279254790</t>
        </is>
      </c>
      <c r="E472" t="inlineStr">
        <is>
          <t>Adidas</t>
        </is>
      </c>
      <c r="F472" t="inlineStr">
        <is>
          <t>Adidas : Online</t>
        </is>
      </c>
      <c r="G472" t="n">
        <v>1635.6166</v>
      </c>
    </row>
    <row r="473">
      <c r="A473">
        <f>HYPERLINK("https://app.vivvix.com/360/KMI/IntelliDrive/ApplUI/Pages/CreativePages/CustomReportCreativeDetail.aspx?App=23&amp;ReportView=4&amp;Qid=1747207&amp;Row=2887&amp;Col=1","No Title Assigned - #15279260033")</f>
        <v/>
      </c>
      <c r="B473" t="inlineStr">
        <is>
          <t>15279260033</t>
        </is>
      </c>
      <c r="E473" t="inlineStr">
        <is>
          <t>Adidas</t>
        </is>
      </c>
      <c r="F473" t="inlineStr">
        <is>
          <t>Adidas : Online</t>
        </is>
      </c>
      <c r="G473" t="n">
        <v>1247.4222</v>
      </c>
    </row>
    <row r="474">
      <c r="A474">
        <f>HYPERLINK("https://app.vivvix.com/360/KMI/IntelliDrive/ApplUI/Pages/CreativePages/CustomReportCreativeDetail.aspx?App=23&amp;ReportView=4&amp;Qid=1747207&amp;Row=2890&amp;Col=1","No Title Assigned - #15279289017")</f>
        <v/>
      </c>
      <c r="B474" t="inlineStr">
        <is>
          <t>15279289017</t>
        </is>
      </c>
      <c r="E474" t="inlineStr">
        <is>
          <t>Adidas</t>
        </is>
      </c>
      <c r="F474" t="inlineStr">
        <is>
          <t>Adidas : Online</t>
        </is>
      </c>
      <c r="G474" t="n">
        <v>792.5703</v>
      </c>
    </row>
    <row r="475">
      <c r="A475">
        <f>HYPERLINK("https://app.vivvix.com/360/KMI/IntelliDrive/ApplUI/Pages/CreativePages/CustomReportCreativeDetail.aspx?App=23&amp;ReportView=4&amp;Qid=1747207&amp;Row=2892&amp;Col=1","No Title Assigned - #15279293488")</f>
        <v/>
      </c>
      <c r="B475" t="inlineStr">
        <is>
          <t>15279293488</t>
        </is>
      </c>
      <c r="E475" t="inlineStr">
        <is>
          <t>Adidas</t>
        </is>
      </c>
      <c r="F475" t="inlineStr">
        <is>
          <t>Adidas : Online</t>
        </is>
      </c>
      <c r="G475" t="n">
        <v>196.8515</v>
      </c>
    </row>
    <row r="476">
      <c r="A476">
        <f>HYPERLINK("https://app.vivvix.com/360/KMI/IntelliDrive/ApplUI/Pages/CreativePages/CustomReportCreativeDetail.aspx?App=23&amp;ReportView=4&amp;Qid=1747207&amp;Row=2898&amp;Col=1","No Title Assigned - #15279305425")</f>
        <v/>
      </c>
      <c r="B476" t="inlineStr">
        <is>
          <t>15279305425</t>
        </is>
      </c>
      <c r="E476" t="inlineStr">
        <is>
          <t>Adidas</t>
        </is>
      </c>
      <c r="F476" t="inlineStr">
        <is>
          <t>Adidas : Online</t>
        </is>
      </c>
      <c r="G476" t="n">
        <v>798.1629</v>
      </c>
    </row>
    <row r="477">
      <c r="A477">
        <f>HYPERLINK("https://app.vivvix.com/360/KMI/IntelliDrive/ApplUI/Pages/CreativePages/CustomReportCreativeDetail.aspx?App=23&amp;ReportView=4&amp;Qid=1747207&amp;Row=2899&amp;Col=1","No Title Assigned - #15279305686")</f>
        <v/>
      </c>
      <c r="B477" t="inlineStr">
        <is>
          <t>15279305686</t>
        </is>
      </c>
      <c r="E477" t="inlineStr">
        <is>
          <t>Adidas</t>
        </is>
      </c>
      <c r="F477" t="inlineStr">
        <is>
          <t>Adidas : Online</t>
        </is>
      </c>
      <c r="G477" t="n">
        <v>603.2836</v>
      </c>
    </row>
    <row r="478">
      <c r="A478">
        <f>HYPERLINK("https://app.vivvix.com/360/KMI/IntelliDrive/ApplUI/Pages/CreativePages/CustomReportCreativeDetail.aspx?App=23&amp;ReportView=4&amp;Qid=1747207&amp;Row=2902&amp;Col=1","No Title Assigned - #15279313348")</f>
        <v/>
      </c>
      <c r="B478" t="inlineStr">
        <is>
          <t>15279313348</t>
        </is>
      </c>
      <c r="E478" t="inlineStr">
        <is>
          <t>Adidas</t>
        </is>
      </c>
      <c r="F478" t="inlineStr">
        <is>
          <t>Adidas : Online</t>
        </is>
      </c>
      <c r="G478" t="n">
        <v>3465.4956</v>
      </c>
    </row>
    <row r="479">
      <c r="A479">
        <f>HYPERLINK("https://app.vivvix.com/360/KMI/IntelliDrive/ApplUI/Pages/CreativePages/CustomReportCreativeDetail.aspx?App=23&amp;ReportView=4&amp;Qid=1747207&amp;Row=2903&amp;Col=1","No Title Assigned - #15279314061")</f>
        <v/>
      </c>
      <c r="B479" t="inlineStr">
        <is>
          <t>15279314061</t>
        </is>
      </c>
      <c r="E479" t="inlineStr">
        <is>
          <t>Adidas</t>
        </is>
      </c>
      <c r="F479" t="inlineStr">
        <is>
          <t>Adidas : Online</t>
        </is>
      </c>
      <c r="G479" t="n">
        <v>3465.4956</v>
      </c>
    </row>
    <row r="480">
      <c r="A480">
        <f>HYPERLINK("https://app.vivvix.com/360/KMI/IntelliDrive/ApplUI/Pages/CreativePages/CustomReportCreativeDetail.aspx?App=23&amp;ReportView=4&amp;Qid=1747207&amp;Row=2912&amp;Col=1","No Title Assigned - #15279356900")</f>
        <v/>
      </c>
      <c r="B480" t="inlineStr">
        <is>
          <t>15279356900</t>
        </is>
      </c>
      <c r="E480" t="inlineStr">
        <is>
          <t>Adidas</t>
        </is>
      </c>
      <c r="F480" t="inlineStr">
        <is>
          <t>Adidas : Online</t>
        </is>
      </c>
      <c r="G480" t="n">
        <v>29.4687</v>
      </c>
    </row>
    <row r="481">
      <c r="A481">
        <f>HYPERLINK("https://app.vivvix.com/360/KMI/IntelliDrive/ApplUI/Pages/CreativePages/CustomReportCreativeDetail.aspx?App=23&amp;ReportView=4&amp;Qid=1747207&amp;Row=2917&amp;Col=1","No Title Assigned - #15279365654")</f>
        <v/>
      </c>
      <c r="B481" t="inlineStr">
        <is>
          <t>15279365654</t>
        </is>
      </c>
      <c r="E481" t="inlineStr">
        <is>
          <t>Adidas</t>
        </is>
      </c>
      <c r="F481" t="inlineStr">
        <is>
          <t>Adidas : Online</t>
        </is>
      </c>
      <c r="G481" t="n">
        <v>29.4687</v>
      </c>
    </row>
    <row r="482">
      <c r="A482">
        <f>HYPERLINK("https://app.vivvix.com/360/KMI/IntelliDrive/ApplUI/Pages/CreativePages/CustomReportCreativeDetail.aspx?App=23&amp;ReportView=4&amp;Qid=1747207&amp;Row=2919&amp;Col=1","No Title Assigned - #15279366507")</f>
        <v/>
      </c>
      <c r="B482" t="inlineStr">
        <is>
          <t>15279366507</t>
        </is>
      </c>
      <c r="E482" t="inlineStr">
        <is>
          <t>Adidas</t>
        </is>
      </c>
      <c r="F482" t="inlineStr">
        <is>
          <t>Adidas : Online</t>
        </is>
      </c>
      <c r="G482" t="n">
        <v>13.7829</v>
      </c>
    </row>
    <row r="483">
      <c r="A483">
        <f>HYPERLINK("https://app.vivvix.com/360/KMI/IntelliDrive/ApplUI/Pages/CreativePages/CustomReportCreativeDetail.aspx?App=23&amp;ReportView=4&amp;Qid=1747207&amp;Row=2921&amp;Col=1","No Title Assigned - #15279372315")</f>
        <v/>
      </c>
      <c r="B483" t="inlineStr">
        <is>
          <t>15279372315</t>
        </is>
      </c>
      <c r="E483" t="inlineStr">
        <is>
          <t>Adidas</t>
        </is>
      </c>
      <c r="F483" t="inlineStr">
        <is>
          <t>Adidas : Online</t>
        </is>
      </c>
      <c r="G483" t="n">
        <v>85.4931</v>
      </c>
    </row>
    <row r="484">
      <c r="A484">
        <f>HYPERLINK("https://app.vivvix.com/360/KMI/IntelliDrive/ApplUI/Pages/CreativePages/CustomReportCreativeDetail.aspx?App=23&amp;ReportView=4&amp;Qid=1747207&amp;Row=2926&amp;Col=1","No Title Assigned - #15279379522")</f>
        <v/>
      </c>
      <c r="B484" t="inlineStr">
        <is>
          <t>15279379522</t>
        </is>
      </c>
      <c r="E484" t="inlineStr">
        <is>
          <t>Adidas</t>
        </is>
      </c>
      <c r="F484" t="inlineStr">
        <is>
          <t>Adidas : Online</t>
        </is>
      </c>
      <c r="G484" t="n">
        <v>64.4226</v>
      </c>
    </row>
    <row r="485">
      <c r="A485">
        <f>HYPERLINK("https://app.vivvix.com/360/KMI/IntelliDrive/ApplUI/Pages/CreativePages/CustomReportCreativeDetail.aspx?App=23&amp;ReportView=4&amp;Qid=1747207&amp;Row=2929&amp;Col=1","No Title Assigned - #15279409656")</f>
        <v/>
      </c>
      <c r="B485" t="inlineStr">
        <is>
          <t>15279409656</t>
        </is>
      </c>
      <c r="E485" t="inlineStr">
        <is>
          <t>Adidas</t>
        </is>
      </c>
      <c r="F485" t="inlineStr">
        <is>
          <t>Adidas : Online</t>
        </is>
      </c>
      <c r="G485" t="n">
        <v>603.2836</v>
      </c>
    </row>
    <row r="486">
      <c r="A486">
        <f>HYPERLINK("https://app.vivvix.com/360/KMI/IntelliDrive/ApplUI/Pages/CreativePages/CustomReportCreativeDetail.aspx?App=23&amp;ReportView=4&amp;Qid=1747207&amp;Row=2930&amp;Col=1","No Title Assigned - #15279409909")</f>
        <v/>
      </c>
      <c r="B486" t="inlineStr">
        <is>
          <t>15279409909</t>
        </is>
      </c>
      <c r="E486" t="inlineStr">
        <is>
          <t>Adidas</t>
        </is>
      </c>
      <c r="F486" t="inlineStr">
        <is>
          <t>Adidas : Online</t>
        </is>
      </c>
      <c r="G486" t="n">
        <v>105.098</v>
      </c>
    </row>
    <row r="487">
      <c r="A487">
        <f>HYPERLINK("https://app.vivvix.com/360/KMI/IntelliDrive/ApplUI/Pages/CreativePages/CustomReportCreativeDetail.aspx?App=23&amp;ReportView=4&amp;Qid=1747207&amp;Row=2933&amp;Col=1","No Title Assigned - #15279422137")</f>
        <v/>
      </c>
      <c r="B487" t="inlineStr">
        <is>
          <t>15279422137</t>
        </is>
      </c>
      <c r="E487" t="inlineStr">
        <is>
          <t>Adidas</t>
        </is>
      </c>
      <c r="F487" t="inlineStr">
        <is>
          <t>Adidas : Online</t>
        </is>
      </c>
      <c r="G487" t="n">
        <v>217.5878</v>
      </c>
    </row>
    <row r="488">
      <c r="A488">
        <f>HYPERLINK("https://app.vivvix.com/360/KMI/IntelliDrive/ApplUI/Pages/CreativePages/CustomReportCreativeDetail.aspx?App=23&amp;ReportView=4&amp;Qid=1747207&amp;Row=2934&amp;Col=1","No Title Assigned - #15279422172")</f>
        <v/>
      </c>
      <c r="B488" t="inlineStr">
        <is>
          <t>15279422172</t>
        </is>
      </c>
      <c r="E488" t="inlineStr">
        <is>
          <t>Adidas</t>
        </is>
      </c>
      <c r="F488" t="inlineStr">
        <is>
          <t>Adidas : Online</t>
        </is>
      </c>
      <c r="G488" t="n">
        <v>217.5878</v>
      </c>
    </row>
    <row r="489">
      <c r="A489">
        <f>HYPERLINK("https://app.vivvix.com/360/KMI/IntelliDrive/ApplUI/Pages/CreativePages/CustomReportCreativeDetail.aspx?App=23&amp;ReportView=4&amp;Qid=1747207&amp;Row=2935&amp;Col=1","No Title Assigned - #15279422207")</f>
        <v/>
      </c>
      <c r="B489" t="inlineStr">
        <is>
          <t>15279422207</t>
        </is>
      </c>
      <c r="E489" t="inlineStr">
        <is>
          <t>Adidas</t>
        </is>
      </c>
      <c r="F489" t="inlineStr">
        <is>
          <t>Adidas : Online</t>
        </is>
      </c>
      <c r="G489" t="n">
        <v>217.5878</v>
      </c>
    </row>
    <row r="490">
      <c r="A490">
        <f>HYPERLINK("https://app.vivvix.com/360/KMI/IntelliDrive/ApplUI/Pages/CreativePages/CustomReportCreativeDetail.aspx?App=23&amp;ReportView=4&amp;Qid=1747207&amp;Row=2948&amp;Col=1","No Title Assigned - #15279479439")</f>
        <v/>
      </c>
      <c r="B490" t="inlineStr">
        <is>
          <t>15279479439</t>
        </is>
      </c>
      <c r="E490" t="inlineStr">
        <is>
          <t>Adidas</t>
        </is>
      </c>
      <c r="F490" t="inlineStr">
        <is>
          <t>Adidas : Online</t>
        </is>
      </c>
      <c r="G490" t="n">
        <v>128.8452</v>
      </c>
    </row>
    <row r="491">
      <c r="A491">
        <f>HYPERLINK("https://app.vivvix.com/360/KMI/IntelliDrive/ApplUI/Pages/CreativePages/CustomReportCreativeDetail.aspx?App=23&amp;ReportView=4&amp;Qid=1747207&amp;Row=2951&amp;Col=1","No Title Assigned - #15279484646")</f>
        <v/>
      </c>
      <c r="B491" t="inlineStr">
        <is>
          <t>15279484646</t>
        </is>
      </c>
      <c r="E491" t="inlineStr">
        <is>
          <t>Adidas</t>
        </is>
      </c>
      <c r="F491" t="inlineStr">
        <is>
          <t>Adidas : Online</t>
        </is>
      </c>
      <c r="G491" t="n">
        <v>58.9374</v>
      </c>
    </row>
    <row r="492">
      <c r="A492">
        <f>HYPERLINK("https://app.vivvix.com/360/KMI/IntelliDrive/ApplUI/Pages/CreativePages/CustomReportCreativeDetail.aspx?App=23&amp;ReportView=4&amp;Qid=1747207&amp;Row=2952&amp;Col=1","No Title Assigned - #15279484648")</f>
        <v/>
      </c>
      <c r="B492" t="inlineStr">
        <is>
          <t>15279484648</t>
        </is>
      </c>
      <c r="E492" t="inlineStr">
        <is>
          <t>Adidas</t>
        </is>
      </c>
      <c r="F492" t="inlineStr">
        <is>
          <t>Adidas : Online</t>
        </is>
      </c>
      <c r="G492" t="n">
        <v>58.9374</v>
      </c>
    </row>
    <row r="493">
      <c r="A493">
        <f>HYPERLINK("https://app.vivvix.com/360/KMI/IntelliDrive/ApplUI/Pages/CreativePages/CustomReportCreativeDetail.aspx?App=23&amp;ReportView=4&amp;Qid=1747207&amp;Row=2956&amp;Col=1","No Title Assigned - #15279497173")</f>
        <v/>
      </c>
      <c r="B493" t="inlineStr">
        <is>
          <t>15279497173</t>
        </is>
      </c>
      <c r="E493" t="inlineStr">
        <is>
          <t>Adidas</t>
        </is>
      </c>
      <c r="F493" t="inlineStr">
        <is>
          <t>Adidas : Online</t>
        </is>
      </c>
      <c r="G493" t="n">
        <v>5947.4194</v>
      </c>
    </row>
    <row r="494">
      <c r="A494">
        <f>HYPERLINK("https://app.vivvix.com/360/KMI/IntelliDrive/ApplUI/Pages/CreativePages/CustomReportCreativeDetail.aspx?App=23&amp;ReportView=4&amp;Qid=1747207&amp;Row=2969&amp;Col=1","No Title Assigned - #15279565932")</f>
        <v/>
      </c>
      <c r="B494" t="inlineStr">
        <is>
          <t>15279565932</t>
        </is>
      </c>
      <c r="E494" t="inlineStr">
        <is>
          <t>Adidas</t>
        </is>
      </c>
      <c r="F494" t="inlineStr">
        <is>
          <t>Adidas : Online</t>
        </is>
      </c>
      <c r="G494" t="n">
        <v>977.4937</v>
      </c>
    </row>
    <row r="495">
      <c r="A495">
        <f>HYPERLINK("https://app.vivvix.com/360/KMI/IntelliDrive/ApplUI/Pages/CreativePages/CustomReportCreativeDetail.aspx?App=23&amp;ReportView=4&amp;Qid=1747207&amp;Row=2980&amp;Col=1","No Title Assigned - #15279630161")</f>
        <v/>
      </c>
      <c r="B495" t="inlineStr">
        <is>
          <t>15279630161</t>
        </is>
      </c>
      <c r="E495" t="inlineStr">
        <is>
          <t>Adidas</t>
        </is>
      </c>
      <c r="F495" t="inlineStr">
        <is>
          <t>Adidas : Online</t>
        </is>
      </c>
      <c r="G495" t="n">
        <v>9101.725899999999</v>
      </c>
    </row>
    <row r="496">
      <c r="A496">
        <f>HYPERLINK("https://app.vivvix.com/360/KMI/IntelliDrive/ApplUI/Pages/CreativePages/CustomReportCreativeDetail.aspx?App=23&amp;ReportView=4&amp;Qid=1747207&amp;Row=2988&amp;Col=1","No Title Assigned - #15279648741")</f>
        <v/>
      </c>
      <c r="B496" t="inlineStr">
        <is>
          <t>15279648741</t>
        </is>
      </c>
      <c r="E496" t="inlineStr">
        <is>
          <t>Adidas</t>
        </is>
      </c>
      <c r="F496" t="inlineStr">
        <is>
          <t>Adidas : Online</t>
        </is>
      </c>
      <c r="G496" t="n">
        <v>1307.2273</v>
      </c>
    </row>
    <row r="497">
      <c r="A497">
        <f>HYPERLINK("https://app.vivvix.com/360/KMI/IntelliDrive/ApplUI/Pages/CreativePages/CustomReportCreativeDetail.aspx?App=23&amp;ReportView=4&amp;Qid=1747207&amp;Row=2990&amp;Col=1","No Title Assigned - #15279652746")</f>
        <v/>
      </c>
      <c r="B497" t="inlineStr">
        <is>
          <t>15279652746</t>
        </is>
      </c>
      <c r="E497" t="inlineStr">
        <is>
          <t>Adidas</t>
        </is>
      </c>
      <c r="F497" t="inlineStr">
        <is>
          <t>Adidas : Online</t>
        </is>
      </c>
      <c r="G497" t="n">
        <v>29.4687</v>
      </c>
    </row>
    <row r="498">
      <c r="A498">
        <f>HYPERLINK("https://app.vivvix.com/360/KMI/IntelliDrive/ApplUI/Pages/CreativePages/CustomReportCreativeDetail.aspx?App=23&amp;ReportView=4&amp;Qid=1747207&amp;Row=2994&amp;Col=1","No Title Assigned - #15279680226")</f>
        <v/>
      </c>
      <c r="B498" t="inlineStr">
        <is>
          <t>15279680226</t>
        </is>
      </c>
      <c r="E498" t="inlineStr">
        <is>
          <t>Adidas</t>
        </is>
      </c>
      <c r="F498" t="inlineStr">
        <is>
          <t>Adidas : Online</t>
        </is>
      </c>
      <c r="G498" t="n">
        <v>29.4687</v>
      </c>
    </row>
    <row r="499">
      <c r="A499">
        <f>HYPERLINK("https://app.vivvix.com/360/KMI/IntelliDrive/ApplUI/Pages/CreativePages/CustomReportCreativeDetail.aspx?App=23&amp;ReportView=4&amp;Qid=1747207&amp;Row=2996&amp;Col=1","No Title Assigned - #15279681034")</f>
        <v/>
      </c>
      <c r="B499" t="inlineStr">
        <is>
          <t>15279681034</t>
        </is>
      </c>
      <c r="E499" t="inlineStr">
        <is>
          <t>Adidas</t>
        </is>
      </c>
      <c r="F499" t="inlineStr">
        <is>
          <t>Adidas : Online</t>
        </is>
      </c>
      <c r="G499" t="n">
        <v>66.38930000000001</v>
      </c>
    </row>
    <row r="500">
      <c r="A500">
        <f>HYPERLINK("https://app.vivvix.com/360/KMI/IntelliDrive/ApplUI/Pages/CreativePages/CustomReportCreativeDetail.aspx?App=23&amp;ReportView=4&amp;Qid=1747207&amp;Row=2997&amp;Col=1","No Title Assigned - #15279681035")</f>
        <v/>
      </c>
      <c r="B500" t="inlineStr">
        <is>
          <t>15279681035</t>
        </is>
      </c>
      <c r="E500" t="inlineStr">
        <is>
          <t>Adidas</t>
        </is>
      </c>
      <c r="F500" t="inlineStr">
        <is>
          <t>Adidas : Online</t>
        </is>
      </c>
      <c r="G500" t="n">
        <v>66.38930000000001</v>
      </c>
    </row>
    <row r="501">
      <c r="A501">
        <f>HYPERLINK("https://app.vivvix.com/360/KMI/IntelliDrive/ApplUI/Pages/CreativePages/CustomReportCreativeDetail.aspx?App=23&amp;ReportView=4&amp;Qid=1747207&amp;Row=2999&amp;Col=1","No Title Assigned - #15279681274")</f>
        <v/>
      </c>
      <c r="B501" t="inlineStr">
        <is>
          <t>15279681274</t>
        </is>
      </c>
      <c r="E501" t="inlineStr">
        <is>
          <t>Adidas</t>
        </is>
      </c>
      <c r="F501" t="inlineStr">
        <is>
          <t>Adidas : Online</t>
        </is>
      </c>
      <c r="G501" t="n">
        <v>66.38930000000001</v>
      </c>
    </row>
    <row r="502">
      <c r="A502">
        <f>HYPERLINK("https://app.vivvix.com/360/KMI/IntelliDrive/ApplUI/Pages/CreativePages/CustomReportCreativeDetail.aspx?App=23&amp;ReportView=4&amp;Qid=1747207&amp;Row=3000&amp;Col=1","No Title Assigned - #15279681336")</f>
        <v/>
      </c>
      <c r="B502" t="inlineStr">
        <is>
          <t>15279681336</t>
        </is>
      </c>
      <c r="E502" t="inlineStr">
        <is>
          <t>Adidas</t>
        </is>
      </c>
      <c r="F502" t="inlineStr">
        <is>
          <t>Adidas : Online</t>
        </is>
      </c>
      <c r="G502" t="n">
        <v>66.38930000000001</v>
      </c>
    </row>
    <row r="503">
      <c r="A503">
        <f>HYPERLINK("https://app.vivvix.com/360/KMI/IntelliDrive/ApplUI/Pages/CreativePages/CustomReportCreativeDetail.aspx?App=23&amp;ReportView=4&amp;Qid=1747207&amp;Row=3001&amp;Col=1","No Title Assigned - #15279681361")</f>
        <v/>
      </c>
      <c r="B503" t="inlineStr">
        <is>
          <t>15279681361</t>
        </is>
      </c>
      <c r="E503" t="inlineStr">
        <is>
          <t>Adidas</t>
        </is>
      </c>
      <c r="F503" t="inlineStr">
        <is>
          <t>Adidas : Online</t>
        </is>
      </c>
      <c r="G503" t="n">
        <v>66.38930000000001</v>
      </c>
    </row>
    <row r="504">
      <c r="A504">
        <f>HYPERLINK("https://app.vivvix.com/360/KMI/IntelliDrive/ApplUI/Pages/CreativePages/CustomReportCreativeDetail.aspx?App=23&amp;ReportView=4&amp;Qid=1747207&amp;Row=3011&amp;Col=1","No Title Assigned - #15279702146")</f>
        <v/>
      </c>
      <c r="B504" t="inlineStr">
        <is>
          <t>15279702146</t>
        </is>
      </c>
      <c r="E504" t="inlineStr">
        <is>
          <t>Adidas</t>
        </is>
      </c>
      <c r="F504" t="inlineStr">
        <is>
          <t>Adidas : Online</t>
        </is>
      </c>
      <c r="G504" t="n">
        <v>103.7372</v>
      </c>
    </row>
    <row r="505">
      <c r="A505">
        <f>HYPERLINK("https://app.vivvix.com/360/KMI/IntelliDrive/ApplUI/Pages/CreativePages/CustomReportCreativeDetail.aspx?App=23&amp;ReportView=4&amp;Qid=1747207&amp;Row=3012&amp;Col=1","No Title Assigned - #15279702626")</f>
        <v/>
      </c>
      <c r="B505" t="inlineStr">
        <is>
          <t>15279702626</t>
        </is>
      </c>
      <c r="E505" t="inlineStr">
        <is>
          <t>Adidas</t>
        </is>
      </c>
      <c r="F505" t="inlineStr">
        <is>
          <t>Adidas : Online</t>
        </is>
      </c>
      <c r="G505" t="n">
        <v>13.7829</v>
      </c>
    </row>
    <row r="506">
      <c r="A506">
        <f>HYPERLINK("https://app.vivvix.com/360/KMI/IntelliDrive/ApplUI/Pages/CreativePages/CustomReportCreativeDetail.aspx?App=23&amp;ReportView=4&amp;Qid=1747207&amp;Row=3014&amp;Col=1","No Title Assigned - #15279707698")</f>
        <v/>
      </c>
      <c r="B506" t="inlineStr">
        <is>
          <t>15279707698</t>
        </is>
      </c>
      <c r="E506" t="inlineStr">
        <is>
          <t>Adidas</t>
        </is>
      </c>
      <c r="F506" t="inlineStr">
        <is>
          <t>Adidas : Online</t>
        </is>
      </c>
      <c r="G506" t="n">
        <v>295.0601</v>
      </c>
    </row>
    <row r="507">
      <c r="A507">
        <f>HYPERLINK("https://app.vivvix.com/360/KMI/IntelliDrive/ApplUI/Pages/CreativePages/CustomReportCreativeDetail.aspx?App=23&amp;ReportView=4&amp;Qid=1747207&amp;Row=3016&amp;Col=1","No Title Assigned - #15279716510")</f>
        <v/>
      </c>
      <c r="B507" t="inlineStr">
        <is>
          <t>15279716510</t>
        </is>
      </c>
      <c r="E507" t="inlineStr">
        <is>
          <t>Adidas</t>
        </is>
      </c>
      <c r="F507" t="inlineStr">
        <is>
          <t>Adidas : Online</t>
        </is>
      </c>
      <c r="G507" t="n">
        <v>197.4192</v>
      </c>
    </row>
    <row r="508">
      <c r="A508">
        <f>HYPERLINK("https://app.vivvix.com/360/KMI/IntelliDrive/ApplUI/Pages/CreativePages/CustomReportCreativeDetail.aspx?App=23&amp;ReportView=4&amp;Qid=1747207&amp;Row=3023&amp;Col=1","No Title Assigned - #15279744015")</f>
        <v/>
      </c>
      <c r="B508" t="inlineStr">
        <is>
          <t>15279744015</t>
        </is>
      </c>
      <c r="E508" t="inlineStr">
        <is>
          <t>Adidas</t>
        </is>
      </c>
      <c r="F508" t="inlineStr">
        <is>
          <t>Adidas : Online</t>
        </is>
      </c>
      <c r="G508" t="n">
        <v>66.38930000000001</v>
      </c>
    </row>
    <row r="509">
      <c r="A509">
        <f>HYPERLINK("https://app.vivvix.com/360/KMI/IntelliDrive/ApplUI/Pages/CreativePages/CustomReportCreativeDetail.aspx?App=23&amp;ReportView=4&amp;Qid=1747207&amp;Row=3024&amp;Col=1","No Title Assigned - #15279744514")</f>
        <v/>
      </c>
      <c r="B509" t="inlineStr">
        <is>
          <t>15279744514</t>
        </is>
      </c>
      <c r="E509" t="inlineStr">
        <is>
          <t>Adidas</t>
        </is>
      </c>
      <c r="F509" t="inlineStr">
        <is>
          <t>Adidas : Online</t>
        </is>
      </c>
      <c r="G509" t="n">
        <v>29.4687</v>
      </c>
    </row>
    <row r="510">
      <c r="A510">
        <f>HYPERLINK("https://app.vivvix.com/360/KMI/IntelliDrive/ApplUI/Pages/CreativePages/CustomReportCreativeDetail.aspx?App=23&amp;ReportView=4&amp;Qid=1747207&amp;Row=3025&amp;Col=1","No Title Assigned - #15279744659")</f>
        <v/>
      </c>
      <c r="B510" t="inlineStr">
        <is>
          <t>15279744659</t>
        </is>
      </c>
      <c r="E510" t="inlineStr">
        <is>
          <t>Adidas</t>
        </is>
      </c>
      <c r="F510" t="inlineStr">
        <is>
          <t>Adidas : Online</t>
        </is>
      </c>
      <c r="G510" t="n">
        <v>254.4724</v>
      </c>
    </row>
    <row r="511">
      <c r="A511">
        <f>HYPERLINK("https://app.vivvix.com/360/KMI/IntelliDrive/ApplUI/Pages/CreativePages/CustomReportCreativeDetail.aspx?App=23&amp;ReportView=4&amp;Qid=1747207&amp;Row=3027&amp;Col=1","No Title Assigned - #15279751100")</f>
        <v/>
      </c>
      <c r="B511" t="inlineStr">
        <is>
          <t>15279751100</t>
        </is>
      </c>
      <c r="E511" t="inlineStr">
        <is>
          <t>Adidas</t>
        </is>
      </c>
      <c r="F511" t="inlineStr">
        <is>
          <t>Adidas : Online</t>
        </is>
      </c>
      <c r="G511" t="n">
        <v>4200.8989</v>
      </c>
    </row>
    <row r="512">
      <c r="A512">
        <f>HYPERLINK("https://app.vivvix.com/360/KMI/IntelliDrive/ApplUI/Pages/CreativePages/CustomReportCreativeDetail.aspx?App=23&amp;ReportView=4&amp;Qid=1747207&amp;Row=3032&amp;Col=1","No Title Assigned - #15279751973")</f>
        <v/>
      </c>
      <c r="B512" t="inlineStr">
        <is>
          <t>15279751973</t>
        </is>
      </c>
      <c r="E512" t="inlineStr">
        <is>
          <t>Adidas</t>
        </is>
      </c>
      <c r="F512" t="inlineStr">
        <is>
          <t>Adidas : Online</t>
        </is>
      </c>
      <c r="G512" t="n">
        <v>13.7829</v>
      </c>
    </row>
    <row r="513">
      <c r="A513">
        <f>HYPERLINK("https://app.vivvix.com/360/KMI/IntelliDrive/ApplUI/Pages/CreativePages/CustomReportCreativeDetail.aspx?App=23&amp;ReportView=4&amp;Qid=1747207&amp;Row=3038&amp;Col=1","No Title Assigned - #15279759471")</f>
        <v/>
      </c>
      <c r="B513" t="inlineStr">
        <is>
          <t>15279759471</t>
        </is>
      </c>
      <c r="E513" t="inlineStr">
        <is>
          <t>Adidas</t>
        </is>
      </c>
      <c r="F513" t="inlineStr">
        <is>
          <t>Adidas : Online</t>
        </is>
      </c>
      <c r="G513" t="n">
        <v>4285.5381</v>
      </c>
    </row>
    <row r="514">
      <c r="A514">
        <f>HYPERLINK("https://app.vivvix.com/360/KMI/IntelliDrive/ApplUI/Pages/CreativePages/CustomReportCreativeDetail.aspx?App=23&amp;ReportView=4&amp;Qid=1747207&amp;Row=3042&amp;Col=1","No Title Assigned - #15279761132")</f>
        <v/>
      </c>
      <c r="B514" t="inlineStr">
        <is>
          <t>15279761132</t>
        </is>
      </c>
      <c r="E514" t="inlineStr">
        <is>
          <t>Adidas</t>
        </is>
      </c>
      <c r="F514" t="inlineStr">
        <is>
          <t>Adidas : Online</t>
        </is>
      </c>
      <c r="G514" t="n">
        <v>41.9147</v>
      </c>
    </row>
    <row r="515">
      <c r="A515">
        <f>HYPERLINK("https://app.vivvix.com/360/KMI/IntelliDrive/ApplUI/Pages/CreativePages/CustomReportCreativeDetail.aspx?App=23&amp;ReportView=4&amp;Qid=1747207&amp;Row=3046&amp;Col=1","No Title Assigned - #15279770983")</f>
        <v/>
      </c>
      <c r="B515" t="inlineStr">
        <is>
          <t>15279770983</t>
        </is>
      </c>
      <c r="E515" t="inlineStr">
        <is>
          <t>Adidas</t>
        </is>
      </c>
      <c r="F515" t="inlineStr">
        <is>
          <t>Adidas : Online</t>
        </is>
      </c>
      <c r="G515" t="n">
        <v>157.3997</v>
      </c>
    </row>
    <row r="516">
      <c r="A516">
        <f>HYPERLINK("https://app.vivvix.com/360/KMI/IntelliDrive/ApplUI/Pages/CreativePages/CustomReportCreativeDetail.aspx?App=23&amp;ReportView=4&amp;Qid=1747207&amp;Row=3047&amp;Col=1","No Title Assigned - #15279773259")</f>
        <v/>
      </c>
      <c r="B516" t="inlineStr">
        <is>
          <t>15279773259</t>
        </is>
      </c>
      <c r="E516" t="inlineStr">
        <is>
          <t>Adidas</t>
        </is>
      </c>
      <c r="F516" t="inlineStr">
        <is>
          <t>Adidas : Online</t>
        </is>
      </c>
      <c r="G516" t="n">
        <v>85.4931</v>
      </c>
    </row>
    <row r="517">
      <c r="A517">
        <f>HYPERLINK("https://app.vivvix.com/360/KMI/IntelliDrive/ApplUI/Pages/CreativePages/CustomReportCreativeDetail.aspx?App=23&amp;ReportView=4&amp;Qid=1747207&amp;Row=3051&amp;Col=1","No Title Assigned - #15279804921")</f>
        <v/>
      </c>
      <c r="B517" t="inlineStr">
        <is>
          <t>15279804921</t>
        </is>
      </c>
      <c r="E517" t="inlineStr">
        <is>
          <t>Adidas</t>
        </is>
      </c>
      <c r="F517" t="inlineStr">
        <is>
          <t>Adidas : Online</t>
        </is>
      </c>
      <c r="G517" t="n">
        <v>520.8517000000001</v>
      </c>
    </row>
    <row r="518">
      <c r="A518">
        <f>HYPERLINK("https://app.vivvix.com/360/KMI/IntelliDrive/ApplUI/Pages/CreativePages/CustomReportCreativeDetail.aspx?App=23&amp;ReportView=4&amp;Qid=1747207&amp;Row=3055&amp;Col=1","No Title Assigned - #15279844739")</f>
        <v/>
      </c>
      <c r="B518" t="inlineStr">
        <is>
          <t>15279844739</t>
        </is>
      </c>
      <c r="E518" t="inlineStr">
        <is>
          <t>Adidas</t>
        </is>
      </c>
      <c r="F518" t="inlineStr">
        <is>
          <t>Adidas : Online</t>
        </is>
      </c>
      <c r="G518" t="n">
        <v>1081.203</v>
      </c>
    </row>
    <row r="519">
      <c r="A519">
        <f>HYPERLINK("https://app.vivvix.com/360/KMI/IntelliDrive/ApplUI/Pages/CreativePages/CustomReportCreativeDetail.aspx?App=23&amp;ReportView=4&amp;Qid=1747207&amp;Row=3057&amp;Col=1","No Title Assigned - #15279852808")</f>
        <v/>
      </c>
      <c r="B519" t="inlineStr">
        <is>
          <t>15279852808</t>
        </is>
      </c>
      <c r="E519" t="inlineStr">
        <is>
          <t>Adidas</t>
        </is>
      </c>
      <c r="F519" t="inlineStr">
        <is>
          <t>Adidas : Online</t>
        </is>
      </c>
      <c r="G519" t="n">
        <v>791.4278</v>
      </c>
    </row>
    <row r="520">
      <c r="A520">
        <f>HYPERLINK("https://app.vivvix.com/360/KMI/IntelliDrive/ApplUI/Pages/CreativePages/CustomReportCreativeDetail.aspx?App=23&amp;ReportView=4&amp;Qid=1747207&amp;Row=3058&amp;Col=1","No Title Assigned - #15279854927")</f>
        <v/>
      </c>
      <c r="B520" t="inlineStr">
        <is>
          <t>15279854927</t>
        </is>
      </c>
      <c r="E520" t="inlineStr">
        <is>
          <t>Adidas</t>
        </is>
      </c>
      <c r="F520" t="inlineStr">
        <is>
          <t>Adidas : Online</t>
        </is>
      </c>
      <c r="G520" t="n">
        <v>3481.3438</v>
      </c>
    </row>
    <row r="521">
      <c r="A521">
        <f>HYPERLINK("https://app.vivvix.com/360/KMI/IntelliDrive/ApplUI/Pages/CreativePages/CustomReportCreativeDetail.aspx?App=23&amp;ReportView=4&amp;Qid=1747207&amp;Row=3064&amp;Col=1","No Title Assigned - #15279900144")</f>
        <v/>
      </c>
      <c r="B521" t="inlineStr">
        <is>
          <t>15279900144</t>
        </is>
      </c>
      <c r="E521" t="inlineStr">
        <is>
          <t>Adidas</t>
        </is>
      </c>
      <c r="F521" t="inlineStr">
        <is>
          <t>Adidas : Online</t>
        </is>
      </c>
      <c r="G521" t="n">
        <v>1269.7248</v>
      </c>
    </row>
    <row r="522">
      <c r="A522">
        <f>HYPERLINK("https://app.vivvix.com/360/KMI/IntelliDrive/ApplUI/Pages/CreativePages/CustomReportCreativeDetail.aspx?App=23&amp;ReportView=4&amp;Qid=1747207&amp;Row=3071&amp;Col=1","No Title Assigned - #15279911560")</f>
        <v/>
      </c>
      <c r="B522" t="inlineStr">
        <is>
          <t>15279911560</t>
        </is>
      </c>
      <c r="E522" t="inlineStr">
        <is>
          <t>Adidas</t>
        </is>
      </c>
      <c r="F522" t="inlineStr">
        <is>
          <t>Adidas : Online</t>
        </is>
      </c>
      <c r="G522" t="n">
        <v>707.5634</v>
      </c>
    </row>
    <row r="523">
      <c r="A523">
        <f>HYPERLINK("https://app.vivvix.com/360/KMI/IntelliDrive/ApplUI/Pages/CreativePages/CustomReportCreativeDetail.aspx?App=23&amp;ReportView=4&amp;Qid=1747207&amp;Row=3073&amp;Col=1","No Title Assigned - #15279914023")</f>
        <v/>
      </c>
      <c r="B523" t="inlineStr">
        <is>
          <t>15279914023</t>
        </is>
      </c>
      <c r="E523" t="inlineStr">
        <is>
          <t>Adidas</t>
        </is>
      </c>
      <c r="F523" t="inlineStr">
        <is>
          <t>Adidas : Online</t>
        </is>
      </c>
      <c r="G523" t="n">
        <v>46.1606</v>
      </c>
    </row>
    <row r="524">
      <c r="A524">
        <f>HYPERLINK("https://app.vivvix.com/360/KMI/IntelliDrive/ApplUI/Pages/CreativePages/CustomReportCreativeDetail.aspx?App=23&amp;ReportView=4&amp;Qid=1747207&amp;Row=3077&amp;Col=1","No Title Assigned - #15279952250")</f>
        <v/>
      </c>
      <c r="B524" t="inlineStr">
        <is>
          <t>15279952250</t>
        </is>
      </c>
      <c r="E524" t="inlineStr">
        <is>
          <t>Adidas</t>
        </is>
      </c>
      <c r="F524" t="inlineStr">
        <is>
          <t>Adidas : Online</t>
        </is>
      </c>
      <c r="G524" t="n">
        <v>113.2769</v>
      </c>
    </row>
    <row r="525">
      <c r="A525">
        <f>HYPERLINK("https://app.vivvix.com/360/KMI/IntelliDrive/ApplUI/Pages/CreativePages/CustomReportCreativeDetail.aspx?App=23&amp;ReportView=4&amp;Qid=1747207&amp;Row=3079&amp;Col=1","No Title Assigned - #15279955789")</f>
        <v/>
      </c>
      <c r="B525" t="inlineStr">
        <is>
          <t>15279955789</t>
        </is>
      </c>
      <c r="E525" t="inlineStr">
        <is>
          <t>Adidas</t>
        </is>
      </c>
      <c r="F525" t="inlineStr">
        <is>
          <t>Adidas : Online</t>
        </is>
      </c>
      <c r="G525" t="n">
        <v>46.1606</v>
      </c>
    </row>
    <row r="526">
      <c r="A526">
        <f>HYPERLINK("https://app.vivvix.com/360/KMI/IntelliDrive/ApplUI/Pages/CreativePages/CustomReportCreativeDetail.aspx?App=23&amp;ReportView=4&amp;Qid=1747207&amp;Row=3090&amp;Col=1","No Title Assigned - #15279998524")</f>
        <v/>
      </c>
      <c r="B526" t="inlineStr">
        <is>
          <t>15279998524</t>
        </is>
      </c>
      <c r="E526" t="inlineStr">
        <is>
          <t>Adidas</t>
        </is>
      </c>
      <c r="F526" t="inlineStr">
        <is>
          <t>Adidas : Online</t>
        </is>
      </c>
      <c r="G526" t="n">
        <v>120.2651</v>
      </c>
    </row>
    <row r="527">
      <c r="A527">
        <f>HYPERLINK("https://app.vivvix.com/360/KMI/IntelliDrive/ApplUI/Pages/CreativePages/CustomReportCreativeDetail.aspx?App=23&amp;ReportView=4&amp;Qid=1747207&amp;Row=3104&amp;Col=1","No Title Assigned - #15280072640")</f>
        <v/>
      </c>
      <c r="B527" t="inlineStr">
        <is>
          <t>15280072640</t>
        </is>
      </c>
      <c r="E527" t="inlineStr">
        <is>
          <t>Adidas</t>
        </is>
      </c>
      <c r="F527" t="inlineStr">
        <is>
          <t>Adidas : Online</t>
        </is>
      </c>
      <c r="G527" t="n">
        <v>2970.9973</v>
      </c>
    </row>
    <row r="528">
      <c r="A528">
        <f>HYPERLINK("https://app.vivvix.com/360/KMI/IntelliDrive/ApplUI/Pages/CreativePages/CustomReportCreativeDetail.aspx?App=23&amp;ReportView=4&amp;Qid=1747207&amp;Row=3105&amp;Col=1","No Title Assigned - #15280073374")</f>
        <v/>
      </c>
      <c r="B528" t="inlineStr">
        <is>
          <t>15280073374</t>
        </is>
      </c>
      <c r="E528" t="inlineStr">
        <is>
          <t>Adidas</t>
        </is>
      </c>
      <c r="F528" t="inlineStr">
        <is>
          <t>Adidas : Online</t>
        </is>
      </c>
      <c r="G528" t="n">
        <v>481.978</v>
      </c>
    </row>
    <row r="529">
      <c r="A529">
        <f>HYPERLINK("https://app.vivvix.com/360/KMI/IntelliDrive/ApplUI/Pages/CreativePages/CustomReportCreativeDetail.aspx?App=23&amp;ReportView=4&amp;Qid=1747207&amp;Row=3112&amp;Col=1","No Title Assigned - #15280112762")</f>
        <v/>
      </c>
      <c r="B529" t="inlineStr">
        <is>
          <t>15280112762</t>
        </is>
      </c>
      <c r="E529" t="inlineStr">
        <is>
          <t>Adidas</t>
        </is>
      </c>
      <c r="F529" t="inlineStr">
        <is>
          <t>Adidas : Online</t>
        </is>
      </c>
      <c r="G529" t="n">
        <v>2121.519</v>
      </c>
    </row>
    <row r="530">
      <c r="A530">
        <f>HYPERLINK("https://app.vivvix.com/360/KMI/IntelliDrive/ApplUI/Pages/CreativePages/CustomReportCreativeDetail.aspx?App=23&amp;ReportView=4&amp;Qid=1747207&amp;Row=3118&amp;Col=1","No Title Assigned - #15280123292")</f>
        <v/>
      </c>
      <c r="B530" t="inlineStr">
        <is>
          <t>15280123292</t>
        </is>
      </c>
      <c r="E530" t="inlineStr">
        <is>
          <t>Adidas</t>
        </is>
      </c>
      <c r="F530" t="inlineStr">
        <is>
          <t>Adidas : Online</t>
        </is>
      </c>
      <c r="G530" t="n">
        <v>537.2548</v>
      </c>
    </row>
    <row r="531">
      <c r="A531">
        <f>HYPERLINK("https://app.vivvix.com/360/KMI/IntelliDrive/ApplUI/Pages/CreativePages/CustomReportCreativeDetail.aspx?App=23&amp;ReportView=4&amp;Qid=1747207&amp;Row=3119&amp;Col=1","No Title Assigned - #15280123397")</f>
        <v/>
      </c>
      <c r="B531" t="inlineStr">
        <is>
          <t>15280123397</t>
        </is>
      </c>
      <c r="E531" t="inlineStr">
        <is>
          <t>Adidas</t>
        </is>
      </c>
      <c r="F531" t="inlineStr">
        <is>
          <t>Adidas : Online</t>
        </is>
      </c>
      <c r="G531" t="n">
        <v>447.5433</v>
      </c>
    </row>
    <row r="532">
      <c r="A532">
        <f>HYPERLINK("https://app.vivvix.com/360/KMI/IntelliDrive/ApplUI/Pages/CreativePages/CustomReportCreativeDetail.aspx?App=23&amp;ReportView=4&amp;Qid=1747207&amp;Row=3123&amp;Col=1","No Title Assigned - #15280129574")</f>
        <v/>
      </c>
      <c r="B532" t="inlineStr">
        <is>
          <t>15280129574</t>
        </is>
      </c>
      <c r="E532" t="inlineStr">
        <is>
          <t>Adidas</t>
        </is>
      </c>
      <c r="F532" t="inlineStr">
        <is>
          <t>Adidas : Online</t>
        </is>
      </c>
      <c r="G532" t="n">
        <v>34.427</v>
      </c>
    </row>
    <row r="533">
      <c r="A533">
        <f>HYPERLINK("https://app.vivvix.com/360/KMI/IntelliDrive/ApplUI/Pages/CreativePages/CustomReportCreativeDetail.aspx?App=23&amp;ReportView=4&amp;Qid=1747207&amp;Row=3128&amp;Col=1","No Title Assigned - #15280138708")</f>
        <v/>
      </c>
      <c r="B533" t="inlineStr">
        <is>
          <t>15280138708</t>
        </is>
      </c>
      <c r="E533" t="inlineStr">
        <is>
          <t>Adidas</t>
        </is>
      </c>
      <c r="F533" t="inlineStr">
        <is>
          <t>Adidas : Online</t>
        </is>
      </c>
      <c r="G533" t="n">
        <v>964.0557</v>
      </c>
    </row>
    <row r="534">
      <c r="A534">
        <f>HYPERLINK("https://app.vivvix.com/360/KMI/IntelliDrive/ApplUI/Pages/CreativePages/CustomReportCreativeDetail.aspx?App=23&amp;ReportView=4&amp;Qid=1747207&amp;Row=3143&amp;Col=1","No Title Assigned - #15280184912")</f>
        <v/>
      </c>
      <c r="B534" t="inlineStr">
        <is>
          <t>15280184912</t>
        </is>
      </c>
      <c r="E534" t="inlineStr">
        <is>
          <t>Adidas</t>
        </is>
      </c>
      <c r="F534" t="inlineStr">
        <is>
          <t>Adidas : Online</t>
        </is>
      </c>
      <c r="G534" t="n">
        <v>34.427</v>
      </c>
    </row>
    <row r="535">
      <c r="A535">
        <f>HYPERLINK("https://app.vivvix.com/360/KMI/IntelliDrive/ApplUI/Pages/CreativePages/CustomReportCreativeDetail.aspx?App=23&amp;ReportView=4&amp;Qid=1747207&amp;Row=3144&amp;Col=1","No Title Assigned - #15280192197")</f>
        <v/>
      </c>
      <c r="B535" t="inlineStr">
        <is>
          <t>15280192197</t>
        </is>
      </c>
      <c r="E535" t="inlineStr">
        <is>
          <t>Adidas</t>
        </is>
      </c>
      <c r="F535" t="inlineStr">
        <is>
          <t>Adidas : Online</t>
        </is>
      </c>
      <c r="G535" t="n">
        <v>2594.3309</v>
      </c>
    </row>
    <row r="536">
      <c r="A536">
        <f>HYPERLINK("https://app.vivvix.com/360/KMI/IntelliDrive/ApplUI/Pages/CreativePages/CustomReportCreativeDetail.aspx?App=23&amp;ReportView=4&amp;Qid=1747207&amp;Row=3156&amp;Col=1","No Title Assigned - #15280224399")</f>
        <v/>
      </c>
      <c r="B536" t="inlineStr">
        <is>
          <t>15280224399</t>
        </is>
      </c>
      <c r="E536" t="inlineStr">
        <is>
          <t>Adidas</t>
        </is>
      </c>
      <c r="F536" t="inlineStr">
        <is>
          <t>Adidas : Online</t>
        </is>
      </c>
      <c r="G536" t="n">
        <v>46.1606</v>
      </c>
    </row>
    <row r="537">
      <c r="A537">
        <f>HYPERLINK("https://app.vivvix.com/360/KMI/IntelliDrive/ApplUI/Pages/CreativePages/CustomReportCreativeDetail.aspx?App=23&amp;ReportView=4&amp;Qid=1747207&amp;Row=3163&amp;Col=1","No Title Assigned - #15280237193")</f>
        <v/>
      </c>
      <c r="B537" t="inlineStr">
        <is>
          <t>15280237193</t>
        </is>
      </c>
      <c r="E537" t="inlineStr">
        <is>
          <t>Adidas</t>
        </is>
      </c>
      <c r="F537" t="inlineStr">
        <is>
          <t>Adidas : Online</t>
        </is>
      </c>
      <c r="G537" t="n">
        <v>2798.9995</v>
      </c>
    </row>
    <row r="538">
      <c r="A538">
        <f>HYPERLINK("https://app.vivvix.com/360/KMI/IntelliDrive/ApplUI/Pages/CreativePages/CustomReportCreativeDetail.aspx?App=23&amp;ReportView=4&amp;Qid=1747207&amp;Row=3165&amp;Col=1","No Title Assigned - #15280238394")</f>
        <v/>
      </c>
      <c r="B538" t="inlineStr">
        <is>
          <t>15280238394</t>
        </is>
      </c>
      <c r="E538" t="inlineStr">
        <is>
          <t>Adidas</t>
        </is>
      </c>
      <c r="F538" t="inlineStr">
        <is>
          <t>Adidas : Online</t>
        </is>
      </c>
      <c r="G538" t="n">
        <v>113.2769</v>
      </c>
    </row>
    <row r="539">
      <c r="A539">
        <f>HYPERLINK("https://app.vivvix.com/360/KMI/IntelliDrive/ApplUI/Pages/CreativePages/CustomReportCreativeDetail.aspx?App=23&amp;ReportView=4&amp;Qid=1747207&amp;Row=3167&amp;Col=1","No Title Assigned - #15280239355")</f>
        <v/>
      </c>
      <c r="B539" t="inlineStr">
        <is>
          <t>15280239355</t>
        </is>
      </c>
      <c r="E539" t="inlineStr">
        <is>
          <t>Adidas</t>
        </is>
      </c>
      <c r="F539" t="inlineStr">
        <is>
          <t>Adidas : Online</t>
        </is>
      </c>
      <c r="G539" t="n">
        <v>2121.519</v>
      </c>
    </row>
    <row r="540">
      <c r="A540">
        <f>HYPERLINK("https://app.vivvix.com/360/KMI/IntelliDrive/ApplUI/Pages/CreativePages/CustomReportCreativeDetail.aspx?App=23&amp;ReportView=4&amp;Qid=1747207&amp;Row=3169&amp;Col=1","No Title Assigned - #15280239585")</f>
        <v/>
      </c>
      <c r="B540" t="inlineStr">
        <is>
          <t>15280239585</t>
        </is>
      </c>
      <c r="E540" t="inlineStr">
        <is>
          <t>Adidas</t>
        </is>
      </c>
      <c r="F540" t="inlineStr">
        <is>
          <t>Adidas : Online</t>
        </is>
      </c>
      <c r="G540" t="n">
        <v>724.299</v>
      </c>
    </row>
    <row r="541">
      <c r="A541">
        <f>HYPERLINK("https://app.vivvix.com/360/KMI/IntelliDrive/ApplUI/Pages/CreativePages/CustomReportCreativeDetail.aspx?App=23&amp;ReportView=4&amp;Qid=1747207&amp;Row=3172&amp;Col=1","No Title Assigned - #15280242790")</f>
        <v/>
      </c>
      <c r="B541" t="inlineStr">
        <is>
          <t>15280242790</t>
        </is>
      </c>
      <c r="E541" t="inlineStr">
        <is>
          <t>Adidas</t>
        </is>
      </c>
      <c r="F541" t="inlineStr">
        <is>
          <t>Adidas : Online</t>
        </is>
      </c>
      <c r="G541" t="n">
        <v>46177.1393</v>
      </c>
    </row>
    <row r="542">
      <c r="A542">
        <f>HYPERLINK("https://app.vivvix.com/360/KMI/IntelliDrive/ApplUI/Pages/CreativePages/CustomReportCreativeDetail.aspx?App=23&amp;ReportView=4&amp;Qid=1747207&amp;Row=3174&amp;Col=1","No Title Assigned - #15280243805")</f>
        <v/>
      </c>
      <c r="B542" t="inlineStr">
        <is>
          <t>15280243805</t>
        </is>
      </c>
      <c r="E542" t="inlineStr">
        <is>
          <t>Adidas</t>
        </is>
      </c>
      <c r="F542" t="inlineStr">
        <is>
          <t>Adidas : Online</t>
        </is>
      </c>
      <c r="G542" t="n">
        <v>3351.7153</v>
      </c>
    </row>
    <row r="543">
      <c r="A543">
        <f>HYPERLINK("https://app.vivvix.com/360/KMI/IntelliDrive/ApplUI/Pages/CreativePages/CustomReportCreativeDetail.aspx?App=23&amp;ReportView=4&amp;Qid=1747207&amp;Row=3177&amp;Col=1","No Title Assigned - #15280269880")</f>
        <v/>
      </c>
      <c r="B543" t="inlineStr">
        <is>
          <t>15280269880</t>
        </is>
      </c>
      <c r="E543" t="inlineStr">
        <is>
          <t>Adidas</t>
        </is>
      </c>
      <c r="F543" t="inlineStr">
        <is>
          <t>Adidas : Online</t>
        </is>
      </c>
      <c r="G543" t="n">
        <v>46.1606</v>
      </c>
    </row>
    <row r="544">
      <c r="A544">
        <f>HYPERLINK("https://app.vivvix.com/360/KMI/IntelliDrive/ApplUI/Pages/CreativePages/CustomReportCreativeDetail.aspx?App=23&amp;ReportView=4&amp;Qid=1747207&amp;Row=3178&amp;Col=1","No Title Assigned - #15280271790")</f>
        <v/>
      </c>
      <c r="B544" t="inlineStr">
        <is>
          <t>15280271790</t>
        </is>
      </c>
      <c r="E544" t="inlineStr">
        <is>
          <t>Adidas</t>
        </is>
      </c>
      <c r="F544" t="inlineStr">
        <is>
          <t>Adidas : Online</t>
        </is>
      </c>
      <c r="G544" t="n">
        <v>1260.5068</v>
      </c>
    </row>
    <row r="545">
      <c r="A545">
        <f>HYPERLINK("https://app.vivvix.com/360/KMI/IntelliDrive/ApplUI/Pages/CreativePages/CustomReportCreativeDetail.aspx?App=23&amp;ReportView=4&amp;Qid=1747207&amp;Row=3179&amp;Col=1","No Title Assigned - #15280274289")</f>
        <v/>
      </c>
      <c r="B545" t="inlineStr">
        <is>
          <t>15280274289</t>
        </is>
      </c>
      <c r="E545" t="inlineStr">
        <is>
          <t>Adidas</t>
        </is>
      </c>
      <c r="F545" t="inlineStr">
        <is>
          <t>Adidas : Online</t>
        </is>
      </c>
      <c r="G545" t="n">
        <v>46.1606</v>
      </c>
    </row>
    <row r="546">
      <c r="A546">
        <f>HYPERLINK("https://app.vivvix.com/360/KMI/IntelliDrive/ApplUI/Pages/CreativePages/CustomReportCreativeDetail.aspx?App=23&amp;ReportView=4&amp;Qid=1747207&amp;Row=3194&amp;Col=1","No Title Assigned - #15280336812")</f>
        <v/>
      </c>
      <c r="B546" t="inlineStr">
        <is>
          <t>15280336812</t>
        </is>
      </c>
      <c r="E546" t="inlineStr">
        <is>
          <t>Adidas</t>
        </is>
      </c>
      <c r="F546" t="inlineStr">
        <is>
          <t>Adidas : Online</t>
        </is>
      </c>
      <c r="G546" t="n">
        <v>46.1606</v>
      </c>
    </row>
    <row r="547">
      <c r="A547">
        <f>HYPERLINK("https://app.vivvix.com/360/KMI/IntelliDrive/ApplUI/Pages/CreativePages/CustomReportCreativeDetail.aspx?App=23&amp;ReportView=4&amp;Qid=1747207&amp;Row=3195&amp;Col=1","No Title Assigned - #15280350456")</f>
        <v/>
      </c>
      <c r="B547" t="inlineStr">
        <is>
          <t>15280350456</t>
        </is>
      </c>
      <c r="E547" t="inlineStr">
        <is>
          <t>Adidas</t>
        </is>
      </c>
      <c r="F547" t="inlineStr">
        <is>
          <t>Adidas Tiro 23 : Athleticwear Men</t>
        </is>
      </c>
      <c r="G547" t="n">
        <v>978.3714</v>
      </c>
    </row>
    <row r="548">
      <c r="A548">
        <f>HYPERLINK("https://app.vivvix.com/360/KMI/IntelliDrive/ApplUI/Pages/CreativePages/CustomReportCreativeDetail.aspx?App=23&amp;ReportView=4&amp;Qid=1747207&amp;Row=3198&amp;Col=1","No Title Assigned - #15280355547")</f>
        <v/>
      </c>
      <c r="B548" t="inlineStr">
        <is>
          <t>15280355547</t>
        </is>
      </c>
      <c r="E548" t="inlineStr">
        <is>
          <t>Adidas</t>
        </is>
      </c>
      <c r="F548" t="inlineStr">
        <is>
          <t>Adidas : Online</t>
        </is>
      </c>
      <c r="G548" t="n">
        <v>3351.7153</v>
      </c>
    </row>
    <row r="549">
      <c r="A549">
        <f>HYPERLINK("https://app.vivvix.com/360/KMI/IntelliDrive/ApplUI/Pages/CreativePages/CustomReportCreativeDetail.aspx?App=23&amp;ReportView=4&amp;Qid=1747207&amp;Row=3199&amp;Col=1","No Title Assigned - #15280355553")</f>
        <v/>
      </c>
      <c r="B549" t="inlineStr">
        <is>
          <t>15280355553</t>
        </is>
      </c>
      <c r="E549" t="inlineStr">
        <is>
          <t>Adidas</t>
        </is>
      </c>
      <c r="F549" t="inlineStr">
        <is>
          <t>Adidas : Online</t>
        </is>
      </c>
      <c r="G549" t="n">
        <v>286.6348</v>
      </c>
    </row>
    <row r="550">
      <c r="A550">
        <f>HYPERLINK("https://app.vivvix.com/360/KMI/IntelliDrive/ApplUI/Pages/CreativePages/CustomReportCreativeDetail.aspx?App=23&amp;ReportView=4&amp;Qid=1747207&amp;Row=3202&amp;Col=1","No Title Assigned - #15280361201")</f>
        <v/>
      </c>
      <c r="B550" t="inlineStr">
        <is>
          <t>15280361201</t>
        </is>
      </c>
      <c r="E550" t="inlineStr">
        <is>
          <t>Adidas</t>
        </is>
      </c>
      <c r="F550" t="inlineStr">
        <is>
          <t>Adidas : Online</t>
        </is>
      </c>
      <c r="G550" t="n">
        <v>561.2669</v>
      </c>
    </row>
    <row r="551">
      <c r="A551">
        <f>HYPERLINK("https://app.vivvix.com/360/KMI/IntelliDrive/ApplUI/Pages/CreativePages/CustomReportCreativeDetail.aspx?App=23&amp;ReportView=4&amp;Qid=1747207&amp;Row=3203&amp;Col=1","No Title Assigned - #15280367828")</f>
        <v/>
      </c>
      <c r="B551" t="inlineStr">
        <is>
          <t>15280367828</t>
        </is>
      </c>
      <c r="E551" t="inlineStr">
        <is>
          <t>Adidas</t>
        </is>
      </c>
      <c r="F551" t="inlineStr">
        <is>
          <t>Adidas : Online</t>
        </is>
      </c>
      <c r="G551" t="n">
        <v>192.621</v>
      </c>
    </row>
    <row r="552">
      <c r="A552">
        <f>HYPERLINK("https://app.vivvix.com/360/KMI/IntelliDrive/ApplUI/Pages/CreativePages/CustomReportCreativeDetail.aspx?App=23&amp;ReportView=4&amp;Qid=1747207&amp;Row=3205&amp;Col=1","No Title Assigned - #15280370860")</f>
        <v/>
      </c>
      <c r="B552" t="inlineStr">
        <is>
          <t>15280370860</t>
        </is>
      </c>
      <c r="E552" t="inlineStr">
        <is>
          <t>Adidas</t>
        </is>
      </c>
      <c r="F552" t="inlineStr">
        <is>
          <t>Adidas : Online</t>
        </is>
      </c>
      <c r="G552" t="n">
        <v>137.719</v>
      </c>
    </row>
    <row r="553">
      <c r="A553">
        <f>HYPERLINK("https://app.vivvix.com/360/KMI/IntelliDrive/ApplUI/Pages/CreativePages/CustomReportCreativeDetail.aspx?App=23&amp;ReportView=4&amp;Qid=1747207&amp;Row=3207&amp;Col=1","No Title Assigned - #15280372180")</f>
        <v/>
      </c>
      <c r="B553" t="inlineStr">
        <is>
          <t>15280372180</t>
        </is>
      </c>
      <c r="E553" t="inlineStr">
        <is>
          <t>Adidas</t>
        </is>
      </c>
      <c r="F553" t="inlineStr">
        <is>
          <t>Adidas : Online</t>
        </is>
      </c>
      <c r="G553" t="n">
        <v>137.719</v>
      </c>
    </row>
    <row r="554">
      <c r="A554">
        <f>HYPERLINK("https://app.vivvix.com/360/KMI/IntelliDrive/ApplUI/Pages/CreativePages/CustomReportCreativeDetail.aspx?App=23&amp;ReportView=4&amp;Qid=1747207&amp;Row=3208&amp;Col=1","No Title Assigned - #15280373896")</f>
        <v/>
      </c>
      <c r="B554" t="inlineStr">
        <is>
          <t>15280373896</t>
        </is>
      </c>
      <c r="E554" t="inlineStr">
        <is>
          <t>Adidas</t>
        </is>
      </c>
      <c r="F554" t="inlineStr">
        <is>
          <t>Adidas : Online</t>
        </is>
      </c>
      <c r="G554" t="n">
        <v>276.9636</v>
      </c>
    </row>
    <row r="555">
      <c r="A555">
        <f>HYPERLINK("https://app.vivvix.com/360/KMI/IntelliDrive/ApplUI/Pages/CreativePages/CustomReportCreativeDetail.aspx?App=23&amp;ReportView=4&amp;Qid=1747207&amp;Row=3216&amp;Col=1","No Title Assigned - #15280401699")</f>
        <v/>
      </c>
      <c r="B555" t="inlineStr">
        <is>
          <t>15280401699</t>
        </is>
      </c>
      <c r="E555" t="inlineStr">
        <is>
          <t>Adidas</t>
        </is>
      </c>
      <c r="F555" t="inlineStr">
        <is>
          <t>Adidas : Online</t>
        </is>
      </c>
      <c r="G555" t="n">
        <v>34.427</v>
      </c>
    </row>
    <row r="556">
      <c r="A556">
        <f>HYPERLINK("https://app.vivvix.com/360/KMI/IntelliDrive/ApplUI/Pages/CreativePages/CustomReportCreativeDetail.aspx?App=23&amp;ReportView=4&amp;Qid=1747207&amp;Row=3217&amp;Col=1","No Title Assigned - #15280402311")</f>
        <v/>
      </c>
      <c r="B556" t="inlineStr">
        <is>
          <t>15280402311</t>
        </is>
      </c>
      <c r="E556" t="inlineStr">
        <is>
          <t>Adidas</t>
        </is>
      </c>
      <c r="F556" t="inlineStr">
        <is>
          <t>Adidas : Online</t>
        </is>
      </c>
      <c r="G556" t="n">
        <v>263.3992</v>
      </c>
    </row>
    <row r="557">
      <c r="A557">
        <f>HYPERLINK("https://app.vivvix.com/360/KMI/IntelliDrive/ApplUI/Pages/CreativePages/CustomReportCreativeDetail.aspx?App=23&amp;ReportView=4&amp;Qid=1747207&amp;Row=3218&amp;Col=1","No Title Assigned - #15280403344")</f>
        <v/>
      </c>
      <c r="B557" t="inlineStr">
        <is>
          <t>15280403344</t>
        </is>
      </c>
      <c r="E557" t="inlineStr">
        <is>
          <t>Adidas</t>
        </is>
      </c>
      <c r="F557" t="inlineStr">
        <is>
          <t>Adidas : Online</t>
        </is>
      </c>
      <c r="G557" t="n">
        <v>46.1606</v>
      </c>
    </row>
    <row r="558">
      <c r="A558">
        <f>HYPERLINK("https://app.vivvix.com/360/KMI/IntelliDrive/ApplUI/Pages/CreativePages/CustomReportCreativeDetail.aspx?App=23&amp;ReportView=4&amp;Qid=1747207&amp;Row=3220&amp;Col=1","No Title Assigned - #15280406218")</f>
        <v/>
      </c>
      <c r="B558" t="inlineStr">
        <is>
          <t>15280406218</t>
        </is>
      </c>
      <c r="E558" t="inlineStr">
        <is>
          <t>Adidas</t>
        </is>
      </c>
      <c r="F558" t="inlineStr">
        <is>
          <t>Adidas : Online</t>
        </is>
      </c>
      <c r="G558" t="n">
        <v>46.1606</v>
      </c>
    </row>
    <row r="559">
      <c r="A559">
        <f>HYPERLINK("https://app.vivvix.com/360/KMI/IntelliDrive/ApplUI/Pages/CreativePages/CustomReportCreativeDetail.aspx?App=23&amp;ReportView=4&amp;Qid=1747207&amp;Row=3223&amp;Col=1","No Title Assigned - #15280406952")</f>
        <v/>
      </c>
      <c r="B559" t="inlineStr">
        <is>
          <t>15280406952</t>
        </is>
      </c>
      <c r="E559" t="inlineStr">
        <is>
          <t>Adidas</t>
        </is>
      </c>
      <c r="F559" t="inlineStr">
        <is>
          <t>Adidas : Online</t>
        </is>
      </c>
      <c r="G559" t="n">
        <v>68.854</v>
      </c>
    </row>
    <row r="560">
      <c r="A560">
        <f>HYPERLINK("https://app.vivvix.com/360/KMI/IntelliDrive/ApplUI/Pages/CreativePages/CustomReportCreativeDetail.aspx?App=23&amp;ReportView=4&amp;Qid=1747207&amp;Row=3231&amp;Col=1","No Title Assigned - #15280421118")</f>
        <v/>
      </c>
      <c r="B560" t="inlineStr">
        <is>
          <t>15280421118</t>
        </is>
      </c>
      <c r="E560" t="inlineStr">
        <is>
          <t>Adidas</t>
        </is>
      </c>
      <c r="F560" t="inlineStr">
        <is>
          <t>Adidas : Online</t>
        </is>
      </c>
      <c r="G560" t="n">
        <v>206.562</v>
      </c>
    </row>
    <row r="561">
      <c r="A561">
        <f>HYPERLINK("https://app.vivvix.com/360/KMI/IntelliDrive/ApplUI/Pages/CreativePages/CustomReportCreativeDetail.aspx?App=23&amp;ReportView=4&amp;Qid=1747207&amp;Row=3235&amp;Col=1","No Title Assigned - #15280450647")</f>
        <v/>
      </c>
      <c r="B561" t="inlineStr">
        <is>
          <t>15280450647</t>
        </is>
      </c>
      <c r="E561" t="inlineStr">
        <is>
          <t>Adidas</t>
        </is>
      </c>
      <c r="F561" t="inlineStr">
        <is>
          <t>Adidas : Online</t>
        </is>
      </c>
      <c r="G561" t="n">
        <v>340.2669</v>
      </c>
    </row>
    <row r="562">
      <c r="A562">
        <f>HYPERLINK("https://app.vivvix.com/360/KMI/IntelliDrive/ApplUI/Pages/CreativePages/CustomReportCreativeDetail.aspx?App=23&amp;ReportView=4&amp;Qid=1747207&amp;Row=3236&amp;Col=1","No Title Assigned - #15280450769")</f>
        <v/>
      </c>
      <c r="B562" t="inlineStr">
        <is>
          <t>15280450769</t>
        </is>
      </c>
      <c r="E562" t="inlineStr">
        <is>
          <t>Adidas</t>
        </is>
      </c>
      <c r="F562" t="inlineStr">
        <is>
          <t>Adidas : Online</t>
        </is>
      </c>
      <c r="G562" t="n">
        <v>219.3686</v>
      </c>
    </row>
    <row r="563">
      <c r="A563">
        <f>HYPERLINK("https://app.vivvix.com/360/KMI/IntelliDrive/ApplUI/Pages/CreativePages/CustomReportCreativeDetail.aspx?App=23&amp;ReportView=4&amp;Qid=1747207&amp;Row=3240&amp;Col=1","No Title Assigned - #15280453854")</f>
        <v/>
      </c>
      <c r="B563" t="inlineStr">
        <is>
          <t>15280453854</t>
        </is>
      </c>
      <c r="E563" t="inlineStr">
        <is>
          <t>Adidas</t>
        </is>
      </c>
      <c r="F563" t="inlineStr">
        <is>
          <t>Adidas : Online</t>
        </is>
      </c>
      <c r="G563" t="n">
        <v>269.8764</v>
      </c>
    </row>
    <row r="564">
      <c r="A564">
        <f>HYPERLINK("https://app.vivvix.com/360/KMI/IntelliDrive/ApplUI/Pages/CreativePages/CustomReportCreativeDetail.aspx?App=23&amp;ReportView=4&amp;Qid=1747207&amp;Row=3244&amp;Col=1","No Title Assigned - #15280457188")</f>
        <v/>
      </c>
      <c r="B564" t="inlineStr">
        <is>
          <t>15280457188</t>
        </is>
      </c>
      <c r="E564" t="inlineStr">
        <is>
          <t>Adidas</t>
        </is>
      </c>
      <c r="F564" t="inlineStr">
        <is>
          <t>Adidas : Online</t>
        </is>
      </c>
      <c r="G564" t="n">
        <v>141.5971</v>
      </c>
    </row>
    <row r="565">
      <c r="A565">
        <f>HYPERLINK("https://app.vivvix.com/360/KMI/IntelliDrive/ApplUI/Pages/CreativePages/CustomReportCreativeDetail.aspx?App=23&amp;ReportView=4&amp;Qid=1747207&amp;Row=3249&amp;Col=1","No Title Assigned - #15280465197")</f>
        <v/>
      </c>
      <c r="B565" t="inlineStr">
        <is>
          <t>15280465197</t>
        </is>
      </c>
      <c r="E565" t="inlineStr">
        <is>
          <t>Adidas</t>
        </is>
      </c>
      <c r="F565" t="inlineStr">
        <is>
          <t>Adidas : Online</t>
        </is>
      </c>
      <c r="G565" t="n">
        <v>34.427</v>
      </c>
    </row>
    <row r="566">
      <c r="A566">
        <f>HYPERLINK("https://app.vivvix.com/360/KMI/IntelliDrive/ApplUI/Pages/CreativePages/CustomReportCreativeDetail.aspx?App=23&amp;ReportView=4&amp;Qid=1747207&amp;Row=3250&amp;Col=1","No Title Assigned - #15280465256")</f>
        <v/>
      </c>
      <c r="B566" t="inlineStr">
        <is>
          <t>15280465256</t>
        </is>
      </c>
      <c r="E566" t="inlineStr">
        <is>
          <t>Adidas</t>
        </is>
      </c>
      <c r="F566" t="inlineStr">
        <is>
          <t>Adidas : Online</t>
        </is>
      </c>
      <c r="G566" t="n">
        <v>833.8579</v>
      </c>
    </row>
    <row r="567">
      <c r="A567">
        <f>HYPERLINK("https://app.vivvix.com/360/KMI/IntelliDrive/ApplUI/Pages/CreativePages/CustomReportCreativeDetail.aspx?App=23&amp;ReportView=4&amp;Qid=1747207&amp;Row=3258&amp;Col=1","No Title Assigned - #15280497635")</f>
        <v/>
      </c>
      <c r="B567" t="inlineStr">
        <is>
          <t>15280497635</t>
        </is>
      </c>
      <c r="E567" t="inlineStr">
        <is>
          <t>Adidas</t>
        </is>
      </c>
      <c r="F567" t="inlineStr">
        <is>
          <t>Adidas : Online</t>
        </is>
      </c>
      <c r="G567" t="n">
        <v>495.3361</v>
      </c>
    </row>
    <row r="568">
      <c r="A568">
        <f>HYPERLINK("https://app.vivvix.com/360/KMI/IntelliDrive/ApplUI/Pages/CreativePages/CustomReportCreativeDetail.aspx?App=23&amp;ReportView=4&amp;Qid=1747207&amp;Row=3263&amp;Col=1","No Title Assigned - #15280499145")</f>
        <v/>
      </c>
      <c r="B568" t="inlineStr">
        <is>
          <t>15280499145</t>
        </is>
      </c>
      <c r="E568" t="inlineStr">
        <is>
          <t>Adidas</t>
        </is>
      </c>
      <c r="F568" t="inlineStr">
        <is>
          <t>Adidas : Online</t>
        </is>
      </c>
      <c r="G568" t="n">
        <v>46.1606</v>
      </c>
    </row>
    <row r="569">
      <c r="A569">
        <f>HYPERLINK("https://app.vivvix.com/360/KMI/IntelliDrive/ApplUI/Pages/CreativePages/CustomReportCreativeDetail.aspx?App=23&amp;ReportView=4&amp;Qid=1747207&amp;Row=3264&amp;Col=1","No Title Assigned - #15280500263")</f>
        <v/>
      </c>
      <c r="B569" t="inlineStr">
        <is>
          <t>15280500263</t>
        </is>
      </c>
      <c r="E569" t="inlineStr">
        <is>
          <t>Adidas</t>
        </is>
      </c>
      <c r="F569" t="inlineStr">
        <is>
          <t>Adidas : Online</t>
        </is>
      </c>
      <c r="G569" t="n">
        <v>46.1606</v>
      </c>
    </row>
    <row r="570">
      <c r="A570">
        <f>HYPERLINK("https://app.vivvix.com/360/KMI/IntelliDrive/ApplUI/Pages/CreativePages/CustomReportCreativeDetail.aspx?App=23&amp;ReportView=4&amp;Qid=1747207&amp;Row=3265&amp;Col=1","No Title Assigned - #15280500955")</f>
        <v/>
      </c>
      <c r="B570" t="inlineStr">
        <is>
          <t>15280500955</t>
        </is>
      </c>
      <c r="E570" t="inlineStr">
        <is>
          <t>Adidas</t>
        </is>
      </c>
      <c r="F570" t="inlineStr">
        <is>
          <t>Adidas : Online</t>
        </is>
      </c>
      <c r="G570" t="n">
        <v>46.1606</v>
      </c>
    </row>
    <row r="571">
      <c r="A571">
        <f>HYPERLINK("https://app.vivvix.com/360/KMI/IntelliDrive/ApplUI/Pages/CreativePages/CustomReportCreativeDetail.aspx?App=23&amp;ReportView=4&amp;Qid=1747207&amp;Row=3266&amp;Col=1","No Title Assigned - #15280502882")</f>
        <v/>
      </c>
      <c r="B571" t="inlineStr">
        <is>
          <t>15280502882</t>
        </is>
      </c>
      <c r="E571" t="inlineStr">
        <is>
          <t>Adidas</t>
        </is>
      </c>
      <c r="F571" t="inlineStr">
        <is>
          <t>Adidas : Online</t>
        </is>
      </c>
      <c r="G571" t="n">
        <v>150.0352</v>
      </c>
    </row>
    <row r="572">
      <c r="A572">
        <f>HYPERLINK("https://app.vivvix.com/360/KMI/IntelliDrive/ApplUI/Pages/CreativePages/CustomReportCreativeDetail.aspx?App=23&amp;ReportView=4&amp;Qid=1747207&amp;Row=3273&amp;Col=1","No Title Assigned - #15280549157")</f>
        <v/>
      </c>
      <c r="B572" t="inlineStr">
        <is>
          <t>15280549157</t>
        </is>
      </c>
      <c r="E572" t="inlineStr">
        <is>
          <t>Adidas</t>
        </is>
      </c>
      <c r="F572" t="inlineStr">
        <is>
          <t>Adidas : Online</t>
        </is>
      </c>
      <c r="G572" t="n">
        <v>566.3845</v>
      </c>
    </row>
    <row r="573">
      <c r="A573">
        <f>HYPERLINK("https://app.vivvix.com/360/KMI/IntelliDrive/ApplUI/Pages/CreativePages/CustomReportCreativeDetail.aspx?App=23&amp;ReportView=4&amp;Qid=1747207&amp;Row=3276&amp;Col=1","No Title Assigned - #15280553889")</f>
        <v/>
      </c>
      <c r="B573" t="inlineStr">
        <is>
          <t>15280553889</t>
        </is>
      </c>
      <c r="E573" t="inlineStr">
        <is>
          <t>Adidas</t>
        </is>
      </c>
      <c r="F573" t="inlineStr">
        <is>
          <t>Adidas : Online</t>
        </is>
      </c>
      <c r="G573" t="n">
        <v>204.0621</v>
      </c>
    </row>
    <row r="574">
      <c r="A574">
        <f>HYPERLINK("https://app.vivvix.com/360/KMI/IntelliDrive/ApplUI/Pages/CreativePages/CustomReportCreativeDetail.aspx?App=23&amp;ReportView=4&amp;Qid=1747207&amp;Row=3277&amp;Col=1","No Title Assigned - #15280562891")</f>
        <v/>
      </c>
      <c r="B574" t="inlineStr">
        <is>
          <t>15280562891</t>
        </is>
      </c>
      <c r="E574" t="inlineStr">
        <is>
          <t>Adidas</t>
        </is>
      </c>
      <c r="F574" t="inlineStr">
        <is>
          <t>Adidas : Online</t>
        </is>
      </c>
      <c r="G574" t="n">
        <v>618.4626</v>
      </c>
    </row>
    <row r="575">
      <c r="A575">
        <f>HYPERLINK("https://app.vivvix.com/360/KMI/IntelliDrive/ApplUI/Pages/CreativePages/CustomReportCreativeDetail.aspx?App=23&amp;ReportView=4&amp;Qid=1747207&amp;Row=3278&amp;Col=1","No Title Assigned - #15280562892")</f>
        <v/>
      </c>
      <c r="B575" t="inlineStr">
        <is>
          <t>15280562892</t>
        </is>
      </c>
      <c r="E575" t="inlineStr">
        <is>
          <t>Adidas</t>
        </is>
      </c>
      <c r="F575" t="inlineStr">
        <is>
          <t>Adidas : Online</t>
        </is>
      </c>
      <c r="G575" t="n">
        <v>309.2313</v>
      </c>
    </row>
    <row r="576">
      <c r="A576">
        <f>HYPERLINK("https://app.vivvix.com/360/KMI/IntelliDrive/ApplUI/Pages/CreativePages/CustomReportCreativeDetail.aspx?App=23&amp;ReportView=4&amp;Qid=1747207&amp;Row=3279&amp;Col=1","No Title Assigned - #15280562893")</f>
        <v/>
      </c>
      <c r="B576" t="inlineStr">
        <is>
          <t>15280562893</t>
        </is>
      </c>
      <c r="E576" t="inlineStr">
        <is>
          <t>Adidas</t>
        </is>
      </c>
      <c r="F576" t="inlineStr">
        <is>
          <t>Adidas : Online</t>
        </is>
      </c>
      <c r="G576" t="n">
        <v>309.2313</v>
      </c>
    </row>
    <row r="577">
      <c r="A577">
        <f>HYPERLINK("https://app.vivvix.com/360/KMI/IntelliDrive/ApplUI/Pages/CreativePages/CustomReportCreativeDetail.aspx?App=23&amp;ReportView=4&amp;Qid=1747207&amp;Row=3281&amp;Col=1","No Title Assigned - #15280571941")</f>
        <v/>
      </c>
      <c r="B577" t="inlineStr">
        <is>
          <t>15280571941</t>
        </is>
      </c>
      <c r="E577" t="inlineStr">
        <is>
          <t>Adidas</t>
        </is>
      </c>
      <c r="F577" t="inlineStr">
        <is>
          <t>Adidas : Online</t>
        </is>
      </c>
      <c r="G577" t="n">
        <v>706.2738000000001</v>
      </c>
    </row>
    <row r="578">
      <c r="A578">
        <f>HYPERLINK("https://app.vivvix.com/360/KMI/IntelliDrive/ApplUI/Pages/CreativePages/CustomReportCreativeDetail.aspx?App=23&amp;ReportView=4&amp;Qid=1747207&amp;Row=3283&amp;Col=1","No Title Assigned - #15280587105")</f>
        <v/>
      </c>
      <c r="B578" t="inlineStr">
        <is>
          <t>15280587105</t>
        </is>
      </c>
      <c r="E578" t="inlineStr">
        <is>
          <t>Adidas</t>
        </is>
      </c>
      <c r="F578" t="inlineStr">
        <is>
          <t>Adidas : Online</t>
        </is>
      </c>
      <c r="G578" t="n">
        <v>46.1606</v>
      </c>
    </row>
    <row r="579">
      <c r="A579">
        <f>HYPERLINK("https://app.vivvix.com/360/KMI/IntelliDrive/ApplUI/Pages/CreativePages/CustomReportCreativeDetail.aspx?App=23&amp;ReportView=4&amp;Qid=1747207&amp;Row=3285&amp;Col=1","No Title Assigned - #15280592997")</f>
        <v/>
      </c>
      <c r="B579" t="inlineStr">
        <is>
          <t>15280592997</t>
        </is>
      </c>
      <c r="E579" t="inlineStr">
        <is>
          <t>Adidas</t>
        </is>
      </c>
      <c r="F579" t="inlineStr">
        <is>
          <t>Adidas : Online</t>
        </is>
      </c>
      <c r="G579" t="n">
        <v>134.5608</v>
      </c>
    </row>
    <row r="580">
      <c r="A580">
        <f>HYPERLINK("https://app.vivvix.com/360/KMI/IntelliDrive/ApplUI/Pages/CreativePages/CustomReportCreativeDetail.aspx?App=23&amp;ReportView=4&amp;Qid=1747207&amp;Row=3286&amp;Col=1","No Title Assigned - #15280594997")</f>
        <v/>
      </c>
      <c r="B580" t="inlineStr">
        <is>
          <t>15280594997</t>
        </is>
      </c>
      <c r="E580" t="inlineStr">
        <is>
          <t>Adidas</t>
        </is>
      </c>
      <c r="F580" t="inlineStr">
        <is>
          <t>Adidas : Online</t>
        </is>
      </c>
      <c r="G580" t="n">
        <v>46.1606</v>
      </c>
    </row>
    <row r="581">
      <c r="A581">
        <f>HYPERLINK("https://app.vivvix.com/360/KMI/IntelliDrive/ApplUI/Pages/CreativePages/CustomReportCreativeDetail.aspx?App=23&amp;ReportView=4&amp;Qid=1747207&amp;Row=3288&amp;Col=1","No Title Assigned - #15280601971")</f>
        <v/>
      </c>
      <c r="B581" t="inlineStr">
        <is>
          <t>15280601971</t>
        </is>
      </c>
      <c r="E581" t="inlineStr">
        <is>
          <t>Adidas</t>
        </is>
      </c>
      <c r="F581" t="inlineStr">
        <is>
          <t>Adidas : Online</t>
        </is>
      </c>
      <c r="G581" t="n">
        <v>46.1606</v>
      </c>
    </row>
    <row r="582">
      <c r="A582">
        <f>HYPERLINK("https://app.vivvix.com/360/KMI/IntelliDrive/ApplUI/Pages/CreativePages/CustomReportCreativeDetail.aspx?App=23&amp;ReportView=4&amp;Qid=1747207&amp;Row=3289&amp;Col=1","No Title Assigned - #15280602033")</f>
        <v/>
      </c>
      <c r="B582" t="inlineStr">
        <is>
          <t>15280602033</t>
        </is>
      </c>
      <c r="E582" t="inlineStr">
        <is>
          <t>Adidas</t>
        </is>
      </c>
      <c r="F582" t="inlineStr">
        <is>
          <t>Adidas : Online</t>
        </is>
      </c>
      <c r="G582" t="n">
        <v>92.3212</v>
      </c>
    </row>
    <row r="583">
      <c r="A583">
        <f>HYPERLINK("https://app.vivvix.com/360/KMI/IntelliDrive/ApplUI/Pages/CreativePages/CustomReportCreativeDetail.aspx?App=23&amp;ReportView=4&amp;Qid=1747207&amp;Row=3291&amp;Col=1","No Title Assigned - #15280612258")</f>
        <v/>
      </c>
      <c r="B583" t="inlineStr">
        <is>
          <t>15280612258</t>
        </is>
      </c>
      <c r="E583" t="inlineStr">
        <is>
          <t>Adidas</t>
        </is>
      </c>
      <c r="F583" t="inlineStr">
        <is>
          <t>Adidas : Online</t>
        </is>
      </c>
      <c r="G583" t="n">
        <v>92.3212</v>
      </c>
    </row>
    <row r="584">
      <c r="A584">
        <f>HYPERLINK("https://app.vivvix.com/360/KMI/IntelliDrive/ApplUI/Pages/CreativePages/CustomReportCreativeDetail.aspx?App=23&amp;ReportView=4&amp;Qid=1747207&amp;Row=3294&amp;Col=1","No Title Assigned - #15280637573")</f>
        <v/>
      </c>
      <c r="B584" t="inlineStr">
        <is>
          <t>15280637573</t>
        </is>
      </c>
      <c r="E584" t="inlineStr">
        <is>
          <t>Adidas</t>
        </is>
      </c>
      <c r="F584" t="inlineStr">
        <is>
          <t>Adidas : Online</t>
        </is>
      </c>
      <c r="G584" t="n">
        <v>46.1606</v>
      </c>
    </row>
    <row r="585">
      <c r="A585">
        <f>HYPERLINK("https://app.vivvix.com/360/KMI/IntelliDrive/ApplUI/Pages/CreativePages/CustomReportCreativeDetail.aspx?App=23&amp;ReportView=4&amp;Qid=1747207&amp;Row=3296&amp;Col=1","No Title Assigned - #15280641491")</f>
        <v/>
      </c>
      <c r="B585" t="inlineStr">
        <is>
          <t>15280641491</t>
        </is>
      </c>
      <c r="E585" t="inlineStr">
        <is>
          <t>Adidas</t>
        </is>
      </c>
      <c r="F585" t="inlineStr">
        <is>
          <t>Adidas : Online</t>
        </is>
      </c>
      <c r="G585" t="n">
        <v>116.2636</v>
      </c>
    </row>
    <row r="586">
      <c r="A586">
        <f>HYPERLINK("https://app.vivvix.com/360/KMI/IntelliDrive/ApplUI/Pages/CreativePages/CustomReportCreativeDetail.aspx?App=23&amp;ReportView=4&amp;Qid=1747207&amp;Row=3297&amp;Col=1","No Title Assigned - #15280641703")</f>
        <v/>
      </c>
      <c r="B586" t="inlineStr">
        <is>
          <t>15280641703</t>
        </is>
      </c>
      <c r="E586" t="inlineStr">
        <is>
          <t>Adidas</t>
        </is>
      </c>
      <c r="F586" t="inlineStr">
        <is>
          <t>Adidas : Online</t>
        </is>
      </c>
      <c r="G586" t="n">
        <v>46.1606</v>
      </c>
    </row>
    <row r="587">
      <c r="A587">
        <f>HYPERLINK("https://app.vivvix.com/360/KMI/IntelliDrive/ApplUI/Pages/CreativePages/CustomReportCreativeDetail.aspx?App=23&amp;ReportView=4&amp;Qid=1747207&amp;Row=3300&amp;Col=1","No Title Assigned - #15280672553")</f>
        <v/>
      </c>
      <c r="B587" t="inlineStr">
        <is>
          <t>15280672553</t>
        </is>
      </c>
      <c r="E587" t="inlineStr">
        <is>
          <t>Adidas</t>
        </is>
      </c>
      <c r="F587" t="inlineStr">
        <is>
          <t>Adidas : Online</t>
        </is>
      </c>
      <c r="G587" t="n">
        <v>583.9953</v>
      </c>
    </row>
    <row r="588">
      <c r="A588">
        <f>HYPERLINK("https://app.vivvix.com/360/KMI/IntelliDrive/ApplUI/Pages/CreativePages/CustomReportCreativeDetail.aspx?App=23&amp;ReportView=4&amp;Qid=1747207&amp;Row=3303&amp;Col=1","No Title Assigned - #15280681386")</f>
        <v/>
      </c>
      <c r="B588" t="inlineStr">
        <is>
          <t>15280681386</t>
        </is>
      </c>
      <c r="E588" t="inlineStr">
        <is>
          <t>Adidas</t>
        </is>
      </c>
      <c r="F588" t="inlineStr">
        <is>
          <t>Adidas : Online</t>
        </is>
      </c>
      <c r="G588" t="n">
        <v>390.9628</v>
      </c>
    </row>
    <row r="589">
      <c r="A589">
        <f>HYPERLINK("https://app.vivvix.com/360/KMI/IntelliDrive/ApplUI/Pages/CreativePages/CustomReportCreativeDetail.aspx?App=23&amp;ReportView=4&amp;Qid=1747207&amp;Row=3307&amp;Col=1","No Title Assigned - #15280689543")</f>
        <v/>
      </c>
      <c r="B589" t="inlineStr">
        <is>
          <t>15280689543</t>
        </is>
      </c>
      <c r="E589" t="inlineStr">
        <is>
          <t>Adidas</t>
        </is>
      </c>
      <c r="F589" t="inlineStr">
        <is>
          <t>Adidas : Online</t>
        </is>
      </c>
      <c r="G589" t="n">
        <v>158.875</v>
      </c>
    </row>
    <row r="590">
      <c r="A590">
        <f>HYPERLINK("https://app.vivvix.com/360/KMI/IntelliDrive/ApplUI/Pages/CreativePages/CustomReportCreativeDetail.aspx?App=23&amp;ReportView=4&amp;Qid=1747207&amp;Row=3309&amp;Col=1","No Title Assigned - #15280691008")</f>
        <v/>
      </c>
      <c r="B590" t="inlineStr">
        <is>
          <t>15280691008</t>
        </is>
      </c>
      <c r="E590" t="inlineStr">
        <is>
          <t>Adidas</t>
        </is>
      </c>
      <c r="F590" t="inlineStr">
        <is>
          <t>Adidas : Online</t>
        </is>
      </c>
      <c r="G590" t="n">
        <v>447.5433</v>
      </c>
    </row>
    <row r="591">
      <c r="A591">
        <f>HYPERLINK("https://app.vivvix.com/360/KMI/IntelliDrive/ApplUI/Pages/CreativePages/CustomReportCreativeDetail.aspx?App=23&amp;ReportView=4&amp;Qid=1747207&amp;Row=3313&amp;Col=1","No Title Assigned - #15280695013")</f>
        <v/>
      </c>
      <c r="B591" t="inlineStr">
        <is>
          <t>15280695013</t>
        </is>
      </c>
      <c r="E591" t="inlineStr">
        <is>
          <t>Adidas</t>
        </is>
      </c>
      <c r="F591" t="inlineStr">
        <is>
          <t>Adidas : Online</t>
        </is>
      </c>
      <c r="G591" t="n">
        <v>113.2769</v>
      </c>
    </row>
    <row r="592">
      <c r="A592">
        <f>HYPERLINK("https://app.vivvix.com/360/KMI/IntelliDrive/ApplUI/Pages/CreativePages/CustomReportCreativeDetail.aspx?App=23&amp;ReportView=4&amp;Qid=1747207&amp;Row=3314&amp;Col=1","No Title Assigned - #15280695022")</f>
        <v/>
      </c>
      <c r="B592" t="inlineStr">
        <is>
          <t>15280695022</t>
        </is>
      </c>
      <c r="E592" t="inlineStr">
        <is>
          <t>Adidas</t>
        </is>
      </c>
      <c r="F592" t="inlineStr">
        <is>
          <t>Adidas : Online</t>
        </is>
      </c>
      <c r="G592" t="n">
        <v>113.2769</v>
      </c>
    </row>
    <row r="593">
      <c r="A593">
        <f>HYPERLINK("https://app.vivvix.com/360/KMI/IntelliDrive/ApplUI/Pages/CreativePages/CustomReportCreativeDetail.aspx?App=23&amp;ReportView=4&amp;Qid=1747207&amp;Row=3315&amp;Col=1","No Title Assigned - #15280701337")</f>
        <v/>
      </c>
      <c r="B593" t="inlineStr">
        <is>
          <t>15280701337</t>
        </is>
      </c>
      <c r="E593" t="inlineStr">
        <is>
          <t>Adidas</t>
        </is>
      </c>
      <c r="F593" t="inlineStr">
        <is>
          <t>Adidas : Online</t>
        </is>
      </c>
      <c r="G593" t="n">
        <v>34.427</v>
      </c>
    </row>
    <row r="594">
      <c r="A594">
        <f>HYPERLINK("https://app.vivvix.com/360/KMI/IntelliDrive/ApplUI/Pages/CreativePages/CustomReportCreativeDetail.aspx?App=23&amp;ReportView=4&amp;Qid=1747207&amp;Row=3316&amp;Col=1","No Title Assigned - #15280703365")</f>
        <v/>
      </c>
      <c r="B594" t="inlineStr">
        <is>
          <t>15280703365</t>
        </is>
      </c>
      <c r="E594" t="inlineStr">
        <is>
          <t>Adidas</t>
        </is>
      </c>
      <c r="F594" t="inlineStr">
        <is>
          <t>Adidas : Online</t>
        </is>
      </c>
      <c r="G594" t="n">
        <v>339.8307</v>
      </c>
    </row>
    <row r="595">
      <c r="A595">
        <f>HYPERLINK("https://app.vivvix.com/360/KMI/IntelliDrive/ApplUI/Pages/CreativePages/CustomReportCreativeDetail.aspx?App=23&amp;ReportView=4&amp;Qid=1747207&amp;Row=3317&amp;Col=1","No Title Assigned - #15280703377")</f>
        <v/>
      </c>
      <c r="B595" t="inlineStr">
        <is>
          <t>15280703377</t>
        </is>
      </c>
      <c r="E595" t="inlineStr">
        <is>
          <t>Adidas</t>
        </is>
      </c>
      <c r="F595" t="inlineStr">
        <is>
          <t>Adidas : Online</t>
        </is>
      </c>
      <c r="G595" t="n">
        <v>453.1076</v>
      </c>
    </row>
    <row r="596">
      <c r="A596">
        <f>HYPERLINK("https://app.vivvix.com/360/KMI/IntelliDrive/ApplUI/Pages/CreativePages/CustomReportCreativeDetail.aspx?App=23&amp;ReportView=4&amp;Qid=1747207&amp;Row=3318&amp;Col=1","No Title Assigned - #15280703384")</f>
        <v/>
      </c>
      <c r="B596" t="inlineStr">
        <is>
          <t>15280703384</t>
        </is>
      </c>
      <c r="E596" t="inlineStr">
        <is>
          <t>Adidas</t>
        </is>
      </c>
      <c r="F596" t="inlineStr">
        <is>
          <t>Adidas : Online</t>
        </is>
      </c>
      <c r="G596" t="n">
        <v>566.3845</v>
      </c>
    </row>
    <row r="597">
      <c r="A597">
        <f>HYPERLINK("https://app.vivvix.com/360/KMI/IntelliDrive/ApplUI/Pages/CreativePages/CustomReportCreativeDetail.aspx?App=23&amp;ReportView=4&amp;Qid=1747207&amp;Row=3320&amp;Col=1","No Title Assigned - #15280724860")</f>
        <v/>
      </c>
      <c r="B597" t="inlineStr">
        <is>
          <t>15280724860</t>
        </is>
      </c>
      <c r="E597" t="inlineStr">
        <is>
          <t>Adidas</t>
        </is>
      </c>
      <c r="F597" t="inlineStr">
        <is>
          <t>Adidas : Online</t>
        </is>
      </c>
      <c r="G597" t="n">
        <v>92.3212</v>
      </c>
    </row>
    <row r="598">
      <c r="A598">
        <f>HYPERLINK("https://app.vivvix.com/360/KMI/IntelliDrive/ApplUI/Pages/CreativePages/CustomReportCreativeDetail.aspx?App=23&amp;ReportView=4&amp;Qid=1747207&amp;Row=3322&amp;Col=1","No Title Assigned - #15280725396")</f>
        <v/>
      </c>
      <c r="B598" t="inlineStr">
        <is>
          <t>15280725396</t>
        </is>
      </c>
      <c r="E598" t="inlineStr">
        <is>
          <t>Adidas</t>
        </is>
      </c>
      <c r="F598" t="inlineStr">
        <is>
          <t>Adidas : Online</t>
        </is>
      </c>
      <c r="G598" t="n">
        <v>92.3212</v>
      </c>
    </row>
    <row r="599">
      <c r="A599">
        <f>HYPERLINK("https://app.vivvix.com/360/KMI/IntelliDrive/ApplUI/Pages/CreativePages/CustomReportCreativeDetail.aspx?App=23&amp;ReportView=4&amp;Qid=1747207&amp;Row=3323&amp;Col=1","No Title Assigned - #15280726633")</f>
        <v/>
      </c>
      <c r="B599" t="inlineStr">
        <is>
          <t>15280726633</t>
        </is>
      </c>
      <c r="E599" t="inlineStr">
        <is>
          <t>Adidas</t>
        </is>
      </c>
      <c r="F599" t="inlineStr">
        <is>
          <t>Adidas : Online</t>
        </is>
      </c>
      <c r="G599" t="n">
        <v>120.8</v>
      </c>
    </row>
    <row r="600">
      <c r="A600">
        <f>HYPERLINK("https://app.vivvix.com/360/KMI/IntelliDrive/ApplUI/Pages/CreativePages/CustomReportCreativeDetail.aspx?App=23&amp;ReportView=4&amp;Qid=1747207&amp;Row=3324&amp;Col=1","No Title Assigned - #15280728619")</f>
        <v/>
      </c>
      <c r="B600" t="inlineStr">
        <is>
          <t>15280728619</t>
        </is>
      </c>
      <c r="E600" t="inlineStr">
        <is>
          <t>Adidas</t>
        </is>
      </c>
      <c r="F600" t="inlineStr">
        <is>
          <t>Adidas : Online</t>
        </is>
      </c>
      <c r="G600" t="n">
        <v>103.8746</v>
      </c>
    </row>
    <row r="601">
      <c r="A601">
        <f>HYPERLINK("https://app.vivvix.com/360/KMI/IntelliDrive/ApplUI/Pages/CreativePages/CustomReportCreativeDetail.aspx?App=23&amp;ReportView=4&amp;Qid=1747207&amp;Row=3325&amp;Col=1","No Title Assigned - #15280728971")</f>
        <v/>
      </c>
      <c r="B601" t="inlineStr">
        <is>
          <t>15280728971</t>
        </is>
      </c>
      <c r="E601" t="inlineStr">
        <is>
          <t>Adidas</t>
        </is>
      </c>
      <c r="F601" t="inlineStr">
        <is>
          <t>Adidas : Online</t>
        </is>
      </c>
      <c r="G601" t="n">
        <v>46.1606</v>
      </c>
    </row>
    <row r="602">
      <c r="A602">
        <f>HYPERLINK("https://app.vivvix.com/360/KMI/IntelliDrive/ApplUI/Pages/CreativePages/CustomReportCreativeDetail.aspx?App=23&amp;ReportView=4&amp;Qid=1747207&amp;Row=3326&amp;Col=1","No Title Assigned - #15280729737")</f>
        <v/>
      </c>
      <c r="B602" t="inlineStr">
        <is>
          <t>15280729737</t>
        </is>
      </c>
      <c r="E602" t="inlineStr">
        <is>
          <t>Adidas</t>
        </is>
      </c>
      <c r="F602" t="inlineStr">
        <is>
          <t>Adidas : Online</t>
        </is>
      </c>
      <c r="G602" t="n">
        <v>2798.9995</v>
      </c>
    </row>
    <row r="603">
      <c r="A603">
        <f>HYPERLINK("https://app.vivvix.com/360/KMI/IntelliDrive/ApplUI/Pages/CreativePages/CustomReportCreativeDetail.aspx?App=23&amp;ReportView=4&amp;Qid=1747207&amp;Row=3328&amp;Col=1","No Title Assigned - #15280732175")</f>
        <v/>
      </c>
      <c r="B603" t="inlineStr">
        <is>
          <t>15280732175</t>
        </is>
      </c>
      <c r="E603" t="inlineStr">
        <is>
          <t>Adidas</t>
        </is>
      </c>
      <c r="F603" t="inlineStr">
        <is>
          <t>Adidas : Online</t>
        </is>
      </c>
      <c r="G603" t="n">
        <v>46.1606</v>
      </c>
    </row>
    <row r="604">
      <c r="A604">
        <f>HYPERLINK("https://app.vivvix.com/360/KMI/IntelliDrive/ApplUI/Pages/CreativePages/CustomReportCreativeDetail.aspx?App=23&amp;ReportView=4&amp;Qid=1747207&amp;Row=3330&amp;Col=1","No Title Assigned - #15280732951")</f>
        <v/>
      </c>
      <c r="B604" t="inlineStr">
        <is>
          <t>15280732951</t>
        </is>
      </c>
      <c r="E604" t="inlineStr">
        <is>
          <t>Adidas</t>
        </is>
      </c>
      <c r="F604" t="inlineStr">
        <is>
          <t>Adidas : Online</t>
        </is>
      </c>
      <c r="G604" t="n">
        <v>46.1606</v>
      </c>
    </row>
    <row r="605">
      <c r="A605">
        <f>HYPERLINK("https://app.vivvix.com/360/KMI/IntelliDrive/ApplUI/Pages/CreativePages/CustomReportCreativeDetail.aspx?App=23&amp;ReportView=4&amp;Qid=1747207&amp;Row=3331&amp;Col=1","No Title Assigned - #15280733098")</f>
        <v/>
      </c>
      <c r="B605" t="inlineStr">
        <is>
          <t>15280733098</t>
        </is>
      </c>
      <c r="E605" t="inlineStr">
        <is>
          <t>Adidas</t>
        </is>
      </c>
      <c r="F605" t="inlineStr">
        <is>
          <t>Adidas : Online</t>
        </is>
      </c>
      <c r="G605" t="n">
        <v>46.1606</v>
      </c>
    </row>
    <row r="606">
      <c r="A606">
        <f>HYPERLINK("https://app.vivvix.com/360/KMI/IntelliDrive/ApplUI/Pages/CreativePages/CustomReportCreativeDetail.aspx?App=23&amp;ReportView=4&amp;Qid=1747207&amp;Row=3335&amp;Col=1","No Title Assigned - #15280737284")</f>
        <v/>
      </c>
      <c r="B606" t="inlineStr">
        <is>
          <t>15280737284</t>
        </is>
      </c>
      <c r="E606" t="inlineStr">
        <is>
          <t>Adidas</t>
        </is>
      </c>
      <c r="F606" t="inlineStr">
        <is>
          <t>Adidas : Online</t>
        </is>
      </c>
      <c r="G606" t="n">
        <v>412.8685</v>
      </c>
    </row>
    <row r="607">
      <c r="A607">
        <f>HYPERLINK("https://app.vivvix.com/360/KMI/IntelliDrive/ApplUI/Pages/CreativePages/CustomReportCreativeDetail.aspx?App=23&amp;ReportView=4&amp;Qid=1747207&amp;Row=3338&amp;Col=1","No Title Assigned - #15280738425")</f>
        <v/>
      </c>
      <c r="B607" t="inlineStr">
        <is>
          <t>15280738425</t>
        </is>
      </c>
      <c r="E607" t="inlineStr">
        <is>
          <t>Adidas</t>
        </is>
      </c>
      <c r="F607" t="inlineStr">
        <is>
          <t>Adidas : Online</t>
        </is>
      </c>
      <c r="G607" t="n">
        <v>113.2769</v>
      </c>
    </row>
    <row r="608">
      <c r="A608">
        <f>HYPERLINK("https://app.vivvix.com/360/KMI/IntelliDrive/ApplUI/Pages/CreativePages/CustomReportCreativeDetail.aspx?App=23&amp;ReportView=4&amp;Qid=1747207&amp;Row=3339&amp;Col=1","No Title Assigned - #15280738459")</f>
        <v/>
      </c>
      <c r="B608" t="inlineStr">
        <is>
          <t>15280738459</t>
        </is>
      </c>
      <c r="E608" t="inlineStr">
        <is>
          <t>Adidas</t>
        </is>
      </c>
      <c r="F608" t="inlineStr">
        <is>
          <t>Adidas : Online</t>
        </is>
      </c>
      <c r="G608" t="n">
        <v>226.5538</v>
      </c>
    </row>
    <row r="609">
      <c r="A609">
        <f>HYPERLINK("https://app.vivvix.com/360/KMI/IntelliDrive/ApplUI/Pages/CreativePages/CustomReportCreativeDetail.aspx?App=23&amp;ReportView=4&amp;Qid=1747207&amp;Row=3341&amp;Col=1","No Title Assigned - #15280738479")</f>
        <v/>
      </c>
      <c r="B609" t="inlineStr">
        <is>
          <t>15280738479</t>
        </is>
      </c>
      <c r="E609" t="inlineStr">
        <is>
          <t>Adidas</t>
        </is>
      </c>
      <c r="F609" t="inlineStr">
        <is>
          <t>Adidas : Online</t>
        </is>
      </c>
      <c r="G609" t="n">
        <v>113.2769</v>
      </c>
    </row>
    <row r="610">
      <c r="A610">
        <f>HYPERLINK("https://app.vivvix.com/360/KMI/IntelliDrive/ApplUI/Pages/CreativePages/CustomReportCreativeDetail.aspx?App=23&amp;ReportView=4&amp;Qid=1747207&amp;Row=3345&amp;Col=1","No Title Assigned - #15280738523")</f>
        <v/>
      </c>
      <c r="B610" t="inlineStr">
        <is>
          <t>15280738523</t>
        </is>
      </c>
      <c r="E610" t="inlineStr">
        <is>
          <t>Adidas</t>
        </is>
      </c>
      <c r="F610" t="inlineStr">
        <is>
          <t>Adidas : Online</t>
        </is>
      </c>
      <c r="G610" t="n">
        <v>113.2769</v>
      </c>
    </row>
    <row r="611">
      <c r="A611">
        <f>HYPERLINK("https://app.vivvix.com/360/KMI/IntelliDrive/ApplUI/Pages/CreativePages/CustomReportCreativeDetail.aspx?App=23&amp;ReportView=4&amp;Qid=1747207&amp;Row=3346&amp;Col=1","No Title Assigned - #15280739022")</f>
        <v/>
      </c>
      <c r="B611" t="inlineStr">
        <is>
          <t>15280739022</t>
        </is>
      </c>
      <c r="E611" t="inlineStr">
        <is>
          <t>Adidas</t>
        </is>
      </c>
      <c r="F611" t="inlineStr">
        <is>
          <t>Adidas : Online</t>
        </is>
      </c>
      <c r="G611" t="n">
        <v>34.427</v>
      </c>
    </row>
    <row r="612">
      <c r="A612">
        <f>HYPERLINK("https://app.vivvix.com/360/KMI/IntelliDrive/ApplUI/Pages/CreativePages/CustomReportCreativeDetail.aspx?App=23&amp;ReportView=4&amp;Qid=1747207&amp;Row=3347&amp;Col=1","No Title Assigned - #15280739039")</f>
        <v/>
      </c>
      <c r="B612" t="inlineStr">
        <is>
          <t>15280739039</t>
        </is>
      </c>
      <c r="E612" t="inlineStr">
        <is>
          <t>Adidas</t>
        </is>
      </c>
      <c r="F612" t="inlineStr">
        <is>
          <t>Adidas : Online</t>
        </is>
      </c>
      <c r="G612" t="n">
        <v>34.427</v>
      </c>
    </row>
    <row r="613">
      <c r="A613">
        <f>HYPERLINK("https://app.vivvix.com/360/KMI/IntelliDrive/ApplUI/Pages/CreativePages/CustomReportCreativeDetail.aspx?App=23&amp;ReportView=4&amp;Qid=1747207&amp;Row=3348&amp;Col=1","No Title Assigned - #15280742658")</f>
        <v/>
      </c>
      <c r="B613" t="inlineStr">
        <is>
          <t>15280742658</t>
        </is>
      </c>
      <c r="E613" t="inlineStr">
        <is>
          <t>Adidas</t>
        </is>
      </c>
      <c r="F613" t="inlineStr">
        <is>
          <t>Adidas : Online</t>
        </is>
      </c>
      <c r="G613" t="n">
        <v>34.427</v>
      </c>
    </row>
    <row r="614">
      <c r="A614">
        <f>HYPERLINK("https://app.vivvix.com/360/KMI/IntelliDrive/ApplUI/Pages/CreativePages/CustomReportCreativeDetail.aspx?App=23&amp;ReportView=4&amp;Qid=1747207&amp;Row=3349&amp;Col=1","No Title Assigned - #15280764731")</f>
        <v/>
      </c>
      <c r="B614" t="inlineStr">
        <is>
          <t>15280764731</t>
        </is>
      </c>
      <c r="E614" t="inlineStr">
        <is>
          <t>Adidas</t>
        </is>
      </c>
      <c r="F614" t="inlineStr">
        <is>
          <t>Adidas : Online</t>
        </is>
      </c>
      <c r="G614" t="n">
        <v>134.5608</v>
      </c>
    </row>
    <row r="615">
      <c r="A615">
        <f>HYPERLINK("https://app.vivvix.com/360/KMI/IntelliDrive/ApplUI/Pages/CreativePages/CustomReportCreativeDetail.aspx?App=23&amp;ReportView=4&amp;Qid=1747207&amp;Row=3350&amp;Col=1","No Title Assigned - #15280766702")</f>
        <v/>
      </c>
      <c r="B615" t="inlineStr">
        <is>
          <t>15280766702</t>
        </is>
      </c>
      <c r="E615" t="inlineStr">
        <is>
          <t>Adidas</t>
        </is>
      </c>
      <c r="F615" t="inlineStr">
        <is>
          <t>Adidas : Online</t>
        </is>
      </c>
      <c r="G615" t="n">
        <v>46.1606</v>
      </c>
    </row>
    <row r="616">
      <c r="A616">
        <f>HYPERLINK("https://app.vivvix.com/360/KMI/IntelliDrive/ApplUI/Pages/CreativePages/CustomReportCreativeDetail.aspx?App=23&amp;ReportView=4&amp;Qid=1747207&amp;Row=3351&amp;Col=1","No Title Assigned - #15280766703")</f>
        <v/>
      </c>
      <c r="B616" t="inlineStr">
        <is>
          <t>15280766703</t>
        </is>
      </c>
      <c r="E616" t="inlineStr">
        <is>
          <t>Adidas</t>
        </is>
      </c>
      <c r="F616" t="inlineStr">
        <is>
          <t>Adidas : Online</t>
        </is>
      </c>
      <c r="G616" t="n">
        <v>46.1606</v>
      </c>
    </row>
    <row r="617">
      <c r="A617">
        <f>HYPERLINK("https://app.vivvix.com/360/KMI/IntelliDrive/ApplUI/Pages/CreativePages/CustomReportCreativeDetail.aspx?App=23&amp;ReportView=4&amp;Qid=1747207&amp;Row=3353&amp;Col=1","No Title Assigned - #15280769876")</f>
        <v/>
      </c>
      <c r="B617" t="inlineStr">
        <is>
          <t>15280769876</t>
        </is>
      </c>
      <c r="E617" t="inlineStr">
        <is>
          <t>Adidas</t>
        </is>
      </c>
      <c r="F617" t="inlineStr">
        <is>
          <t>Adidas : Online</t>
        </is>
      </c>
      <c r="G617" t="n">
        <v>46.1606</v>
      </c>
    </row>
    <row r="618">
      <c r="A618">
        <f>HYPERLINK("https://app.vivvix.com/360/KMI/IntelliDrive/ApplUI/Pages/CreativePages/CustomReportCreativeDetail.aspx?App=23&amp;ReportView=4&amp;Qid=1747207&amp;Row=3354&amp;Col=1","No Title Assigned - #15280773912")</f>
        <v/>
      </c>
      <c r="B618" t="inlineStr">
        <is>
          <t>15280773912</t>
        </is>
      </c>
      <c r="E618" t="inlineStr">
        <is>
          <t>Adidas</t>
        </is>
      </c>
      <c r="F618" t="inlineStr">
        <is>
          <t>Adidas : Online</t>
        </is>
      </c>
      <c r="G618" t="n">
        <v>46.1606</v>
      </c>
    </row>
    <row r="619">
      <c r="A619">
        <f>HYPERLINK("https://app.vivvix.com/360/KMI/IntelliDrive/ApplUI/Pages/CreativePages/CustomReportCreativeDetail.aspx?App=23&amp;ReportView=4&amp;Qid=1747207&amp;Row=3357&amp;Col=1","No Title Assigned - #15280777498")</f>
        <v/>
      </c>
      <c r="B619" t="inlineStr">
        <is>
          <t>15280777498</t>
        </is>
      </c>
      <c r="E619" t="inlineStr">
        <is>
          <t>Adidas</t>
        </is>
      </c>
      <c r="F619" t="inlineStr">
        <is>
          <t>Adidas : Online</t>
        </is>
      </c>
      <c r="G619" t="n">
        <v>46.1606</v>
      </c>
    </row>
    <row r="620">
      <c r="A620">
        <f>HYPERLINK("https://app.vivvix.com/360/KMI/IntelliDrive/ApplUI/Pages/CreativePages/CustomReportCreativeDetail.aspx?App=23&amp;ReportView=4&amp;Qid=1747207&amp;Row=3358&amp;Col=1","No Title Assigned - #15280779151")</f>
        <v/>
      </c>
      <c r="B620" t="inlineStr">
        <is>
          <t>15280779151</t>
        </is>
      </c>
      <c r="E620" t="inlineStr">
        <is>
          <t>Adidas</t>
        </is>
      </c>
      <c r="F620" t="inlineStr">
        <is>
          <t>Adidas : Online</t>
        </is>
      </c>
      <c r="G620" t="n">
        <v>404.5397</v>
      </c>
    </row>
    <row r="621">
      <c r="A621">
        <f>HYPERLINK("https://app.vivvix.com/360/KMI/IntelliDrive/ApplUI/Pages/CreativePages/CustomReportCreativeDetail.aspx?App=23&amp;ReportView=4&amp;Qid=1747207&amp;Row=3362&amp;Col=1","No Title Assigned - #15280785625")</f>
        <v/>
      </c>
      <c r="B621" t="inlineStr">
        <is>
          <t>15280785625</t>
        </is>
      </c>
      <c r="E621" t="inlineStr">
        <is>
          <t>Adidas</t>
        </is>
      </c>
      <c r="F621" t="inlineStr">
        <is>
          <t>Adidas : Online</t>
        </is>
      </c>
      <c r="G621" t="n">
        <v>46.1606</v>
      </c>
    </row>
    <row r="622">
      <c r="A622">
        <f>HYPERLINK("https://app.vivvix.com/360/KMI/IntelliDrive/ApplUI/Pages/CreativePages/CustomReportCreativeDetail.aspx?App=23&amp;ReportView=4&amp;Qid=1747207&amp;Row=3364&amp;Col=1","No Title Assigned - #15280811121")</f>
        <v/>
      </c>
      <c r="B622" t="inlineStr">
        <is>
          <t>15280811121</t>
        </is>
      </c>
      <c r="E622" t="inlineStr">
        <is>
          <t>Adidas</t>
        </is>
      </c>
      <c r="F622" t="inlineStr">
        <is>
          <t>Adidas : Online</t>
        </is>
      </c>
      <c r="G622" t="n">
        <v>281.0878</v>
      </c>
    </row>
    <row r="623">
      <c r="A623">
        <f>HYPERLINK("https://app.vivvix.com/360/KMI/IntelliDrive/ApplUI/Pages/CreativePages/CustomReportCreativeDetail.aspx?App=23&amp;ReportView=4&amp;Qid=1747207&amp;Row=3365&amp;Col=1","No Title Assigned - #15280811723")</f>
        <v/>
      </c>
      <c r="B623" t="inlineStr">
        <is>
          <t>15280811723</t>
        </is>
      </c>
      <c r="E623" t="inlineStr">
        <is>
          <t>Adidas</t>
        </is>
      </c>
      <c r="F623" t="inlineStr">
        <is>
          <t>Adidas : Online</t>
        </is>
      </c>
      <c r="G623" t="n">
        <v>765.8839</v>
      </c>
    </row>
    <row r="624">
      <c r="A624">
        <f>HYPERLINK("https://app.vivvix.com/360/KMI/IntelliDrive/ApplUI/Pages/CreativePages/CustomReportCreativeDetail.aspx?App=23&amp;ReportView=4&amp;Qid=1747207&amp;Row=3366&amp;Col=1","No Title Assigned - #15280815542")</f>
        <v/>
      </c>
      <c r="B624" t="inlineStr">
        <is>
          <t>15280815542</t>
        </is>
      </c>
      <c r="E624" t="inlineStr">
        <is>
          <t>Adidas</t>
        </is>
      </c>
      <c r="F624" t="inlineStr">
        <is>
          <t>Adidas : Online</t>
        </is>
      </c>
      <c r="G624" t="n">
        <v>103.281</v>
      </c>
    </row>
    <row r="625">
      <c r="A625">
        <f>HYPERLINK("https://app.vivvix.com/360/KMI/IntelliDrive/ApplUI/Pages/CreativePages/CustomReportCreativeDetail.aspx?App=23&amp;ReportView=4&amp;Qid=1747207&amp;Row=3367&amp;Col=1","No Title Assigned - #15280822101")</f>
        <v/>
      </c>
      <c r="B625" t="inlineStr">
        <is>
          <t>15280822101</t>
        </is>
      </c>
      <c r="E625" t="inlineStr">
        <is>
          <t>Adidas</t>
        </is>
      </c>
      <c r="F625" t="inlineStr">
        <is>
          <t>Adidas : Online</t>
        </is>
      </c>
      <c r="G625" t="n">
        <v>540.5868</v>
      </c>
    </row>
    <row r="626">
      <c r="A626">
        <f>HYPERLINK("https://app.vivvix.com/360/KMI/IntelliDrive/ApplUI/Pages/CreativePages/CustomReportCreativeDetail.aspx?App=23&amp;ReportView=4&amp;Qid=1747207&amp;Row=3370&amp;Col=1","No Title Assigned - #15280822869")</f>
        <v/>
      </c>
      <c r="B626" t="inlineStr">
        <is>
          <t>15280822869</t>
        </is>
      </c>
      <c r="E626" t="inlineStr">
        <is>
          <t>Adidas</t>
        </is>
      </c>
      <c r="F626" t="inlineStr">
        <is>
          <t>Adidas : Online</t>
        </is>
      </c>
      <c r="G626" t="n">
        <v>537.2548</v>
      </c>
    </row>
    <row r="627">
      <c r="A627">
        <f>HYPERLINK("https://app.vivvix.com/360/KMI/IntelliDrive/ApplUI/Pages/CreativePages/CustomReportCreativeDetail.aspx?App=23&amp;ReportView=4&amp;Qid=1747207&amp;Row=3372&amp;Col=1","No Title Assigned - #15280823679")</f>
        <v/>
      </c>
      <c r="B627" t="inlineStr">
        <is>
          <t>15280823679</t>
        </is>
      </c>
      <c r="E627" t="inlineStr">
        <is>
          <t>Adidas</t>
        </is>
      </c>
      <c r="F627" t="inlineStr">
        <is>
          <t>Adidas : Online</t>
        </is>
      </c>
      <c r="G627" t="n">
        <v>1909.6603</v>
      </c>
    </row>
    <row r="628">
      <c r="A628">
        <f>HYPERLINK("https://app.vivvix.com/360/KMI/IntelliDrive/ApplUI/Pages/CreativePages/CustomReportCreativeDetail.aspx?App=23&amp;ReportView=4&amp;Qid=1747207&amp;Row=3373&amp;Col=1","No Title Assigned - #15280824014")</f>
        <v/>
      </c>
      <c r="B628" t="inlineStr">
        <is>
          <t>15280824014</t>
        </is>
      </c>
      <c r="E628" t="inlineStr">
        <is>
          <t>Adidas</t>
        </is>
      </c>
      <c r="F628" t="inlineStr">
        <is>
          <t>Adidas : Online</t>
        </is>
      </c>
      <c r="G628" t="n">
        <v>116.2636</v>
      </c>
    </row>
    <row r="629">
      <c r="A629">
        <f>HYPERLINK("https://app.vivvix.com/360/KMI/IntelliDrive/ApplUI/Pages/CreativePages/CustomReportCreativeDetail.aspx?App=23&amp;ReportView=4&amp;Qid=1747207&amp;Row=3374&amp;Col=1","No Title Assigned - #15280826952")</f>
        <v/>
      </c>
      <c r="B629" t="inlineStr">
        <is>
          <t>15280826952</t>
        </is>
      </c>
      <c r="E629" t="inlineStr">
        <is>
          <t>Adidas</t>
        </is>
      </c>
      <c r="F629" t="inlineStr">
        <is>
          <t>Adidas : Online</t>
        </is>
      </c>
      <c r="G629" t="n">
        <v>518.0583</v>
      </c>
    </row>
    <row r="630">
      <c r="A630">
        <f>HYPERLINK("https://app.vivvix.com/360/KMI/IntelliDrive/ApplUI/Pages/CreativePages/CustomReportCreativeDetail.aspx?App=23&amp;ReportView=4&amp;Qid=1747207&amp;Row=3377&amp;Col=1","No Title Assigned - #15280869322")</f>
        <v/>
      </c>
      <c r="B630" t="inlineStr">
        <is>
          <t>15280869322</t>
        </is>
      </c>
      <c r="E630" t="inlineStr">
        <is>
          <t>Adidas</t>
        </is>
      </c>
      <c r="F630" t="inlineStr">
        <is>
          <t>Adidas : Online</t>
        </is>
      </c>
      <c r="G630" t="n">
        <v>355.4868</v>
      </c>
    </row>
    <row r="631">
      <c r="A631">
        <f>HYPERLINK("https://app.vivvix.com/360/KMI/IntelliDrive/ApplUI/Pages/CreativePages/CustomReportCreativeDetail.aspx?App=23&amp;ReportView=4&amp;Qid=1747207&amp;Row=3379&amp;Col=1","No Title Assigned - #15280871680")</f>
        <v/>
      </c>
      <c r="B631" t="inlineStr">
        <is>
          <t>15280871680</t>
        </is>
      </c>
      <c r="E631" t="inlineStr">
        <is>
          <t>Adidas</t>
        </is>
      </c>
      <c r="F631" t="inlineStr">
        <is>
          <t>Adidas : Online</t>
        </is>
      </c>
      <c r="G631" t="n">
        <v>33861.875</v>
      </c>
    </row>
    <row r="632">
      <c r="A632">
        <f>HYPERLINK("https://app.vivvix.com/360/KMI/IntelliDrive/ApplUI/Pages/CreativePages/CustomReportCreativeDetail.aspx?App=23&amp;ReportView=4&amp;Qid=1747207&amp;Row=3381&amp;Col=1","No Title Assigned - #15280872112")</f>
        <v/>
      </c>
      <c r="B632" t="inlineStr">
        <is>
          <t>15280872112</t>
        </is>
      </c>
      <c r="E632" t="inlineStr">
        <is>
          <t>Adidas</t>
        </is>
      </c>
      <c r="F632" t="inlineStr">
        <is>
          <t>Adidas : Online</t>
        </is>
      </c>
      <c r="G632" t="n">
        <v>46.1606</v>
      </c>
    </row>
    <row r="633">
      <c r="A633">
        <f>HYPERLINK("https://app.vivvix.com/360/KMI/IntelliDrive/ApplUI/Pages/CreativePages/CustomReportCreativeDetail.aspx?App=23&amp;ReportView=4&amp;Qid=1747207&amp;Row=3383&amp;Col=1","No Title Assigned - #15280881791")</f>
        <v/>
      </c>
      <c r="B633" t="inlineStr">
        <is>
          <t>15280881791</t>
        </is>
      </c>
      <c r="E633" t="inlineStr">
        <is>
          <t>Adidas</t>
        </is>
      </c>
      <c r="F633" t="inlineStr">
        <is>
          <t>Adidas : Online</t>
        </is>
      </c>
      <c r="G633" t="n">
        <v>2121.519</v>
      </c>
    </row>
    <row r="634">
      <c r="A634">
        <f>HYPERLINK("https://app.vivvix.com/360/KMI/IntelliDrive/ApplUI/Pages/CreativePages/CustomReportCreativeDetail.aspx?App=23&amp;ReportView=4&amp;Qid=1747207&amp;Row=3385&amp;Col=1","No Title Assigned - #15280882333")</f>
        <v/>
      </c>
      <c r="B634" t="inlineStr">
        <is>
          <t>15280882333</t>
        </is>
      </c>
      <c r="E634" t="inlineStr">
        <is>
          <t>Adidas</t>
        </is>
      </c>
      <c r="F634" t="inlineStr">
        <is>
          <t>Adidas : Online</t>
        </is>
      </c>
      <c r="G634" t="n">
        <v>46.1606</v>
      </c>
    </row>
    <row r="635">
      <c r="A635">
        <f>HYPERLINK("https://app.vivvix.com/360/KMI/IntelliDrive/ApplUI/Pages/CreativePages/CustomReportCreativeDetail.aspx?App=23&amp;ReportView=4&amp;Qid=1747207&amp;Row=3386&amp;Col=1","No Title Assigned - #15280885745")</f>
        <v/>
      </c>
      <c r="B635" t="inlineStr">
        <is>
          <t>15280885745</t>
        </is>
      </c>
      <c r="E635" t="inlineStr">
        <is>
          <t>Adidas</t>
        </is>
      </c>
      <c r="F635" t="inlineStr">
        <is>
          <t>Adidas : Online</t>
        </is>
      </c>
      <c r="G635" t="n">
        <v>2798.9995</v>
      </c>
    </row>
    <row r="636">
      <c r="A636">
        <f>HYPERLINK("https://app.vivvix.com/360/KMI/IntelliDrive/ApplUI/Pages/CreativePages/CustomReportCreativeDetail.aspx?App=23&amp;ReportView=4&amp;Qid=1747207&amp;Row=3387&amp;Col=1","No Title Assigned - #15280889466")</f>
        <v/>
      </c>
      <c r="B636" t="inlineStr">
        <is>
          <t>15280889466</t>
        </is>
      </c>
      <c r="E636" t="inlineStr">
        <is>
          <t>Adidas</t>
        </is>
      </c>
      <c r="F636" t="inlineStr">
        <is>
          <t>Adidas : Online</t>
        </is>
      </c>
      <c r="G636" t="n">
        <v>498.5065</v>
      </c>
    </row>
    <row r="637">
      <c r="A637">
        <f>HYPERLINK("https://app.vivvix.com/360/KMI/IntelliDrive/ApplUI/Pages/CreativePages/CustomReportCreativeDetail.aspx?App=23&amp;ReportView=4&amp;Qid=1747207&amp;Row=3391&amp;Col=1","No Title Assigned - #15280906487")</f>
        <v/>
      </c>
      <c r="B637" t="inlineStr">
        <is>
          <t>15280906487</t>
        </is>
      </c>
      <c r="E637" t="inlineStr">
        <is>
          <t>Adidas</t>
        </is>
      </c>
      <c r="F637" t="inlineStr">
        <is>
          <t>Adidas : Online</t>
        </is>
      </c>
      <c r="G637" t="n">
        <v>694.1913</v>
      </c>
    </row>
    <row r="638">
      <c r="A638">
        <f>HYPERLINK("https://app.vivvix.com/360/KMI/IntelliDrive/ApplUI/Pages/CreativePages/CustomReportCreativeDetail.aspx?App=23&amp;ReportView=4&amp;Qid=1747207&amp;Row=3394&amp;Col=1","No Title Assigned - #15280922608")</f>
        <v/>
      </c>
      <c r="B638" t="inlineStr">
        <is>
          <t>15280922608</t>
        </is>
      </c>
      <c r="E638" t="inlineStr">
        <is>
          <t>Adidas</t>
        </is>
      </c>
      <c r="F638" t="inlineStr">
        <is>
          <t>Adidas : Online</t>
        </is>
      </c>
      <c r="G638" t="n">
        <v>112.3495</v>
      </c>
    </row>
    <row r="639">
      <c r="A639">
        <f>HYPERLINK("https://app.vivvix.com/360/KMI/IntelliDrive/ApplUI/Pages/CreativePages/CustomReportCreativeDetail.aspx?App=23&amp;ReportView=4&amp;Qid=1747207&amp;Row=3398&amp;Col=1","No Title Assigned - #15280924850")</f>
        <v/>
      </c>
      <c r="B639" t="inlineStr">
        <is>
          <t>15280924850</t>
        </is>
      </c>
      <c r="E639" t="inlineStr">
        <is>
          <t>Adidas</t>
        </is>
      </c>
      <c r="F639" t="inlineStr">
        <is>
          <t>Adidas : Online</t>
        </is>
      </c>
      <c r="G639" t="n">
        <v>120.3801</v>
      </c>
    </row>
    <row r="640">
      <c r="A640">
        <f>HYPERLINK("https://app.vivvix.com/360/KMI/IntelliDrive/ApplUI/Pages/CreativePages/CustomReportCreativeDetail.aspx?App=23&amp;ReportView=4&amp;Qid=1747207&amp;Row=3399&amp;Col=1","No Title Assigned - #15280927056")</f>
        <v/>
      </c>
      <c r="B640" t="inlineStr">
        <is>
          <t>15280927056</t>
        </is>
      </c>
      <c r="E640" t="inlineStr">
        <is>
          <t>Adidas</t>
        </is>
      </c>
      <c r="F640" t="inlineStr">
        <is>
          <t>Adidas : Online</t>
        </is>
      </c>
      <c r="G640" t="n">
        <v>34.427</v>
      </c>
    </row>
    <row r="641">
      <c r="A641">
        <f>HYPERLINK("https://app.vivvix.com/360/KMI/IntelliDrive/ApplUI/Pages/CreativePages/CustomReportCreativeDetail.aspx?App=23&amp;ReportView=4&amp;Qid=1747207&amp;Row=3401&amp;Col=1","No Title Assigned - #15280928184")</f>
        <v/>
      </c>
      <c r="B641" t="inlineStr">
        <is>
          <t>15280928184</t>
        </is>
      </c>
      <c r="E641" t="inlineStr">
        <is>
          <t>Adidas</t>
        </is>
      </c>
      <c r="F641" t="inlineStr">
        <is>
          <t>Adidas : Online</t>
        </is>
      </c>
      <c r="G641" t="n">
        <v>103.281</v>
      </c>
    </row>
    <row r="642">
      <c r="A642">
        <f>HYPERLINK("https://app.vivvix.com/360/KMI/IntelliDrive/ApplUI/Pages/CreativePages/CustomReportCreativeDetail.aspx?App=23&amp;ReportView=4&amp;Qid=1747207&amp;Row=3402&amp;Col=1","No Title Assigned - #15280956679")</f>
        <v/>
      </c>
      <c r="B642" t="inlineStr">
        <is>
          <t>15280956679</t>
        </is>
      </c>
      <c r="E642" t="inlineStr">
        <is>
          <t>Adidas</t>
        </is>
      </c>
      <c r="F642" t="inlineStr">
        <is>
          <t>Adidas : Online</t>
        </is>
      </c>
      <c r="G642" t="n">
        <v>2121.519</v>
      </c>
    </row>
    <row r="643">
      <c r="A643">
        <f>HYPERLINK("https://app.vivvix.com/360/KMI/IntelliDrive/ApplUI/Pages/CreativePages/CustomReportCreativeDetail.aspx?App=23&amp;ReportView=4&amp;Qid=1747207&amp;Row=3403&amp;Col=1","No Title Assigned - #15280959003")</f>
        <v/>
      </c>
      <c r="B643" t="inlineStr">
        <is>
          <t>15280959003</t>
        </is>
      </c>
      <c r="E643" t="inlineStr">
        <is>
          <t>Adidas</t>
        </is>
      </c>
      <c r="F643" t="inlineStr">
        <is>
          <t>Adidas : Online</t>
        </is>
      </c>
      <c r="G643" t="n">
        <v>224.3774</v>
      </c>
    </row>
    <row r="644">
      <c r="A644">
        <f>HYPERLINK("https://app.vivvix.com/360/KMI/IntelliDrive/ApplUI/Pages/CreativePages/CustomReportCreativeDetail.aspx?App=23&amp;ReportView=4&amp;Qid=1747207&amp;Row=3404&amp;Col=1","No Title Assigned - #15280962783")</f>
        <v/>
      </c>
      <c r="B644" t="inlineStr">
        <is>
          <t>15280962783</t>
        </is>
      </c>
      <c r="E644" t="inlineStr">
        <is>
          <t>Adidas</t>
        </is>
      </c>
      <c r="F644" t="inlineStr">
        <is>
          <t>Adidas : Online</t>
        </is>
      </c>
      <c r="G644" t="n">
        <v>34.427</v>
      </c>
    </row>
    <row r="645">
      <c r="A645">
        <f>HYPERLINK("https://app.vivvix.com/360/KMI/IntelliDrive/ApplUI/Pages/CreativePages/CustomReportCreativeDetail.aspx?App=23&amp;ReportView=4&amp;Qid=1747207&amp;Row=3406&amp;Col=1","No Title Assigned - #15280974033")</f>
        <v/>
      </c>
      <c r="B645" t="inlineStr">
        <is>
          <t>15280974033</t>
        </is>
      </c>
      <c r="E645" t="inlineStr">
        <is>
          <t>Adidas</t>
        </is>
      </c>
      <c r="F645" t="inlineStr">
        <is>
          <t>Adidas : Online</t>
        </is>
      </c>
      <c r="G645" t="n">
        <v>438.7372</v>
      </c>
    </row>
    <row r="646">
      <c r="A646">
        <f>HYPERLINK("https://app.vivvix.com/360/KMI/IntelliDrive/ApplUI/Pages/CreativePages/CustomReportCreativeDetail.aspx?App=23&amp;ReportView=4&amp;Qid=1747207&amp;Row=3407&amp;Col=1","No Title Assigned - #15280975236")</f>
        <v/>
      </c>
      <c r="B646" t="inlineStr">
        <is>
          <t>15280975236</t>
        </is>
      </c>
      <c r="E646" t="inlineStr">
        <is>
          <t>Adidas</t>
        </is>
      </c>
      <c r="F646" t="inlineStr">
        <is>
          <t>Adidas : Online</t>
        </is>
      </c>
      <c r="G646" t="n">
        <v>676.8486</v>
      </c>
    </row>
    <row r="647">
      <c r="A647">
        <f>HYPERLINK("https://app.vivvix.com/360/KMI/IntelliDrive/ApplUI/Pages/CreativePages/CustomReportCreativeDetail.aspx?App=23&amp;ReportView=4&amp;Qid=1747207&amp;Row=3409&amp;Col=1","No Title Assigned - #15280978307")</f>
        <v/>
      </c>
      <c r="B647" t="inlineStr">
        <is>
          <t>15280978307</t>
        </is>
      </c>
      <c r="E647" t="inlineStr">
        <is>
          <t>Adidas</t>
        </is>
      </c>
      <c r="F647" t="inlineStr">
        <is>
          <t>Adidas : Online</t>
        </is>
      </c>
      <c r="G647" t="n">
        <v>46.1606</v>
      </c>
    </row>
    <row r="648">
      <c r="A648">
        <f>HYPERLINK("https://app.vivvix.com/360/KMI/IntelliDrive/ApplUI/Pages/CreativePages/CustomReportCreativeDetail.aspx?App=23&amp;ReportView=4&amp;Qid=1747207&amp;Row=3410&amp;Col=1","No Title Assigned - #15280980028")</f>
        <v/>
      </c>
      <c r="B648" t="inlineStr">
        <is>
          <t>15280980028</t>
        </is>
      </c>
      <c r="E648" t="inlineStr">
        <is>
          <t>Adidas</t>
        </is>
      </c>
      <c r="F648" t="inlineStr">
        <is>
          <t>Adidas : Online</t>
        </is>
      </c>
      <c r="G648" t="n">
        <v>2520.6624</v>
      </c>
    </row>
    <row r="649">
      <c r="A649">
        <f>HYPERLINK("https://app.vivvix.com/360/KMI/IntelliDrive/ApplUI/Pages/CreativePages/CustomReportCreativeDetail.aspx?App=23&amp;ReportView=4&amp;Qid=1747207&amp;Row=3414&amp;Col=1","No Title Assigned - #15280982536")</f>
        <v/>
      </c>
      <c r="B649" t="inlineStr">
        <is>
          <t>15280982536</t>
        </is>
      </c>
      <c r="E649" t="inlineStr">
        <is>
          <t>Adidas</t>
        </is>
      </c>
      <c r="F649" t="inlineStr">
        <is>
          <t>Adidas : Online</t>
        </is>
      </c>
      <c r="G649" t="n">
        <v>158.0886</v>
      </c>
    </row>
    <row r="650">
      <c r="A650">
        <f>HYPERLINK("https://app.vivvix.com/360/KMI/IntelliDrive/ApplUI/Pages/CreativePages/CustomReportCreativeDetail.aspx?App=23&amp;ReportView=4&amp;Qid=1747207&amp;Row=3419&amp;Col=1","No Title Assigned - #15281011564")</f>
        <v/>
      </c>
      <c r="B650" t="inlineStr">
        <is>
          <t>15281011564</t>
        </is>
      </c>
      <c r="E650" t="inlineStr">
        <is>
          <t>Adidas</t>
        </is>
      </c>
      <c r="F650" t="inlineStr">
        <is>
          <t>Adidas : Online</t>
        </is>
      </c>
      <c r="G650" t="n">
        <v>141.3646</v>
      </c>
    </row>
    <row r="651">
      <c r="A651">
        <f>HYPERLINK("https://app.vivvix.com/360/KMI/IntelliDrive/ApplUI/Pages/CreativePages/CustomReportCreativeDetail.aspx?App=23&amp;ReportView=4&amp;Qid=1747207&amp;Row=3425&amp;Col=1","No Title Assigned - #15281018961")</f>
        <v/>
      </c>
      <c r="B651" t="inlineStr">
        <is>
          <t>15281018961</t>
        </is>
      </c>
      <c r="E651" t="inlineStr">
        <is>
          <t>Adidas</t>
        </is>
      </c>
      <c r="F651" t="inlineStr">
        <is>
          <t>Adidas : Online</t>
        </is>
      </c>
      <c r="G651" t="n">
        <v>188.7908</v>
      </c>
    </row>
    <row r="652">
      <c r="A652">
        <f>HYPERLINK("https://app.vivvix.com/360/KMI/IntelliDrive/ApplUI/Pages/CreativePages/CustomReportCreativeDetail.aspx?App=23&amp;ReportView=4&amp;Qid=1747207&amp;Row=3426&amp;Col=1","No Title Assigned - #15281020296")</f>
        <v/>
      </c>
      <c r="B652" t="inlineStr">
        <is>
          <t>15281020296</t>
        </is>
      </c>
      <c r="E652" t="inlineStr">
        <is>
          <t>Adidas</t>
        </is>
      </c>
      <c r="F652" t="inlineStr">
        <is>
          <t>Adidas : Online</t>
        </is>
      </c>
      <c r="G652" t="n">
        <v>46.1606</v>
      </c>
    </row>
    <row r="653">
      <c r="A653">
        <f>HYPERLINK("https://app.vivvix.com/360/KMI/IntelliDrive/ApplUI/Pages/CreativePages/CustomReportCreativeDetail.aspx?App=23&amp;ReportView=4&amp;Qid=1747207&amp;Row=3427&amp;Col=1","No Title Assigned - #15281021340")</f>
        <v/>
      </c>
      <c r="B653" t="inlineStr">
        <is>
          <t>15281021340</t>
        </is>
      </c>
      <c r="E653" t="inlineStr">
        <is>
          <t>Adidas</t>
        </is>
      </c>
      <c r="F653" t="inlineStr">
        <is>
          <t>Adidas : Online</t>
        </is>
      </c>
      <c r="G653" t="n">
        <v>116.2636</v>
      </c>
    </row>
    <row r="654">
      <c r="A654">
        <f>HYPERLINK("https://app.vivvix.com/360/KMI/IntelliDrive/ApplUI/Pages/CreativePages/CustomReportCreativeDetail.aspx?App=23&amp;ReportView=4&amp;Qid=1747207&amp;Row=3431&amp;Col=1","No Title Assigned - #15281024636")</f>
        <v/>
      </c>
      <c r="B654" t="inlineStr">
        <is>
          <t>15281024636</t>
        </is>
      </c>
      <c r="E654" t="inlineStr">
        <is>
          <t>Adidas</t>
        </is>
      </c>
      <c r="F654" t="inlineStr">
        <is>
          <t>Adidas : Online</t>
        </is>
      </c>
      <c r="G654" t="n">
        <v>116.2636</v>
      </c>
    </row>
    <row r="655">
      <c r="A655">
        <f>HYPERLINK("https://app.vivvix.com/360/KMI/IntelliDrive/ApplUI/Pages/CreativePages/CustomReportCreativeDetail.aspx?App=23&amp;ReportView=4&amp;Qid=1747207&amp;Row=3433&amp;Col=1","No Title Assigned - #15281026859")</f>
        <v/>
      </c>
      <c r="B655" t="inlineStr">
        <is>
          <t>15281026859</t>
        </is>
      </c>
      <c r="E655" t="inlineStr">
        <is>
          <t>Adidas</t>
        </is>
      </c>
      <c r="F655" t="inlineStr">
        <is>
          <t>Adidas : Online</t>
        </is>
      </c>
      <c r="G655" t="n">
        <v>34.427</v>
      </c>
    </row>
    <row r="656">
      <c r="A656">
        <f>HYPERLINK("https://app.vivvix.com/360/KMI/IntelliDrive/ApplUI/Pages/CreativePages/CustomReportCreativeDetail.aspx?App=23&amp;ReportView=4&amp;Qid=1747207&amp;Row=3434&amp;Col=1","No Title Assigned - #15281028298")</f>
        <v/>
      </c>
      <c r="B656" t="inlineStr">
        <is>
          <t>15281028298</t>
        </is>
      </c>
      <c r="E656" t="inlineStr">
        <is>
          <t>Adidas</t>
        </is>
      </c>
      <c r="F656" t="inlineStr">
        <is>
          <t>Adidas : Online</t>
        </is>
      </c>
      <c r="G656" t="n">
        <v>46.1606</v>
      </c>
    </row>
    <row r="657">
      <c r="A657">
        <f>HYPERLINK("https://app.vivvix.com/360/KMI/IntelliDrive/ApplUI/Pages/CreativePages/CustomReportCreativeDetail.aspx?App=23&amp;ReportView=4&amp;Qid=1747207&amp;Row=3439&amp;Col=1","No Title Assigned - #15281057790")</f>
        <v/>
      </c>
      <c r="B657" t="inlineStr">
        <is>
          <t>15281057790</t>
        </is>
      </c>
      <c r="E657" t="inlineStr">
        <is>
          <t>Adidas</t>
        </is>
      </c>
      <c r="F657" t="inlineStr">
        <is>
          <t>Adidas : Online</t>
        </is>
      </c>
      <c r="G657" t="n">
        <v>238.031</v>
      </c>
    </row>
    <row r="658">
      <c r="A658">
        <f>HYPERLINK("https://app.vivvix.com/360/KMI/IntelliDrive/ApplUI/Pages/CreativePages/CustomReportCreativeDetail.aspx?App=23&amp;ReportView=4&amp;Qid=1747207&amp;Row=3447&amp;Col=1","No Title Assigned - #15281070924")</f>
        <v/>
      </c>
      <c r="B658" t="inlineStr">
        <is>
          <t>15281070924</t>
        </is>
      </c>
      <c r="E658" t="inlineStr">
        <is>
          <t>Adidas</t>
        </is>
      </c>
      <c r="F658" t="inlineStr">
        <is>
          <t>Adidas : Online</t>
        </is>
      </c>
      <c r="G658" t="n">
        <v>135.8511</v>
      </c>
    </row>
    <row r="659">
      <c r="A659">
        <f>HYPERLINK("https://app.vivvix.com/360/KMI/IntelliDrive/ApplUI/Pages/CreativePages/CustomReportCreativeDetail.aspx?App=23&amp;ReportView=4&amp;Qid=1747207&amp;Row=3451&amp;Col=1","No Title Assigned - #15281077062")</f>
        <v/>
      </c>
      <c r="B659" t="inlineStr">
        <is>
          <t>15281077062</t>
        </is>
      </c>
      <c r="E659" t="inlineStr">
        <is>
          <t>Adidas</t>
        </is>
      </c>
      <c r="F659" t="inlineStr">
        <is>
          <t>Adidas : Online</t>
        </is>
      </c>
      <c r="G659" t="n">
        <v>46.1606</v>
      </c>
    </row>
    <row r="660">
      <c r="A660">
        <f>HYPERLINK("https://app.vivvix.com/360/KMI/IntelliDrive/ApplUI/Pages/CreativePages/CustomReportCreativeDetail.aspx?App=23&amp;ReportView=4&amp;Qid=1747207&amp;Row=3453&amp;Col=1","No Title Assigned - #15281080714")</f>
        <v/>
      </c>
      <c r="B660" t="inlineStr">
        <is>
          <t>15281080714</t>
        </is>
      </c>
      <c r="E660" t="inlineStr">
        <is>
          <t>Adidas</t>
        </is>
      </c>
      <c r="F660" t="inlineStr">
        <is>
          <t>Adidas : Online</t>
        </is>
      </c>
      <c r="G660" t="n">
        <v>103.8746</v>
      </c>
    </row>
    <row r="661">
      <c r="A661">
        <f>HYPERLINK("https://app.vivvix.com/360/KMI/IntelliDrive/ApplUI/Pages/CreativePages/CustomReportCreativeDetail.aspx?App=23&amp;ReportView=4&amp;Qid=1747207&amp;Row=3456&amp;Col=1","No Title Assigned - #15281082651")</f>
        <v/>
      </c>
      <c r="B661" t="inlineStr">
        <is>
          <t>15281082651</t>
        </is>
      </c>
      <c r="E661" t="inlineStr">
        <is>
          <t>Adidas</t>
        </is>
      </c>
      <c r="F661" t="inlineStr">
        <is>
          <t>Adidas : Online</t>
        </is>
      </c>
      <c r="G661" t="n">
        <v>495.9012</v>
      </c>
    </row>
    <row r="662">
      <c r="A662">
        <f>HYPERLINK("https://app.vivvix.com/360/KMI/IntelliDrive/ApplUI/Pages/CreativePages/CustomReportCreativeDetail.aspx?App=23&amp;ReportView=4&amp;Qid=1747207&amp;Row=3459&amp;Col=1","No Title Assigned - #15281132380")</f>
        <v/>
      </c>
      <c r="B662" t="inlineStr">
        <is>
          <t>15281132380</t>
        </is>
      </c>
      <c r="E662" t="inlineStr">
        <is>
          <t>Adidas</t>
        </is>
      </c>
      <c r="F662" t="inlineStr">
        <is>
          <t>Adidas : Online</t>
        </is>
      </c>
      <c r="G662" t="n">
        <v>34.427</v>
      </c>
    </row>
    <row r="663">
      <c r="A663">
        <f>HYPERLINK("https://app.vivvix.com/360/KMI/IntelliDrive/ApplUI/Pages/CreativePages/CustomReportCreativeDetail.aspx?App=23&amp;ReportView=4&amp;Qid=1747207&amp;Row=3461&amp;Col=1","No Title Assigned - #15281158328")</f>
        <v/>
      </c>
      <c r="B663" t="inlineStr">
        <is>
          <t>15281158328</t>
        </is>
      </c>
      <c r="E663" t="inlineStr">
        <is>
          <t>Adidas</t>
        </is>
      </c>
      <c r="F663" t="inlineStr">
        <is>
          <t>Adidas : Online</t>
        </is>
      </c>
      <c r="G663" t="n">
        <v>537.2548</v>
      </c>
    </row>
    <row r="664">
      <c r="A664">
        <f>HYPERLINK("https://app.vivvix.com/360/KMI/IntelliDrive/ApplUI/Pages/CreativePages/CustomReportCreativeDetail.aspx?App=23&amp;ReportView=4&amp;Qid=1747207&amp;Row=3462&amp;Col=1","No Title Assigned - #15281164468")</f>
        <v/>
      </c>
      <c r="B664" t="inlineStr">
        <is>
          <t>15281164468</t>
        </is>
      </c>
      <c r="E664" t="inlineStr">
        <is>
          <t>Adidas</t>
        </is>
      </c>
      <c r="F664" t="inlineStr">
        <is>
          <t>Adidas : Online</t>
        </is>
      </c>
      <c r="G664" t="n">
        <v>46.1606</v>
      </c>
    </row>
    <row r="665">
      <c r="A665">
        <f>HYPERLINK("https://app.vivvix.com/360/KMI/IntelliDrive/ApplUI/Pages/CreativePages/CustomReportCreativeDetail.aspx?App=23&amp;ReportView=4&amp;Qid=1747207&amp;Row=3463&amp;Col=1","No Title Assigned - #15281165587")</f>
        <v/>
      </c>
      <c r="B665" t="inlineStr">
        <is>
          <t>15281165587</t>
        </is>
      </c>
      <c r="E665" t="inlineStr">
        <is>
          <t>Adidas</t>
        </is>
      </c>
      <c r="F665" t="inlineStr">
        <is>
          <t>Adidas : Online</t>
        </is>
      </c>
      <c r="G665" t="n">
        <v>34.427</v>
      </c>
    </row>
    <row r="666">
      <c r="A666">
        <f>HYPERLINK("https://app.vivvix.com/360/KMI/IntelliDrive/ApplUI/Pages/CreativePages/CustomReportCreativeDetail.aspx?App=23&amp;ReportView=4&amp;Qid=1747207&amp;Row=3464&amp;Col=1","No Title Assigned - #15281165693")</f>
        <v/>
      </c>
      <c r="B666" t="inlineStr">
        <is>
          <t>15281165693</t>
        </is>
      </c>
      <c r="E666" t="inlineStr">
        <is>
          <t>Adidas</t>
        </is>
      </c>
      <c r="F666" t="inlineStr">
        <is>
          <t>Adidas : Online</t>
        </is>
      </c>
      <c r="G666" t="n">
        <v>19593.9189</v>
      </c>
    </row>
    <row r="667">
      <c r="A667">
        <f>HYPERLINK("https://app.vivvix.com/360/KMI/IntelliDrive/ApplUI/Pages/CreativePages/CustomReportCreativeDetail.aspx?App=23&amp;ReportView=4&amp;Qid=1747207&amp;Row=3473&amp;Col=1","No Title Assigned - #15281184068")</f>
        <v/>
      </c>
      <c r="B667" t="inlineStr">
        <is>
          <t>15281184068</t>
        </is>
      </c>
      <c r="E667" t="inlineStr">
        <is>
          <t>Adidas</t>
        </is>
      </c>
      <c r="F667" t="inlineStr">
        <is>
          <t>Adidas : Online</t>
        </is>
      </c>
      <c r="G667" t="n">
        <v>115.4172</v>
      </c>
    </row>
    <row r="668">
      <c r="A668">
        <f>HYPERLINK("https://app.vivvix.com/360/KMI/IntelliDrive/ApplUI/Pages/CreativePages/CustomReportCreativeDetail.aspx?App=23&amp;ReportView=4&amp;Qid=1747207&amp;Row=3478&amp;Col=1","No Title Assigned - #15281186778")</f>
        <v/>
      </c>
      <c r="B668" t="inlineStr">
        <is>
          <t>15281186778</t>
        </is>
      </c>
      <c r="E668" t="inlineStr">
        <is>
          <t>Adidas</t>
        </is>
      </c>
      <c r="F668" t="inlineStr">
        <is>
          <t>Adidas : Online</t>
        </is>
      </c>
      <c r="G668" t="n">
        <v>881.8828</v>
      </c>
    </row>
    <row r="669">
      <c r="A669">
        <f>HYPERLINK("https://app.vivvix.com/360/KMI/IntelliDrive/ApplUI/Pages/CreativePages/CustomReportCreativeDetail.aspx?App=23&amp;ReportView=4&amp;Qid=1747207&amp;Row=3479&amp;Col=1","No Title Assigned - #15281190008")</f>
        <v/>
      </c>
      <c r="B669" t="inlineStr">
        <is>
          <t>15281190008</t>
        </is>
      </c>
      <c r="E669" t="inlineStr">
        <is>
          <t>Adidas</t>
        </is>
      </c>
      <c r="F669" t="inlineStr">
        <is>
          <t>Adidas : Online</t>
        </is>
      </c>
      <c r="G669" t="n">
        <v>3351.7153</v>
      </c>
    </row>
    <row r="670">
      <c r="A670">
        <f>HYPERLINK("https://app.vivvix.com/360/KMI/IntelliDrive/ApplUI/Pages/CreativePages/CustomReportCreativeDetail.aspx?App=23&amp;ReportView=4&amp;Qid=1747207&amp;Row=3482&amp;Col=1","No Title Assigned - #15281190198")</f>
        <v/>
      </c>
      <c r="B670" t="inlineStr">
        <is>
          <t>15281190198</t>
        </is>
      </c>
      <c r="E670" t="inlineStr">
        <is>
          <t>Adidas</t>
        </is>
      </c>
      <c r="F670" t="inlineStr">
        <is>
          <t>Adidas : Online</t>
        </is>
      </c>
      <c r="G670" t="n">
        <v>379.873</v>
      </c>
    </row>
    <row r="671">
      <c r="A671">
        <f>HYPERLINK("https://app.vivvix.com/360/KMI/IntelliDrive/ApplUI/Pages/CreativePages/CustomReportCreativeDetail.aspx?App=23&amp;ReportView=4&amp;Qid=1747207&amp;Row=3485&amp;Col=1","No Title Assigned - #15281195411")</f>
        <v/>
      </c>
      <c r="B671" t="inlineStr">
        <is>
          <t>15281195411</t>
        </is>
      </c>
      <c r="E671" t="inlineStr">
        <is>
          <t>Adidas</t>
        </is>
      </c>
      <c r="F671" t="inlineStr">
        <is>
          <t>Adidas : Online</t>
        </is>
      </c>
      <c r="G671" t="n">
        <v>34.427</v>
      </c>
    </row>
    <row r="672">
      <c r="A672">
        <f>HYPERLINK("https://app.vivvix.com/360/KMI/IntelliDrive/ApplUI/Pages/CreativePages/CustomReportCreativeDetail.aspx?App=23&amp;ReportView=4&amp;Qid=1747207&amp;Row=3488&amp;Col=1","No Title Assigned - #15281214504")</f>
        <v/>
      </c>
      <c r="B672" t="inlineStr">
        <is>
          <t>15281214504</t>
        </is>
      </c>
      <c r="E672" t="inlineStr">
        <is>
          <t>Adidas</t>
        </is>
      </c>
      <c r="F672" t="inlineStr">
        <is>
          <t>Adidas : Online</t>
        </is>
      </c>
      <c r="G672" t="n">
        <v>408.1242</v>
      </c>
    </row>
    <row r="673">
      <c r="A673">
        <f>HYPERLINK("https://app.vivvix.com/360/KMI/IntelliDrive/ApplUI/Pages/CreativePages/CustomReportCreativeDetail.aspx?App=23&amp;ReportView=4&amp;Qid=1747207&amp;Row=3492&amp;Col=1","No Title Assigned - #15281224320")</f>
        <v/>
      </c>
      <c r="B673" t="inlineStr">
        <is>
          <t>15281224320</t>
        </is>
      </c>
      <c r="E673" t="inlineStr">
        <is>
          <t>Adidas</t>
        </is>
      </c>
      <c r="F673" t="inlineStr">
        <is>
          <t>Adidas : Online</t>
        </is>
      </c>
      <c r="G673" t="n">
        <v>46.1606</v>
      </c>
    </row>
    <row r="674">
      <c r="A674">
        <f>HYPERLINK("https://app.vivvix.com/360/KMI/IntelliDrive/ApplUI/Pages/CreativePages/CustomReportCreativeDetail.aspx?App=23&amp;ReportView=4&amp;Qid=1747207&amp;Row=3495&amp;Col=1","No Title Assigned - #15281228787")</f>
        <v/>
      </c>
      <c r="B674" t="inlineStr">
        <is>
          <t>15281228787</t>
        </is>
      </c>
      <c r="E674" t="inlineStr">
        <is>
          <t>Adidas</t>
        </is>
      </c>
      <c r="F674" t="inlineStr">
        <is>
          <t>Adidas : Online</t>
        </is>
      </c>
      <c r="G674" t="n">
        <v>92.3212</v>
      </c>
    </row>
    <row r="675">
      <c r="A675">
        <f>HYPERLINK("https://app.vivvix.com/360/KMI/IntelliDrive/ApplUI/Pages/CreativePages/CustomReportCreativeDetail.aspx?App=23&amp;ReportView=4&amp;Qid=1747207&amp;Row=3497&amp;Col=1","No Title Assigned - #15281230017")</f>
        <v/>
      </c>
      <c r="B675" t="inlineStr">
        <is>
          <t>15281230017</t>
        </is>
      </c>
      <c r="E675" t="inlineStr">
        <is>
          <t>Adidas</t>
        </is>
      </c>
      <c r="F675" t="inlineStr">
        <is>
          <t>Adidas : Online</t>
        </is>
      </c>
      <c r="G675" t="n">
        <v>112.3495</v>
      </c>
    </row>
    <row r="676">
      <c r="A676">
        <f>HYPERLINK("https://app.vivvix.com/360/KMI/IntelliDrive/ApplUI/Pages/CreativePages/CustomReportCreativeDetail.aspx?App=23&amp;ReportView=4&amp;Qid=1747207&amp;Row=3499&amp;Col=1","No Title Assigned - #15281234189")</f>
        <v/>
      </c>
      <c r="B676" t="inlineStr">
        <is>
          <t>15281234189</t>
        </is>
      </c>
      <c r="E676" t="inlineStr">
        <is>
          <t>Adidas</t>
        </is>
      </c>
      <c r="F676" t="inlineStr">
        <is>
          <t>Adidas : Online</t>
        </is>
      </c>
      <c r="G676" t="n">
        <v>55.0004</v>
      </c>
    </row>
    <row r="677">
      <c r="A677">
        <f>HYPERLINK("https://app.vivvix.com/360/KMI/IntelliDrive/ApplUI/Pages/CreativePages/CustomReportCreativeDetail.aspx?App=23&amp;ReportView=4&amp;Qid=1747207&amp;Row=3502&amp;Col=1","No Title Assigned - #15281235151")</f>
        <v/>
      </c>
      <c r="B677" t="inlineStr">
        <is>
          <t>15281235151</t>
        </is>
      </c>
      <c r="E677" t="inlineStr">
        <is>
          <t>Adidas</t>
        </is>
      </c>
      <c r="F677" t="inlineStr">
        <is>
          <t>Adidas : Online</t>
        </is>
      </c>
      <c r="G677" t="n">
        <v>34.427</v>
      </c>
    </row>
    <row r="678">
      <c r="A678">
        <f>HYPERLINK("https://app.vivvix.com/360/KMI/IntelliDrive/ApplUI/Pages/CreativePages/CustomReportCreativeDetail.aspx?App=23&amp;ReportView=4&amp;Qid=1747207&amp;Row=3503&amp;Col=1","No Title Assigned - #15281235778")</f>
        <v/>
      </c>
      <c r="B678" t="inlineStr">
        <is>
          <t>15281235778</t>
        </is>
      </c>
      <c r="E678" t="inlineStr">
        <is>
          <t>Adidas</t>
        </is>
      </c>
      <c r="F678" t="inlineStr">
        <is>
          <t>Adidas : Online</t>
        </is>
      </c>
      <c r="G678" t="n">
        <v>46.1606</v>
      </c>
    </row>
    <row r="679">
      <c r="A679">
        <f>HYPERLINK("https://app.vivvix.com/360/KMI/IntelliDrive/ApplUI/Pages/CreativePages/CustomReportCreativeDetail.aspx?App=23&amp;ReportView=4&amp;Qid=1747207&amp;Row=3507&amp;Col=1","No Title Assigned - #15281239006")</f>
        <v/>
      </c>
      <c r="B679" t="inlineStr">
        <is>
          <t>15281239006</t>
        </is>
      </c>
      <c r="E679" t="inlineStr">
        <is>
          <t>Adidas</t>
        </is>
      </c>
      <c r="F679" t="inlineStr">
        <is>
          <t>Adidas : Online</t>
        </is>
      </c>
      <c r="G679" t="n">
        <v>415.4984</v>
      </c>
    </row>
    <row r="680">
      <c r="A680">
        <f>HYPERLINK("https://app.vivvix.com/360/KMI/IntelliDrive/ApplUI/Pages/CreativePages/CustomReportCreativeDetail.aspx?App=23&amp;ReportView=4&amp;Qid=1747207&amp;Row=3516&amp;Col=1","No Title Assigned - #15281270387")</f>
        <v/>
      </c>
      <c r="B680" t="inlineStr">
        <is>
          <t>15281270387</t>
        </is>
      </c>
      <c r="E680" t="inlineStr">
        <is>
          <t>Adidas</t>
        </is>
      </c>
      <c r="F680" t="inlineStr">
        <is>
          <t>Adidas : Online</t>
        </is>
      </c>
      <c r="G680" t="n">
        <v>46.1606</v>
      </c>
    </row>
    <row r="681">
      <c r="A681">
        <f>HYPERLINK("https://app.vivvix.com/360/KMI/IntelliDrive/ApplUI/Pages/CreativePages/CustomReportCreativeDetail.aspx?App=23&amp;ReportView=4&amp;Qid=1747207&amp;Row=3519&amp;Col=1","No Title Assigned - #15281272702")</f>
        <v/>
      </c>
      <c r="B681" t="inlineStr">
        <is>
          <t>15281272702</t>
        </is>
      </c>
      <c r="E681" t="inlineStr">
        <is>
          <t>Adidas</t>
        </is>
      </c>
      <c r="F681" t="inlineStr">
        <is>
          <t>Adidas : Online</t>
        </is>
      </c>
      <c r="G681" t="n">
        <v>141.3646</v>
      </c>
    </row>
    <row r="682">
      <c r="A682">
        <f>HYPERLINK("https://app.vivvix.com/360/KMI/IntelliDrive/ApplUI/Pages/CreativePages/CustomReportCreativeDetail.aspx?App=23&amp;ReportView=4&amp;Qid=1747207&amp;Row=3521&amp;Col=1","No Title Assigned - #15281277602")</f>
        <v/>
      </c>
      <c r="B682" t="inlineStr">
        <is>
          <t>15281277602</t>
        </is>
      </c>
      <c r="E682" t="inlineStr">
        <is>
          <t>Adidas</t>
        </is>
      </c>
      <c r="F682" t="inlineStr">
        <is>
          <t>Adidas : Online</t>
        </is>
      </c>
      <c r="G682" t="n">
        <v>2121.519</v>
      </c>
    </row>
    <row r="683">
      <c r="A683">
        <f>HYPERLINK("https://app.vivvix.com/360/KMI/IntelliDrive/ApplUI/Pages/CreativePages/CustomReportCreativeDetail.aspx?App=23&amp;ReportView=4&amp;Qid=1747207&amp;Row=3530&amp;Col=1","No Title Assigned - #15281291696")</f>
        <v/>
      </c>
      <c r="B683" t="inlineStr">
        <is>
          <t>15281291696</t>
        </is>
      </c>
      <c r="E683" t="inlineStr">
        <is>
          <t>Adidas</t>
        </is>
      </c>
      <c r="F683" t="inlineStr">
        <is>
          <t>Adidas : Online</t>
        </is>
      </c>
      <c r="G683" t="n">
        <v>34.427</v>
      </c>
    </row>
    <row r="684">
      <c r="A684">
        <f>HYPERLINK("https://app.vivvix.com/360/KMI/IntelliDrive/ApplUI/Pages/CreativePages/CustomReportCreativeDetail.aspx?App=23&amp;ReportView=4&amp;Qid=1747207&amp;Row=3531&amp;Col=1","No Title Assigned - #15281291706")</f>
        <v/>
      </c>
      <c r="B684" t="inlineStr">
        <is>
          <t>15281291706</t>
        </is>
      </c>
      <c r="E684" t="inlineStr">
        <is>
          <t>Adidas</t>
        </is>
      </c>
      <c r="F684" t="inlineStr">
        <is>
          <t>Adidas : Online</t>
        </is>
      </c>
      <c r="G684" t="n">
        <v>34.427</v>
      </c>
    </row>
    <row r="685">
      <c r="A685">
        <f>HYPERLINK("https://app.vivvix.com/360/KMI/IntelliDrive/ApplUI/Pages/CreativePages/CustomReportCreativeDetail.aspx?App=23&amp;ReportView=4&amp;Qid=1747207&amp;Row=3534&amp;Col=1","No Title Assigned - #15281315534")</f>
        <v/>
      </c>
      <c r="B685" t="inlineStr">
        <is>
          <t>15281315534</t>
        </is>
      </c>
      <c r="E685" t="inlineStr">
        <is>
          <t>Adidas</t>
        </is>
      </c>
      <c r="F685" t="inlineStr">
        <is>
          <t>Adidas : Online</t>
        </is>
      </c>
      <c r="G685" t="n">
        <v>34.427</v>
      </c>
    </row>
    <row r="686">
      <c r="A686">
        <f>HYPERLINK("https://app.vivvix.com/360/KMI/IntelliDrive/ApplUI/Pages/CreativePages/CustomReportCreativeDetail.aspx?App=23&amp;ReportView=4&amp;Qid=1747207&amp;Row=3536&amp;Col=1","No Title Assigned - #15281317392")</f>
        <v/>
      </c>
      <c r="B686" t="inlineStr">
        <is>
          <t>15281317392</t>
        </is>
      </c>
      <c r="E686" t="inlineStr">
        <is>
          <t>Adidas</t>
        </is>
      </c>
      <c r="F686" t="inlineStr">
        <is>
          <t>Adidas : Online</t>
        </is>
      </c>
      <c r="G686" t="n">
        <v>34.427</v>
      </c>
    </row>
    <row r="687">
      <c r="A687">
        <f>HYPERLINK("https://app.vivvix.com/360/KMI/IntelliDrive/ApplUI/Pages/CreativePages/CustomReportCreativeDetail.aspx?App=23&amp;ReportView=4&amp;Qid=1747207&amp;Row=3538&amp;Col=1","No Title Assigned - #15281318940")</f>
        <v/>
      </c>
      <c r="B687" t="inlineStr">
        <is>
          <t>15281318940</t>
        </is>
      </c>
      <c r="E687" t="inlineStr">
        <is>
          <t>Adidas</t>
        </is>
      </c>
      <c r="F687" t="inlineStr">
        <is>
          <t>Adidas : Online</t>
        </is>
      </c>
      <c r="G687" t="n">
        <v>412.8685</v>
      </c>
    </row>
    <row r="688">
      <c r="A688">
        <f>HYPERLINK("https://app.vivvix.com/360/KMI/IntelliDrive/ApplUI/Pages/CreativePages/CustomReportCreativeDetail.aspx?App=23&amp;ReportView=4&amp;Qid=1747207&amp;Row=3539&amp;Col=1","No Title Assigned - #15281324665")</f>
        <v/>
      </c>
      <c r="B688" t="inlineStr">
        <is>
          <t>15281324665</t>
        </is>
      </c>
      <c r="E688" t="inlineStr">
        <is>
          <t>Adidas</t>
        </is>
      </c>
      <c r="F688" t="inlineStr">
        <is>
          <t>Adidas : Online</t>
        </is>
      </c>
      <c r="G688" t="n">
        <v>46.1606</v>
      </c>
    </row>
    <row r="689">
      <c r="A689">
        <f>HYPERLINK("https://app.vivvix.com/360/KMI/IntelliDrive/ApplUI/Pages/CreativePages/CustomReportCreativeDetail.aspx?App=23&amp;ReportView=4&amp;Qid=1747207&amp;Row=3540&amp;Col=1","No Title Assigned - #15281326593")</f>
        <v/>
      </c>
      <c r="B689" t="inlineStr">
        <is>
          <t>15281326593</t>
        </is>
      </c>
      <c r="E689" t="inlineStr">
        <is>
          <t>Adidas</t>
        </is>
      </c>
      <c r="F689" t="inlineStr">
        <is>
          <t>Adidas : Online</t>
        </is>
      </c>
      <c r="G689" t="n">
        <v>34.427</v>
      </c>
    </row>
    <row r="690">
      <c r="A690">
        <f>HYPERLINK("https://app.vivvix.com/360/KMI/IntelliDrive/ApplUI/Pages/CreativePages/CustomReportCreativeDetail.aspx?App=23&amp;ReportView=4&amp;Qid=1747207&amp;Row=3543&amp;Col=1","No Title Assigned - #15281330161")</f>
        <v/>
      </c>
      <c r="B690" t="inlineStr">
        <is>
          <t>15281330161</t>
        </is>
      </c>
      <c r="E690" t="inlineStr">
        <is>
          <t>Adidas</t>
        </is>
      </c>
      <c r="F690" t="inlineStr">
        <is>
          <t>Adidas : Online</t>
        </is>
      </c>
      <c r="G690" t="n">
        <v>723.1812</v>
      </c>
    </row>
    <row r="691">
      <c r="A691">
        <f>HYPERLINK("https://app.vivvix.com/360/KMI/IntelliDrive/ApplUI/Pages/CreativePages/CustomReportCreativeDetail.aspx?App=23&amp;ReportView=4&amp;Qid=1747207&amp;Row=3544&amp;Col=1","No Title Assigned - #15281331903")</f>
        <v/>
      </c>
      <c r="B691" t="inlineStr">
        <is>
          <t>15281331903</t>
        </is>
      </c>
      <c r="E691" t="inlineStr">
        <is>
          <t>Adidas</t>
        </is>
      </c>
      <c r="F691" t="inlineStr">
        <is>
          <t>Adidas : Online</t>
        </is>
      </c>
      <c r="G691" t="n">
        <v>68.854</v>
      </c>
    </row>
    <row r="692">
      <c r="A692">
        <f>HYPERLINK("https://app.vivvix.com/360/KMI/IntelliDrive/ApplUI/Pages/CreativePages/CustomReportCreativeDetail.aspx?App=23&amp;ReportView=4&amp;Qid=1747207&amp;Row=3546&amp;Col=1","No Title Assigned - #15281333163")</f>
        <v/>
      </c>
      <c r="B692" t="inlineStr">
        <is>
          <t>15281333163</t>
        </is>
      </c>
      <c r="E692" t="inlineStr">
        <is>
          <t>Adidas</t>
        </is>
      </c>
      <c r="F692" t="inlineStr">
        <is>
          <t>Adidas : Online</t>
        </is>
      </c>
      <c r="G692" t="n">
        <v>46.1606</v>
      </c>
    </row>
    <row r="693">
      <c r="A693">
        <f>HYPERLINK("https://app.vivvix.com/360/KMI/IntelliDrive/ApplUI/Pages/CreativePages/CustomReportCreativeDetail.aspx?App=23&amp;ReportView=4&amp;Qid=1747207&amp;Row=3549&amp;Col=1","No Title Assigned - #15281333876")</f>
        <v/>
      </c>
      <c r="B693" t="inlineStr">
        <is>
          <t>15281333876</t>
        </is>
      </c>
      <c r="E693" t="inlineStr">
        <is>
          <t>Adidas</t>
        </is>
      </c>
      <c r="F693" t="inlineStr">
        <is>
          <t>Adidas : Online</t>
        </is>
      </c>
      <c r="G693" t="n">
        <v>46.1606</v>
      </c>
    </row>
    <row r="694">
      <c r="A694">
        <f>HYPERLINK("https://app.vivvix.com/360/KMI/IntelliDrive/ApplUI/Pages/CreativePages/CustomReportCreativeDetail.aspx?App=23&amp;ReportView=4&amp;Qid=1747207&amp;Row=3550&amp;Col=1","No Title Assigned - #15281333901")</f>
        <v/>
      </c>
      <c r="B694" t="inlineStr">
        <is>
          <t>15281333901</t>
        </is>
      </c>
      <c r="E694" t="inlineStr">
        <is>
          <t>Adidas</t>
        </is>
      </c>
      <c r="F694" t="inlineStr">
        <is>
          <t>Adidas : Online</t>
        </is>
      </c>
      <c r="G694" t="n">
        <v>46.1606</v>
      </c>
    </row>
    <row r="695">
      <c r="A695">
        <f>HYPERLINK("https://app.vivvix.com/360/KMI/IntelliDrive/ApplUI/Pages/CreativePages/CustomReportCreativeDetail.aspx?App=23&amp;ReportView=4&amp;Qid=1747207&amp;Row=3551&amp;Col=1","No Title Assigned - #15281335502")</f>
        <v/>
      </c>
      <c r="B695" t="inlineStr">
        <is>
          <t>15281335502</t>
        </is>
      </c>
      <c r="E695" t="inlineStr">
        <is>
          <t>Adidas</t>
        </is>
      </c>
      <c r="F695" t="inlineStr">
        <is>
          <t>Adidas : Online</t>
        </is>
      </c>
      <c r="G695" t="n">
        <v>34.427</v>
      </c>
    </row>
    <row r="696">
      <c r="A696">
        <f>HYPERLINK("https://app.vivvix.com/360/KMI/IntelliDrive/ApplUI/Pages/CreativePages/CustomReportCreativeDetail.aspx?App=23&amp;ReportView=4&amp;Qid=1747207&amp;Row=3552&amp;Col=1","No Title Assigned - #15281335757")</f>
        <v/>
      </c>
      <c r="B696" t="inlineStr">
        <is>
          <t>15281335757</t>
        </is>
      </c>
      <c r="E696" t="inlineStr">
        <is>
          <t>Adidas</t>
        </is>
      </c>
      <c r="F696" t="inlineStr">
        <is>
          <t>Adidas : Online</t>
        </is>
      </c>
      <c r="G696" t="n">
        <v>537.2548</v>
      </c>
    </row>
    <row r="697">
      <c r="A697">
        <f>HYPERLINK("https://app.vivvix.com/360/KMI/IntelliDrive/ApplUI/Pages/CreativePages/CustomReportCreativeDetail.aspx?App=23&amp;ReportView=4&amp;Qid=1747207&amp;Row=3553&amp;Col=1","No Title Assigned - #15281336121")</f>
        <v/>
      </c>
      <c r="B697" t="inlineStr">
        <is>
          <t>15281336121</t>
        </is>
      </c>
      <c r="E697" t="inlineStr">
        <is>
          <t>Adidas</t>
        </is>
      </c>
      <c r="F697" t="inlineStr">
        <is>
          <t>Adidas : Online</t>
        </is>
      </c>
      <c r="G697" t="n">
        <v>46.1606</v>
      </c>
    </row>
    <row r="698">
      <c r="A698">
        <f>HYPERLINK("https://app.vivvix.com/360/KMI/IntelliDrive/ApplUI/Pages/CreativePages/CustomReportCreativeDetail.aspx?App=23&amp;ReportView=4&amp;Qid=1747207&amp;Row=3554&amp;Col=1","No Title Assigned - #15281339674")</f>
        <v/>
      </c>
      <c r="B698" t="inlineStr">
        <is>
          <t>15281339674</t>
        </is>
      </c>
      <c r="E698" t="inlineStr">
        <is>
          <t>Adidas</t>
        </is>
      </c>
      <c r="F698" t="inlineStr">
        <is>
          <t>Adidas : Online</t>
        </is>
      </c>
      <c r="G698" t="n">
        <v>158.0886</v>
      </c>
    </row>
    <row r="699">
      <c r="A699">
        <f>HYPERLINK("https://app.vivvix.com/360/KMI/IntelliDrive/ApplUI/Pages/CreativePages/CustomReportCreativeDetail.aspx?App=23&amp;ReportView=4&amp;Qid=1747207&amp;Row=3558&amp;Col=1","No Title Assigned - #15281351909")</f>
        <v/>
      </c>
      <c r="B699" t="inlineStr">
        <is>
          <t>15281351909</t>
        </is>
      </c>
      <c r="E699" t="inlineStr">
        <is>
          <t>Adidas</t>
        </is>
      </c>
      <c r="F699" t="inlineStr">
        <is>
          <t>Adidas : Online</t>
        </is>
      </c>
      <c r="G699" t="n">
        <v>25803.7891</v>
      </c>
    </row>
    <row r="700">
      <c r="A700">
        <f>HYPERLINK("https://app.vivvix.com/360/KMI/IntelliDrive/ApplUI/Pages/CreativePages/CustomReportCreativeDetail.aspx?App=23&amp;ReportView=4&amp;Qid=1747207&amp;Row=3559&amp;Col=1","No Title Assigned - #15281352665")</f>
        <v/>
      </c>
      <c r="B700" t="inlineStr">
        <is>
          <t>15281352665</t>
        </is>
      </c>
      <c r="E700" t="inlineStr">
        <is>
          <t>Adidas</t>
        </is>
      </c>
      <c r="F700" t="inlineStr">
        <is>
          <t>Adidas : Online</t>
        </is>
      </c>
      <c r="G700" t="n">
        <v>158.4257</v>
      </c>
    </row>
    <row r="701">
      <c r="A701">
        <f>HYPERLINK("https://app.vivvix.com/360/KMI/IntelliDrive/ApplUI/Pages/CreativePages/CustomReportCreativeDetail.aspx?App=23&amp;ReportView=4&amp;Qid=1747207&amp;Row=3561&amp;Col=1","No Title Assigned - #15281367321")</f>
        <v/>
      </c>
      <c r="B701" t="inlineStr">
        <is>
          <t>15281367321</t>
        </is>
      </c>
      <c r="E701" t="inlineStr">
        <is>
          <t>Adidas</t>
        </is>
      </c>
      <c r="F701" t="inlineStr">
        <is>
          <t>Adidas : Online</t>
        </is>
      </c>
      <c r="G701" t="n">
        <v>34.427</v>
      </c>
    </row>
    <row r="702">
      <c r="A702">
        <f>HYPERLINK("https://app.vivvix.com/360/KMI/IntelliDrive/ApplUI/Pages/CreativePages/CustomReportCreativeDetail.aspx?App=23&amp;ReportView=4&amp;Qid=1747207&amp;Row=3564&amp;Col=1","No Title Assigned - #15281369651")</f>
        <v/>
      </c>
      <c r="B702" t="inlineStr">
        <is>
          <t>15281369651</t>
        </is>
      </c>
      <c r="E702" t="inlineStr">
        <is>
          <t>Adidas</t>
        </is>
      </c>
      <c r="F702" t="inlineStr">
        <is>
          <t>Adidas : Online</t>
        </is>
      </c>
      <c r="G702" t="n">
        <v>46.1606</v>
      </c>
    </row>
    <row r="703">
      <c r="A703">
        <f>HYPERLINK("https://app.vivvix.com/360/KMI/IntelliDrive/ApplUI/Pages/CreativePages/CustomReportCreativeDetail.aspx?App=23&amp;ReportView=4&amp;Qid=1747207&amp;Row=3565&amp;Col=1","No Title Assigned - #15281370834")</f>
        <v/>
      </c>
      <c r="B703" t="inlineStr">
        <is>
          <t>15281370834</t>
        </is>
      </c>
      <c r="E703" t="inlineStr">
        <is>
          <t>Adidas</t>
        </is>
      </c>
      <c r="F703" t="inlineStr">
        <is>
          <t>Adidas : Online</t>
        </is>
      </c>
      <c r="G703" t="n">
        <v>608.3904</v>
      </c>
    </row>
    <row r="704">
      <c r="A704">
        <f>HYPERLINK("https://app.vivvix.com/360/KMI/IntelliDrive/ApplUI/Pages/CreativePages/CustomReportCreativeDetail.aspx?App=23&amp;ReportView=4&amp;Qid=1747207&amp;Row=3567&amp;Col=1","No Title Assigned - #15281378757")</f>
        <v/>
      </c>
      <c r="B704" t="inlineStr">
        <is>
          <t>15281378757</t>
        </is>
      </c>
      <c r="E704" t="inlineStr">
        <is>
          <t>Adidas</t>
        </is>
      </c>
      <c r="F704" t="inlineStr">
        <is>
          <t>Adidas : Online</t>
        </is>
      </c>
      <c r="G704" t="n">
        <v>525.5458</v>
      </c>
    </row>
    <row r="705">
      <c r="A705">
        <f>HYPERLINK("https://app.vivvix.com/360/KMI/IntelliDrive/ApplUI/Pages/CreativePages/CustomReportCreativeDetail.aspx?App=23&amp;ReportView=4&amp;Qid=1747207&amp;Row=3569&amp;Col=1","No Title Assigned - #15281406342")</f>
        <v/>
      </c>
      <c r="B705" t="inlineStr">
        <is>
          <t>15281406342</t>
        </is>
      </c>
      <c r="E705" t="inlineStr">
        <is>
          <t>Adidas</t>
        </is>
      </c>
      <c r="F705" t="inlineStr">
        <is>
          <t>Adidas : Online</t>
        </is>
      </c>
      <c r="G705" t="n">
        <v>46.1606</v>
      </c>
    </row>
    <row r="706">
      <c r="A706">
        <f>HYPERLINK("https://app.vivvix.com/360/KMI/IntelliDrive/ApplUI/Pages/CreativePages/CustomReportCreativeDetail.aspx?App=23&amp;ReportView=4&amp;Qid=1747207&amp;Row=3570&amp;Col=1","No Title Assigned - #15281409700")</f>
        <v/>
      </c>
      <c r="B706" t="inlineStr">
        <is>
          <t>15281409700</t>
        </is>
      </c>
      <c r="E706" t="inlineStr">
        <is>
          <t>Adidas</t>
        </is>
      </c>
      <c r="F706" t="inlineStr">
        <is>
          <t>Adidas : Online</t>
        </is>
      </c>
      <c r="G706" t="n">
        <v>590.0342000000001</v>
      </c>
    </row>
    <row r="707">
      <c r="A707">
        <f>HYPERLINK("https://app.vivvix.com/360/KMI/IntelliDrive/ApplUI/Pages/CreativePages/CustomReportCreativeDetail.aspx?App=23&amp;ReportView=4&amp;Qid=1747207&amp;Row=3571&amp;Col=1","No Title Assigned - #15281411799")</f>
        <v/>
      </c>
      <c r="B707" t="inlineStr">
        <is>
          <t>15281411799</t>
        </is>
      </c>
      <c r="E707" t="inlineStr">
        <is>
          <t>Adidas</t>
        </is>
      </c>
      <c r="F707" t="inlineStr">
        <is>
          <t>Adidas : Online</t>
        </is>
      </c>
      <c r="G707" t="n">
        <v>590.0342000000001</v>
      </c>
    </row>
    <row r="708">
      <c r="A708">
        <f>HYPERLINK("https://app.vivvix.com/360/KMI/IntelliDrive/ApplUI/Pages/CreativePages/CustomReportCreativeDetail.aspx?App=23&amp;ReportView=4&amp;Qid=1747207&amp;Row=3573&amp;Col=1","No Title Assigned - #15281413587")</f>
        <v/>
      </c>
      <c r="B708" t="inlineStr">
        <is>
          <t>15281413587</t>
        </is>
      </c>
      <c r="E708" t="inlineStr">
        <is>
          <t>Adidas</t>
        </is>
      </c>
      <c r="F708" t="inlineStr">
        <is>
          <t>Adidas : Online</t>
        </is>
      </c>
      <c r="G708" t="n">
        <v>204.0621</v>
      </c>
    </row>
    <row r="709">
      <c r="A709">
        <f>HYPERLINK("https://app.vivvix.com/360/KMI/IntelliDrive/ApplUI/Pages/CreativePages/CustomReportCreativeDetail.aspx?App=23&amp;ReportView=4&amp;Qid=1747207&amp;Row=3574&amp;Col=1","No Title Assigned - #15281414442")</f>
        <v/>
      </c>
      <c r="B709" t="inlineStr">
        <is>
          <t>15281414442</t>
        </is>
      </c>
      <c r="E709" t="inlineStr">
        <is>
          <t>Adidas</t>
        </is>
      </c>
      <c r="F709" t="inlineStr">
        <is>
          <t>Adidas : Online</t>
        </is>
      </c>
      <c r="G709" t="n">
        <v>2229.7974</v>
      </c>
    </row>
    <row r="710">
      <c r="A710">
        <f>HYPERLINK("https://app.vivvix.com/360/KMI/IntelliDrive/ApplUI/Pages/CreativePages/CustomReportCreativeDetail.aspx?App=23&amp;ReportView=4&amp;Qid=1747207&amp;Row=3575&amp;Col=1","No Title Assigned - #15281414677")</f>
        <v/>
      </c>
      <c r="B710" t="inlineStr">
        <is>
          <t>15281414677</t>
        </is>
      </c>
      <c r="E710" t="inlineStr">
        <is>
          <t>Adidas</t>
        </is>
      </c>
      <c r="F710" t="inlineStr">
        <is>
          <t>Adidas : Online</t>
        </is>
      </c>
      <c r="G710" t="n">
        <v>329.7898</v>
      </c>
    </row>
    <row r="711">
      <c r="A711">
        <f>HYPERLINK("https://app.vivvix.com/360/KMI/IntelliDrive/ApplUI/Pages/CreativePages/CustomReportCreativeDetail.aspx?App=23&amp;ReportView=4&amp;Qid=1747207&amp;Row=3577&amp;Col=1","No Title Assigned - #15281416970")</f>
        <v/>
      </c>
      <c r="B711" t="inlineStr">
        <is>
          <t>15281416970</t>
        </is>
      </c>
      <c r="E711" t="inlineStr">
        <is>
          <t>Adidas</t>
        </is>
      </c>
      <c r="F711" t="inlineStr">
        <is>
          <t>Adidas : Online</t>
        </is>
      </c>
      <c r="G711" t="n">
        <v>113.4223</v>
      </c>
    </row>
    <row r="712">
      <c r="A712">
        <f>HYPERLINK("https://app.vivvix.com/360/KMI/IntelliDrive/ApplUI/Pages/CreativePages/CustomReportCreativeDetail.aspx?App=23&amp;ReportView=4&amp;Qid=1747207&amp;Row=3578&amp;Col=1","No Title Assigned - #15281417022")</f>
        <v/>
      </c>
      <c r="B712" t="inlineStr">
        <is>
          <t>15281417022</t>
        </is>
      </c>
      <c r="E712" t="inlineStr">
        <is>
          <t>Adidas</t>
        </is>
      </c>
      <c r="F712" t="inlineStr">
        <is>
          <t>Adidas : Online</t>
        </is>
      </c>
      <c r="G712" t="n">
        <v>113.4223</v>
      </c>
    </row>
    <row r="713">
      <c r="A713">
        <f>HYPERLINK("https://app.vivvix.com/360/KMI/IntelliDrive/ApplUI/Pages/CreativePages/CustomReportCreativeDetail.aspx?App=23&amp;ReportView=4&amp;Qid=1747207&amp;Row=3584&amp;Col=1","No Title Assigned - #15281424218")</f>
        <v/>
      </c>
      <c r="B713" t="inlineStr">
        <is>
          <t>15281424218</t>
        </is>
      </c>
      <c r="E713" t="inlineStr">
        <is>
          <t>Adidas</t>
        </is>
      </c>
      <c r="F713" t="inlineStr">
        <is>
          <t>Adidas : Online</t>
        </is>
      </c>
      <c r="G713" t="n">
        <v>458.8518</v>
      </c>
    </row>
    <row r="714">
      <c r="A714">
        <f>HYPERLINK("https://app.vivvix.com/360/KMI/IntelliDrive/ApplUI/Pages/CreativePages/CustomReportCreativeDetail.aspx?App=23&amp;ReportView=4&amp;Qid=1747207&amp;Row=3587&amp;Col=1","No Title Assigned - #15281443639")</f>
        <v/>
      </c>
      <c r="B714" t="inlineStr">
        <is>
          <t>15281443639</t>
        </is>
      </c>
      <c r="E714" t="inlineStr">
        <is>
          <t>Adidas</t>
        </is>
      </c>
      <c r="F714" t="inlineStr">
        <is>
          <t>Adidas : Online</t>
        </is>
      </c>
      <c r="G714" t="n">
        <v>122.837</v>
      </c>
    </row>
    <row r="715">
      <c r="A715">
        <f>HYPERLINK("https://app.vivvix.com/360/KMI/IntelliDrive/ApplUI/Pages/CreativePages/CustomReportCreativeDetail.aspx?App=23&amp;ReportView=4&amp;Qid=1747207&amp;Row=3589&amp;Col=1","No Title Assigned - #15281445850")</f>
        <v/>
      </c>
      <c r="B715" t="inlineStr">
        <is>
          <t>15281445850</t>
        </is>
      </c>
      <c r="E715" t="inlineStr">
        <is>
          <t>Adidas</t>
        </is>
      </c>
      <c r="F715" t="inlineStr">
        <is>
          <t>Adidas : Online</t>
        </is>
      </c>
      <c r="G715" t="n">
        <v>48.3693</v>
      </c>
    </row>
    <row r="716">
      <c r="A716">
        <f>HYPERLINK("https://app.vivvix.com/360/KMI/IntelliDrive/ApplUI/Pages/CreativePages/CustomReportCreativeDetail.aspx?App=23&amp;ReportView=4&amp;Qid=1747207&amp;Row=3591&amp;Col=1","No Title Assigned - #15281447643")</f>
        <v/>
      </c>
      <c r="B716" t="inlineStr">
        <is>
          <t>15281447643</t>
        </is>
      </c>
      <c r="E716" t="inlineStr">
        <is>
          <t>Adidas</t>
        </is>
      </c>
      <c r="F716" t="inlineStr">
        <is>
          <t>Adidas : Online</t>
        </is>
      </c>
      <c r="G716" t="n">
        <v>2737.3928</v>
      </c>
    </row>
    <row r="717">
      <c r="A717">
        <f>HYPERLINK("https://app.vivvix.com/360/KMI/IntelliDrive/ApplUI/Pages/CreativePages/CustomReportCreativeDetail.aspx?App=23&amp;ReportView=4&amp;Qid=1747207&amp;Row=3599&amp;Col=1","No Title Assigned - #15281473683")</f>
        <v/>
      </c>
      <c r="B717" t="inlineStr">
        <is>
          <t>15281473683</t>
        </is>
      </c>
      <c r="E717" t="inlineStr">
        <is>
          <t>Adidas</t>
        </is>
      </c>
      <c r="F717" t="inlineStr">
        <is>
          <t>Adidas : Online</t>
        </is>
      </c>
      <c r="G717" t="n">
        <v>48.3693</v>
      </c>
    </row>
    <row r="718">
      <c r="A718">
        <f>HYPERLINK("https://app.vivvix.com/360/KMI/IntelliDrive/ApplUI/Pages/CreativePages/CustomReportCreativeDetail.aspx?App=23&amp;ReportView=4&amp;Qid=1747207&amp;Row=3604&amp;Col=1","No Title Assigned - #15281516303")</f>
        <v/>
      </c>
      <c r="B718" t="inlineStr">
        <is>
          <t>15281516303</t>
        </is>
      </c>
      <c r="E718" t="inlineStr">
        <is>
          <t>Adidas</t>
        </is>
      </c>
      <c r="F718" t="inlineStr">
        <is>
          <t>Adidas : Online</t>
        </is>
      </c>
      <c r="G718" t="n">
        <v>48.3693</v>
      </c>
    </row>
    <row r="719">
      <c r="A719">
        <f>HYPERLINK("https://app.vivvix.com/360/KMI/IntelliDrive/ApplUI/Pages/CreativePages/CustomReportCreativeDetail.aspx?App=23&amp;ReportView=4&amp;Qid=1747207&amp;Row=3610&amp;Col=1","No Title Assigned - #15281531506")</f>
        <v/>
      </c>
      <c r="B719" t="inlineStr">
        <is>
          <t>15281531506</t>
        </is>
      </c>
      <c r="E719" t="inlineStr">
        <is>
          <t>Adidas</t>
        </is>
      </c>
      <c r="F719" t="inlineStr">
        <is>
          <t>Adidas : Online</t>
        </is>
      </c>
      <c r="G719" t="n">
        <v>317.25</v>
      </c>
    </row>
    <row r="720">
      <c r="A720">
        <f>HYPERLINK("https://app.vivvix.com/360/KMI/IntelliDrive/ApplUI/Pages/CreativePages/CustomReportCreativeDetail.aspx?App=23&amp;ReportView=4&amp;Qid=1747207&amp;Row=3614&amp;Col=1","No Title Assigned - #15281556395")</f>
        <v/>
      </c>
      <c r="B720" t="inlineStr">
        <is>
          <t>15281556395</t>
        </is>
      </c>
      <c r="E720" t="inlineStr">
        <is>
          <t>Adidas</t>
        </is>
      </c>
      <c r="F720" t="inlineStr">
        <is>
          <t>Adidas : Online</t>
        </is>
      </c>
      <c r="G720" t="n">
        <v>2277.6238</v>
      </c>
    </row>
    <row r="721">
      <c r="A721">
        <f>HYPERLINK("https://app.vivvix.com/360/KMI/IntelliDrive/ApplUI/Pages/CreativePages/CustomReportCreativeDetail.aspx?App=23&amp;ReportView=4&amp;Qid=1747207&amp;Row=3623&amp;Col=1","No Title Assigned - #15281589569")</f>
        <v/>
      </c>
      <c r="B721" t="inlineStr">
        <is>
          <t>15281589569</t>
        </is>
      </c>
      <c r="E721" t="inlineStr">
        <is>
          <t>Adidas</t>
        </is>
      </c>
      <c r="F721" t="inlineStr">
        <is>
          <t>Adidas : Online</t>
        </is>
      </c>
      <c r="G721" t="n">
        <v>2871.0232</v>
      </c>
    </row>
    <row r="722">
      <c r="A722">
        <f>HYPERLINK("https://app.vivvix.com/360/KMI/IntelliDrive/ApplUI/Pages/CreativePages/CustomReportCreativeDetail.aspx?App=23&amp;ReportView=4&amp;Qid=1747207&amp;Row=3624&amp;Col=1","No Title Assigned - #15281590903")</f>
        <v/>
      </c>
      <c r="B722" t="inlineStr">
        <is>
          <t>15281590903</t>
        </is>
      </c>
      <c r="E722" t="inlineStr">
        <is>
          <t>Adidas</t>
        </is>
      </c>
      <c r="F722" t="inlineStr">
        <is>
          <t>Adidas : Online</t>
        </is>
      </c>
      <c r="G722" t="n">
        <v>93.0774</v>
      </c>
    </row>
    <row r="723">
      <c r="A723">
        <f>HYPERLINK("https://app.vivvix.com/360/KMI/IntelliDrive/ApplUI/Pages/CreativePages/CustomReportCreativeDetail.aspx?App=23&amp;ReportView=4&amp;Qid=1747207&amp;Row=3633&amp;Col=1","No Title Assigned - #15281628958")</f>
        <v/>
      </c>
      <c r="B723" t="inlineStr">
        <is>
          <t>15281628958</t>
        </is>
      </c>
      <c r="E723" t="inlineStr">
        <is>
          <t>Adidas</t>
        </is>
      </c>
      <c r="F723" t="inlineStr">
        <is>
          <t>Adidas : Online</t>
        </is>
      </c>
      <c r="G723" t="n">
        <v>48.3693</v>
      </c>
    </row>
    <row r="724">
      <c r="A724">
        <f>HYPERLINK("https://app.vivvix.com/360/KMI/IntelliDrive/ApplUI/Pages/CreativePages/CustomReportCreativeDetail.aspx?App=23&amp;ReportView=4&amp;Qid=1747207&amp;Row=3634&amp;Col=1","No Title Assigned - #15281629232")</f>
        <v/>
      </c>
      <c r="B724" t="inlineStr">
        <is>
          <t>15281629232</t>
        </is>
      </c>
      <c r="E724" t="inlineStr">
        <is>
          <t>Adidas</t>
        </is>
      </c>
      <c r="F724" t="inlineStr">
        <is>
          <t>Adidas : Online</t>
        </is>
      </c>
      <c r="G724" t="n">
        <v>122.837</v>
      </c>
    </row>
    <row r="725">
      <c r="A725">
        <f>HYPERLINK("https://app.vivvix.com/360/KMI/IntelliDrive/ApplUI/Pages/CreativePages/CustomReportCreativeDetail.aspx?App=23&amp;ReportView=4&amp;Qid=1747207&amp;Row=3636&amp;Col=1","No Title Assigned - #15281633615")</f>
        <v/>
      </c>
      <c r="B725" t="inlineStr">
        <is>
          <t>15281633615</t>
        </is>
      </c>
      <c r="E725" t="inlineStr">
        <is>
          <t>Adidas</t>
        </is>
      </c>
      <c r="F725" t="inlineStr">
        <is>
          <t>Adidas : Online</t>
        </is>
      </c>
      <c r="G725" t="n">
        <v>156.499</v>
      </c>
    </row>
    <row r="726">
      <c r="A726">
        <f>HYPERLINK("https://app.vivvix.com/360/KMI/IntelliDrive/ApplUI/Pages/CreativePages/CustomReportCreativeDetail.aspx?App=23&amp;ReportView=4&amp;Qid=1747207&amp;Row=3638&amp;Col=1","No Title Assigned - #15281646010")</f>
        <v/>
      </c>
      <c r="B726" t="inlineStr">
        <is>
          <t>15281646010</t>
        </is>
      </c>
      <c r="E726" t="inlineStr">
        <is>
          <t>Adidas</t>
        </is>
      </c>
      <c r="F726" t="inlineStr">
        <is>
          <t>Adidas : Online</t>
        </is>
      </c>
      <c r="G726" t="n">
        <v>72.3124</v>
      </c>
    </row>
    <row r="727">
      <c r="A727">
        <f>HYPERLINK("https://app.vivvix.com/360/KMI/IntelliDrive/ApplUI/Pages/CreativePages/CustomReportCreativeDetail.aspx?App=23&amp;ReportView=4&amp;Qid=1747207&amp;Row=3642&amp;Col=1","No Title Assigned - #15281666025")</f>
        <v/>
      </c>
      <c r="B727" t="inlineStr">
        <is>
          <t>15281666025</t>
        </is>
      </c>
      <c r="E727" t="inlineStr">
        <is>
          <t>Adidas</t>
        </is>
      </c>
      <c r="F727" t="inlineStr">
        <is>
          <t>Adidas : Online</t>
        </is>
      </c>
      <c r="G727" t="n">
        <v>28.8874</v>
      </c>
    </row>
    <row r="728">
      <c r="A728">
        <f>HYPERLINK("https://app.vivvix.com/360/KMI/IntelliDrive/ApplUI/Pages/CreativePages/CustomReportCreativeDetail.aspx?App=23&amp;ReportView=4&amp;Qid=1747207&amp;Row=3643&amp;Col=1","No Title Assigned - #15281666842")</f>
        <v/>
      </c>
      <c r="B728" t="inlineStr">
        <is>
          <t>15281666842</t>
        </is>
      </c>
      <c r="E728" t="inlineStr">
        <is>
          <t>Adidas</t>
        </is>
      </c>
      <c r="F728" t="inlineStr">
        <is>
          <t>Adidas : Online</t>
        </is>
      </c>
      <c r="G728" t="n">
        <v>96.73860000000001</v>
      </c>
    </row>
    <row r="729">
      <c r="A729">
        <f>HYPERLINK("https://app.vivvix.com/360/KMI/IntelliDrive/ApplUI/Pages/CreativePages/CustomReportCreativeDetail.aspx?App=23&amp;ReportView=4&amp;Qid=1747207&amp;Row=3644&amp;Col=1","No Title Assigned - #15281667468")</f>
        <v/>
      </c>
      <c r="B729" t="inlineStr">
        <is>
          <t>15281667468</t>
        </is>
      </c>
      <c r="E729" t="inlineStr">
        <is>
          <t>Adidas</t>
        </is>
      </c>
      <c r="F729" t="inlineStr">
        <is>
          <t>Adidas : Online</t>
        </is>
      </c>
      <c r="G729" t="n">
        <v>48.3693</v>
      </c>
    </row>
    <row r="730">
      <c r="A730">
        <f>HYPERLINK("https://app.vivvix.com/360/KMI/IntelliDrive/ApplUI/Pages/CreativePages/CustomReportCreativeDetail.aspx?App=23&amp;ReportView=4&amp;Qid=1747207&amp;Row=3647&amp;Col=1","No Title Assigned - #15281674909")</f>
        <v/>
      </c>
      <c r="B730" t="inlineStr">
        <is>
          <t>15281674909</t>
        </is>
      </c>
      <c r="E730" t="inlineStr">
        <is>
          <t>Adidas</t>
        </is>
      </c>
      <c r="F730" t="inlineStr">
        <is>
          <t>Adidas : Online</t>
        </is>
      </c>
      <c r="G730" t="n">
        <v>2277.6238</v>
      </c>
    </row>
    <row r="731">
      <c r="A731">
        <f>HYPERLINK("https://app.vivvix.com/360/KMI/IntelliDrive/ApplUI/Pages/CreativePages/CustomReportCreativeDetail.aspx?App=23&amp;ReportView=4&amp;Qid=1747207&amp;Row=3654&amp;Col=1","No Title Assigned - #15281714394")</f>
        <v/>
      </c>
      <c r="B731" t="inlineStr">
        <is>
          <t>15281714394</t>
        </is>
      </c>
      <c r="E731" t="inlineStr">
        <is>
          <t>Adidas</t>
        </is>
      </c>
      <c r="F731" t="inlineStr">
        <is>
          <t>Adidas : Online</t>
        </is>
      </c>
      <c r="G731" t="n">
        <v>168.0958</v>
      </c>
    </row>
    <row r="732">
      <c r="A732">
        <f>HYPERLINK("https://app.vivvix.com/360/KMI/IntelliDrive/ApplUI/Pages/CreativePages/CustomReportCreativeDetail.aspx?App=23&amp;ReportView=4&amp;Qid=1747207&amp;Row=3670&amp;Col=1","No Title Assigned - #15281759820")</f>
        <v/>
      </c>
      <c r="B732" t="inlineStr">
        <is>
          <t>15281759820</t>
        </is>
      </c>
      <c r="E732" t="inlineStr">
        <is>
          <t>Adidas</t>
        </is>
      </c>
      <c r="F732" t="inlineStr">
        <is>
          <t>Adidas : Online</t>
        </is>
      </c>
      <c r="G732" t="n">
        <v>467.1574</v>
      </c>
    </row>
    <row r="733">
      <c r="A733">
        <f>HYPERLINK("https://app.vivvix.com/360/KMI/IntelliDrive/ApplUI/Pages/CreativePages/CustomReportCreativeDetail.aspx?App=23&amp;ReportView=4&amp;Qid=1747207&amp;Row=3672&amp;Col=1","No Title Assigned - #15281763755")</f>
        <v/>
      </c>
      <c r="B733" t="inlineStr">
        <is>
          <t>15281763755</t>
        </is>
      </c>
      <c r="E733" t="inlineStr">
        <is>
          <t>Adidas</t>
        </is>
      </c>
      <c r="F733" t="inlineStr">
        <is>
          <t>Adidas : Online</t>
        </is>
      </c>
      <c r="G733" t="n">
        <v>115.5701</v>
      </c>
    </row>
    <row r="734">
      <c r="A734">
        <f>HYPERLINK("https://app.vivvix.com/360/KMI/IntelliDrive/ApplUI/Pages/CreativePages/CustomReportCreativeDetail.aspx?App=23&amp;ReportView=4&amp;Qid=1747207&amp;Row=3674&amp;Col=1","No Title Assigned - #15281763779")</f>
        <v/>
      </c>
      <c r="B734" t="inlineStr">
        <is>
          <t>15281763779</t>
        </is>
      </c>
      <c r="E734" t="inlineStr">
        <is>
          <t>Adidas</t>
        </is>
      </c>
      <c r="F734" t="inlineStr">
        <is>
          <t>Adidas : Online</t>
        </is>
      </c>
      <c r="G734" t="n">
        <v>115.5701</v>
      </c>
    </row>
    <row r="735">
      <c r="A735">
        <f>HYPERLINK("https://app.vivvix.com/360/KMI/IntelliDrive/ApplUI/Pages/CreativePages/CustomReportCreativeDetail.aspx?App=23&amp;ReportView=4&amp;Qid=1747207&amp;Row=3676&amp;Col=1","No Title Assigned - #15281764706")</f>
        <v/>
      </c>
      <c r="B735" t="inlineStr">
        <is>
          <t>15281764706</t>
        </is>
      </c>
      <c r="E735" t="inlineStr">
        <is>
          <t>Adidas</t>
        </is>
      </c>
      <c r="F735" t="inlineStr">
        <is>
          <t>Adidas : Online</t>
        </is>
      </c>
      <c r="G735" t="n">
        <v>458.8518</v>
      </c>
    </row>
    <row r="736">
      <c r="A736">
        <f>HYPERLINK("https://app.vivvix.com/360/KMI/IntelliDrive/ApplUI/Pages/CreativePages/CustomReportCreativeDetail.aspx?App=23&amp;ReportView=4&amp;Qid=1747207&amp;Row=3686&amp;Col=1","No Title Assigned - #15281772965")</f>
        <v/>
      </c>
      <c r="B736" t="inlineStr">
        <is>
          <t>15281772965</t>
        </is>
      </c>
      <c r="E736" t="inlineStr">
        <is>
          <t>Adidas</t>
        </is>
      </c>
      <c r="F736" t="inlineStr">
        <is>
          <t>Adidas : Online</t>
        </is>
      </c>
      <c r="G736" t="n">
        <v>223.7502</v>
      </c>
    </row>
    <row r="737">
      <c r="A737">
        <f>HYPERLINK("https://app.vivvix.com/360/KMI/IntelliDrive/ApplUI/Pages/CreativePages/CustomReportCreativeDetail.aspx?App=23&amp;ReportView=4&amp;Qid=1747207&amp;Row=3691&amp;Col=1","No Title Assigned - #15281779278")</f>
        <v/>
      </c>
      <c r="B737" t="inlineStr">
        <is>
          <t>15281779278</t>
        </is>
      </c>
      <c r="E737" t="inlineStr">
        <is>
          <t>Adidas</t>
        </is>
      </c>
      <c r="F737" t="inlineStr">
        <is>
          <t>Adidas : Online</t>
        </is>
      </c>
      <c r="G737" t="n">
        <v>312.998</v>
      </c>
    </row>
    <row r="738">
      <c r="A738">
        <f>HYPERLINK("https://app.vivvix.com/360/KMI/IntelliDrive/ApplUI/Pages/CreativePages/CustomReportCreativeDetail.aspx?App=23&amp;ReportView=4&amp;Qid=1747207&amp;Row=3700&amp;Col=1","No Title Assigned - #15281818722")</f>
        <v/>
      </c>
      <c r="B738" t="inlineStr">
        <is>
          <t>15281818722</t>
        </is>
      </c>
      <c r="E738" t="inlineStr">
        <is>
          <t>Adidas</t>
        </is>
      </c>
      <c r="F738" t="inlineStr">
        <is>
          <t>Adidas : Online</t>
        </is>
      </c>
      <c r="G738" t="n">
        <v>344.5083</v>
      </c>
    </row>
    <row r="739">
      <c r="A739">
        <f>HYPERLINK("https://app.vivvix.com/360/KMI/IntelliDrive/ApplUI/Pages/CreativePages/CustomReportCreativeDetail.aspx?App=23&amp;ReportView=4&amp;Qid=1747207&amp;Row=3711&amp;Col=1","No Title Assigned - #15281873029")</f>
        <v/>
      </c>
      <c r="B739" t="inlineStr">
        <is>
          <t>15281873029</t>
        </is>
      </c>
      <c r="E739" t="inlineStr">
        <is>
          <t>Adidas</t>
        </is>
      </c>
      <c r="F739" t="inlineStr">
        <is>
          <t>Adidas : Online</t>
        </is>
      </c>
      <c r="G739" t="n">
        <v>156.499</v>
      </c>
    </row>
    <row r="740">
      <c r="A740">
        <f>HYPERLINK("https://app.vivvix.com/360/KMI/IntelliDrive/ApplUI/Pages/CreativePages/CustomReportCreativeDetail.aspx?App=23&amp;ReportView=4&amp;Qid=1747207&amp;Row=3713&amp;Col=1","No Title Assigned - #15281879492")</f>
        <v/>
      </c>
      <c r="B740" t="inlineStr">
        <is>
          <t>15281879492</t>
        </is>
      </c>
      <c r="E740" t="inlineStr">
        <is>
          <t>Adidas</t>
        </is>
      </c>
      <c r="F740" t="inlineStr">
        <is>
          <t>Adidas : Online</t>
        </is>
      </c>
      <c r="G740" t="n">
        <v>2277.6238</v>
      </c>
    </row>
    <row r="741">
      <c r="A741">
        <f>HYPERLINK("https://app.vivvix.com/360/KMI/IntelliDrive/ApplUI/Pages/CreativePages/CustomReportCreativeDetail.aspx?App=23&amp;ReportView=4&amp;Qid=1747207&amp;Row=3718&amp;Col=1","No Title Assigned - #15281903756")</f>
        <v/>
      </c>
      <c r="B741" t="inlineStr">
        <is>
          <t>15281903756</t>
        </is>
      </c>
      <c r="E741" t="inlineStr">
        <is>
          <t>Adidas</t>
        </is>
      </c>
      <c r="F741" t="inlineStr">
        <is>
          <t>Adidas : Online</t>
        </is>
      </c>
      <c r="G741" t="n">
        <v>3645.1692</v>
      </c>
    </row>
    <row r="742">
      <c r="A742">
        <f>HYPERLINK("https://app.vivvix.com/360/KMI/IntelliDrive/ApplUI/Pages/CreativePages/CustomReportCreativeDetail.aspx?App=23&amp;ReportView=4&amp;Qid=1747207&amp;Row=3723&amp;Col=1","No Title Assigned - #15281911505")</f>
        <v/>
      </c>
      <c r="B742" t="inlineStr">
        <is>
          <t>15281911505</t>
        </is>
      </c>
      <c r="E742" t="inlineStr">
        <is>
          <t>Adidas</t>
        </is>
      </c>
      <c r="F742" t="inlineStr">
        <is>
          <t>Adidas : Online</t>
        </is>
      </c>
      <c r="G742" t="n">
        <v>109.3656</v>
      </c>
    </row>
    <row r="743">
      <c r="A743">
        <f>HYPERLINK("https://app.vivvix.com/360/KMI/IntelliDrive/ApplUI/Pages/CreativePages/CustomReportCreativeDetail.aspx?App=23&amp;ReportView=4&amp;Qid=1747207&amp;Row=3724&amp;Col=1","No Title Assigned - #15281918832")</f>
        <v/>
      </c>
      <c r="B743" t="inlineStr">
        <is>
          <t>15281918832</t>
        </is>
      </c>
      <c r="E743" t="inlineStr">
        <is>
          <t>Adidas</t>
        </is>
      </c>
      <c r="F743" t="inlineStr">
        <is>
          <t>Adidas : Online</t>
        </is>
      </c>
      <c r="G743" t="n">
        <v>193.4772</v>
      </c>
    </row>
    <row r="744">
      <c r="A744">
        <f>HYPERLINK("https://app.vivvix.com/360/KMI/IntelliDrive/ApplUI/Pages/CreativePages/CustomReportCreativeDetail.aspx?App=23&amp;ReportView=4&amp;Qid=1747207&amp;Row=3736&amp;Col=1","No Title Assigned - #15281988928")</f>
        <v/>
      </c>
      <c r="B744" t="inlineStr">
        <is>
          <t>15281988928</t>
        </is>
      </c>
      <c r="E744" t="inlineStr">
        <is>
          <t>Adidas</t>
        </is>
      </c>
      <c r="F744" t="inlineStr">
        <is>
          <t>Adidas : Online</t>
        </is>
      </c>
      <c r="G744" t="n">
        <v>125.7277</v>
      </c>
    </row>
    <row r="745">
      <c r="A745">
        <f>HYPERLINK("https://app.vivvix.com/360/KMI/IntelliDrive/ApplUI/Pages/CreativePages/CustomReportCreativeDetail.aspx?App=23&amp;ReportView=4&amp;Qid=1747207&amp;Row=3741&amp;Col=1","No Title Assigned - #15282016850")</f>
        <v/>
      </c>
      <c r="B745" t="inlineStr">
        <is>
          <t>15282016850</t>
        </is>
      </c>
      <c r="E745" t="inlineStr">
        <is>
          <t>Adidas</t>
        </is>
      </c>
      <c r="F745" t="inlineStr">
        <is>
          <t>Adidas : Online</t>
        </is>
      </c>
      <c r="G745" t="n">
        <v>459.769</v>
      </c>
    </row>
    <row r="746">
      <c r="A746">
        <f>HYPERLINK("https://app.vivvix.com/360/KMI/IntelliDrive/ApplUI/Pages/CreativePages/CustomReportCreativeDetail.aspx?App=23&amp;ReportView=4&amp;Qid=1747207&amp;Row=3744&amp;Col=1","No Title Assigned - #15282051753")</f>
        <v/>
      </c>
      <c r="B746" t="inlineStr">
        <is>
          <t>15282051753</t>
        </is>
      </c>
      <c r="E746" t="inlineStr">
        <is>
          <t>Adidas</t>
        </is>
      </c>
      <c r="F746" t="inlineStr">
        <is>
          <t>Adidas : Online</t>
        </is>
      </c>
      <c r="G746" t="n">
        <v>3299.0051</v>
      </c>
    </row>
    <row r="747">
      <c r="A747">
        <f>HYPERLINK("https://app.vivvix.com/360/KMI/IntelliDrive/ApplUI/Pages/CreativePages/CustomReportCreativeDetail.aspx?App=23&amp;ReportView=4&amp;Qid=1747207&amp;Row=3754&amp;Col=1","No Title Assigned - #15282093284")</f>
        <v/>
      </c>
      <c r="B747" t="inlineStr">
        <is>
          <t>15282093284</t>
        </is>
      </c>
      <c r="E747" t="inlineStr">
        <is>
          <t>Adidas</t>
        </is>
      </c>
      <c r="F747" t="inlineStr">
        <is>
          <t>Adidas : Online</t>
        </is>
      </c>
      <c r="G747" t="n">
        <v>1768.5887</v>
      </c>
    </row>
    <row r="748">
      <c r="A748">
        <f>HYPERLINK("https://app.vivvix.com/360/KMI/IntelliDrive/ApplUI/Pages/CreativePages/CustomReportCreativeDetail.aspx?App=23&amp;ReportView=4&amp;Qid=1747207&amp;Row=3764&amp;Col=1","No Title Assigned - #15282146885")</f>
        <v/>
      </c>
      <c r="B748" t="inlineStr">
        <is>
          <t>15282146885</t>
        </is>
      </c>
      <c r="E748" t="inlineStr">
        <is>
          <t>Adidas</t>
        </is>
      </c>
      <c r="F748" t="inlineStr">
        <is>
          <t>Adidas : Online</t>
        </is>
      </c>
      <c r="G748" t="n">
        <v>824.3941</v>
      </c>
    </row>
    <row r="749">
      <c r="A749">
        <f>HYPERLINK("https://app.vivvix.com/360/KMI/IntelliDrive/ApplUI/Pages/CreativePages/CustomReportCreativeDetail.aspx?App=23&amp;ReportView=4&amp;Qid=1747207&amp;Row=3765&amp;Col=1","No Title Assigned - #15282148182")</f>
        <v/>
      </c>
      <c r="B749" t="inlineStr">
        <is>
          <t>15282148182</t>
        </is>
      </c>
      <c r="E749" t="inlineStr">
        <is>
          <t>Adidas</t>
        </is>
      </c>
      <c r="F749" t="inlineStr">
        <is>
          <t>Adidas : Online</t>
        </is>
      </c>
      <c r="G749" t="n">
        <v>93.0774</v>
      </c>
    </row>
    <row r="750">
      <c r="A750">
        <f>HYPERLINK("https://app.vivvix.com/360/KMI/IntelliDrive/ApplUI/Pages/CreativePages/CustomReportCreativeDetail.aspx?App=23&amp;ReportView=4&amp;Qid=1747207&amp;Row=3774&amp;Col=1","No Title Assigned - #15282179133")</f>
        <v/>
      </c>
      <c r="B750" t="inlineStr">
        <is>
          <t>15282179133</t>
        </is>
      </c>
      <c r="E750" t="inlineStr">
        <is>
          <t>Adidas</t>
        </is>
      </c>
      <c r="F750" t="inlineStr">
        <is>
          <t>Adidas : Online</t>
        </is>
      </c>
      <c r="G750" t="n">
        <v>156.499</v>
      </c>
    </row>
    <row r="751">
      <c r="A751">
        <f>HYPERLINK("https://app.vivvix.com/360/KMI/IntelliDrive/ApplUI/Pages/CreativePages/CustomReportCreativeDetail.aspx?App=23&amp;ReportView=4&amp;Qid=1747207&amp;Row=3783&amp;Col=1","No Title Assigned - #15282200301")</f>
        <v/>
      </c>
      <c r="B751" t="inlineStr">
        <is>
          <t>15282200301</t>
        </is>
      </c>
      <c r="E751" t="inlineStr">
        <is>
          <t>Adidas</t>
        </is>
      </c>
      <c r="F751" t="inlineStr">
        <is>
          <t>Adidas : Online</t>
        </is>
      </c>
      <c r="G751" t="n">
        <v>241.8465</v>
      </c>
    </row>
    <row r="752">
      <c r="A752">
        <f>HYPERLINK("https://app.vivvix.com/360/KMI/IntelliDrive/ApplUI/Pages/CreativePages/CustomReportCreativeDetail.aspx?App=23&amp;ReportView=4&amp;Qid=1747207&amp;Row=3785&amp;Col=1","No Title Assigned - #15282202569")</f>
        <v/>
      </c>
      <c r="B752" t="inlineStr">
        <is>
          <t>15282202569</t>
        </is>
      </c>
      <c r="E752" t="inlineStr">
        <is>
          <t>Adidas</t>
        </is>
      </c>
      <c r="F752" t="inlineStr">
        <is>
          <t>Adidas : Online</t>
        </is>
      </c>
      <c r="G752" t="n">
        <v>102.4934</v>
      </c>
    </row>
    <row r="753">
      <c r="A753">
        <f>HYPERLINK("https://app.vivvix.com/360/KMI/IntelliDrive/ApplUI/Pages/CreativePages/CustomReportCreativeDetail.aspx?App=23&amp;ReportView=4&amp;Qid=1747207&amp;Row=3786&amp;Col=1","No Title Assigned - #15282202631")</f>
        <v/>
      </c>
      <c r="B753" t="inlineStr">
        <is>
          <t>15282202631</t>
        </is>
      </c>
      <c r="E753" t="inlineStr">
        <is>
          <t>Adidas</t>
        </is>
      </c>
      <c r="F753" t="inlineStr">
        <is>
          <t>Adidas : Online</t>
        </is>
      </c>
      <c r="G753" t="n">
        <v>693.5823</v>
      </c>
    </row>
    <row r="754">
      <c r="A754">
        <f>HYPERLINK("https://app.vivvix.com/360/KMI/IntelliDrive/ApplUI/Pages/CreativePages/CustomReportCreativeDetail.aspx?App=23&amp;ReportView=4&amp;Qid=1747207&amp;Row=3799&amp;Col=1","No Title Assigned - #15282234574")</f>
        <v/>
      </c>
      <c r="B754" t="inlineStr">
        <is>
          <t>15282234574</t>
        </is>
      </c>
      <c r="E754" t="inlineStr">
        <is>
          <t>Adidas</t>
        </is>
      </c>
      <c r="F754" t="inlineStr">
        <is>
          <t>Adidas : Online</t>
        </is>
      </c>
      <c r="G754" t="n">
        <v>70657.7813</v>
      </c>
    </row>
    <row r="755">
      <c r="A755">
        <f>HYPERLINK("https://app.vivvix.com/360/KMI/IntelliDrive/ApplUI/Pages/CreativePages/CustomReportCreativeDetail.aspx?App=23&amp;ReportView=4&amp;Qid=1747207&amp;Row=3801&amp;Col=1","No Title Assigned - #15282237274")</f>
        <v/>
      </c>
      <c r="B755" t="inlineStr">
        <is>
          <t>15282237274</t>
        </is>
      </c>
      <c r="E755" t="inlineStr">
        <is>
          <t>Adidas</t>
        </is>
      </c>
      <c r="F755" t="inlineStr">
        <is>
          <t>Adidas : Online</t>
        </is>
      </c>
      <c r="G755" t="n">
        <v>3645.1692</v>
      </c>
    </row>
    <row r="756">
      <c r="A756">
        <f>HYPERLINK("https://app.vivvix.com/360/KMI/IntelliDrive/ApplUI/Pages/CreativePages/CustomReportCreativeDetail.aspx?App=23&amp;ReportView=4&amp;Qid=1747207&amp;Row=3802&amp;Col=1","No Title Assigned - #15282240866")</f>
        <v/>
      </c>
      <c r="B756" t="inlineStr">
        <is>
          <t>15282240866</t>
        </is>
      </c>
      <c r="E756" t="inlineStr">
        <is>
          <t>Adidas</t>
        </is>
      </c>
      <c r="F756" t="inlineStr">
        <is>
          <t>Adidas : Online</t>
        </is>
      </c>
      <c r="G756" t="n">
        <v>493.9202</v>
      </c>
    </row>
    <row r="757">
      <c r="A757">
        <f>HYPERLINK("https://app.vivvix.com/360/KMI/IntelliDrive/ApplUI/Pages/CreativePages/CustomReportCreativeDetail.aspx?App=23&amp;ReportView=4&amp;Qid=1747207&amp;Row=3806&amp;Col=1","No Title Assigned - #15282245237")</f>
        <v/>
      </c>
      <c r="B757" t="inlineStr">
        <is>
          <t>15282245237</t>
        </is>
      </c>
      <c r="E757" t="inlineStr">
        <is>
          <t>Adidas</t>
        </is>
      </c>
      <c r="F757" t="inlineStr">
        <is>
          <t>Adidas : Online</t>
        </is>
      </c>
      <c r="G757" t="n">
        <v>157.2167</v>
      </c>
    </row>
    <row r="758">
      <c r="A758">
        <f>HYPERLINK("https://app.vivvix.com/360/KMI/IntelliDrive/ApplUI/Pages/CreativePages/CustomReportCreativeDetail.aspx?App=23&amp;ReportView=4&amp;Qid=1747207&amp;Row=3807&amp;Col=1","No Title Assigned - #15282246295")</f>
        <v/>
      </c>
      <c r="B758" t="inlineStr">
        <is>
          <t>15282246295</t>
        </is>
      </c>
      <c r="E758" t="inlineStr">
        <is>
          <t>Adidas</t>
        </is>
      </c>
      <c r="F758" t="inlineStr">
        <is>
          <t>Adidas : Online</t>
        </is>
      </c>
      <c r="G758" t="n">
        <v>454.0355</v>
      </c>
    </row>
    <row r="759">
      <c r="A759">
        <f>HYPERLINK("https://app.vivvix.com/360/KMI/IntelliDrive/ApplUI/Pages/CreativePages/CustomReportCreativeDetail.aspx?App=23&amp;ReportView=4&amp;Qid=1747207&amp;Row=3809&amp;Col=1","No Title Assigned - #15282259944")</f>
        <v/>
      </c>
      <c r="B759" t="inlineStr">
        <is>
          <t>15282259944</t>
        </is>
      </c>
      <c r="E759" t="inlineStr">
        <is>
          <t>Adidas</t>
        </is>
      </c>
      <c r="F759" t="inlineStr">
        <is>
          <t>Adidas : Online</t>
        </is>
      </c>
      <c r="G759" t="n">
        <v>459.8054</v>
      </c>
    </row>
    <row r="760">
      <c r="A760">
        <f>HYPERLINK("https://app.vivvix.com/360/KMI/IntelliDrive/ApplUI/Pages/CreativePages/CustomReportCreativeDetail.aspx?App=23&amp;ReportView=4&amp;Qid=1747207&amp;Row=3810&amp;Col=1","No Title Assigned - #15282267900")</f>
        <v/>
      </c>
      <c r="B760" t="inlineStr">
        <is>
          <t>15282267900</t>
        </is>
      </c>
      <c r="E760" t="inlineStr">
        <is>
          <t>Adidas</t>
        </is>
      </c>
      <c r="F760" t="inlineStr">
        <is>
          <t>Adidas : Online</t>
        </is>
      </c>
      <c r="G760" t="n">
        <v>504.9196</v>
      </c>
    </row>
    <row r="761">
      <c r="A761">
        <f>HYPERLINK("https://app.vivvix.com/360/KMI/IntelliDrive/ApplUI/Pages/CreativePages/CustomReportCreativeDetail.aspx?App=23&amp;ReportView=4&amp;Qid=1747207&amp;Row=3811&amp;Col=1","No Title Assigned - #15282268098")</f>
        <v/>
      </c>
      <c r="B761" t="inlineStr">
        <is>
          <t>15282268098</t>
        </is>
      </c>
      <c r="E761" t="inlineStr">
        <is>
          <t>Adidas</t>
        </is>
      </c>
      <c r="F761" t="inlineStr">
        <is>
          <t>Adidas : Online</t>
        </is>
      </c>
      <c r="G761" t="n">
        <v>2782.5434</v>
      </c>
    </row>
    <row r="762">
      <c r="A762">
        <f>HYPERLINK("https://app.vivvix.com/360/KMI/IntelliDrive/ApplUI/Pages/CreativePages/CustomReportCreativeDetail.aspx?App=23&amp;ReportView=4&amp;Qid=1747207&amp;Row=3812&amp;Col=1","No Title Assigned - #15282268519")</f>
        <v/>
      </c>
      <c r="B762" t="inlineStr">
        <is>
          <t>15282268519</t>
        </is>
      </c>
      <c r="E762" t="inlineStr">
        <is>
          <t>Adidas</t>
        </is>
      </c>
      <c r="F762" t="inlineStr">
        <is>
          <t>Adidas : Online</t>
        </is>
      </c>
      <c r="G762" t="n">
        <v>2679.7869</v>
      </c>
    </row>
    <row r="763">
      <c r="A763">
        <f>HYPERLINK("https://app.vivvix.com/360/KMI/IntelliDrive/ApplUI/Pages/CreativePages/CustomReportCreativeDetail.aspx?App=23&amp;ReportView=4&amp;Qid=1747207&amp;Row=3813&amp;Col=1","No Title Assigned - #15282269965")</f>
        <v/>
      </c>
      <c r="B763" t="inlineStr">
        <is>
          <t>15282269965</t>
        </is>
      </c>
      <c r="E763" t="inlineStr">
        <is>
          <t>Adidas</t>
        </is>
      </c>
      <c r="F763" t="inlineStr">
        <is>
          <t>Adidas : Online</t>
        </is>
      </c>
      <c r="G763" t="n">
        <v>145.1079</v>
      </c>
    </row>
    <row r="764">
      <c r="A764">
        <f>HYPERLINK("https://app.vivvix.com/360/KMI/IntelliDrive/ApplUI/Pages/CreativePages/CustomReportCreativeDetail.aspx?App=23&amp;ReportView=4&amp;Qid=1747207&amp;Row=3817&amp;Col=1","No Title Assigned - #15282275717")</f>
        <v/>
      </c>
      <c r="B764" t="inlineStr">
        <is>
          <t>15282275717</t>
        </is>
      </c>
      <c r="E764" t="inlineStr">
        <is>
          <t>Adidas</t>
        </is>
      </c>
      <c r="F764" t="inlineStr">
        <is>
          <t>Adidas : Online</t>
        </is>
      </c>
      <c r="G764" t="n">
        <v>476.8917</v>
      </c>
    </row>
    <row r="765">
      <c r="A765">
        <f>HYPERLINK("https://app.vivvix.com/360/KMI/IntelliDrive/ApplUI/Pages/CreativePages/CustomReportCreativeDetail.aspx?App=23&amp;ReportView=4&amp;Qid=1747207&amp;Row=3820&amp;Col=1","No Title Assigned - #15282278094")</f>
        <v/>
      </c>
      <c r="B765" t="inlineStr">
        <is>
          <t>15282278094</t>
        </is>
      </c>
      <c r="E765" t="inlineStr">
        <is>
          <t>Adidas</t>
        </is>
      </c>
      <c r="F765" t="inlineStr">
        <is>
          <t>Adidas : Online</t>
        </is>
      </c>
      <c r="G765" t="n">
        <v>504.9196</v>
      </c>
    </row>
    <row r="766">
      <c r="A766">
        <f>HYPERLINK("https://app.vivvix.com/360/KMI/IntelliDrive/ApplUI/Pages/CreativePages/CustomReportCreativeDetail.aspx?App=23&amp;ReportView=4&amp;Qid=1747207&amp;Row=3825&amp;Col=1","No Title Assigned - #15282285273")</f>
        <v/>
      </c>
      <c r="B766" t="inlineStr">
        <is>
          <t>15282285273</t>
        </is>
      </c>
      <c r="E766" t="inlineStr">
        <is>
          <t>Adidas</t>
        </is>
      </c>
      <c r="F766" t="inlineStr">
        <is>
          <t>Adidas : Online</t>
        </is>
      </c>
      <c r="G766" t="n">
        <v>48.3693</v>
      </c>
    </row>
    <row r="767">
      <c r="A767">
        <f>HYPERLINK("https://app.vivvix.com/360/KMI/IntelliDrive/ApplUI/Pages/CreativePages/CustomReportCreativeDetail.aspx?App=23&amp;ReportView=4&amp;Qid=1747207&amp;Row=3832&amp;Col=1","No Title Assigned - #15282293862")</f>
        <v/>
      </c>
      <c r="B767" t="inlineStr">
        <is>
          <t>15282293862</t>
        </is>
      </c>
      <c r="E767" t="inlineStr">
        <is>
          <t>Adidas</t>
        </is>
      </c>
      <c r="F767" t="inlineStr">
        <is>
          <t>Adidas : Online</t>
        </is>
      </c>
      <c r="G767" t="n">
        <v>1193.7009</v>
      </c>
    </row>
    <row r="768">
      <c r="A768">
        <f>HYPERLINK("https://app.vivvix.com/360/KMI/IntelliDrive/ApplUI/Pages/CreativePages/CustomReportCreativeDetail.aspx?App=23&amp;ReportView=4&amp;Qid=1747207&amp;Row=3834&amp;Col=1","No Title Assigned - #15282296485")</f>
        <v/>
      </c>
      <c r="B768" t="inlineStr">
        <is>
          <t>15282296485</t>
        </is>
      </c>
      <c r="E768" t="inlineStr">
        <is>
          <t>Adidas</t>
        </is>
      </c>
      <c r="F768" t="inlineStr">
        <is>
          <t>Adidas : Online</t>
        </is>
      </c>
      <c r="G768" t="n">
        <v>1193.7009</v>
      </c>
    </row>
    <row r="769">
      <c r="A769">
        <f>HYPERLINK("https://app.vivvix.com/360/KMI/IntelliDrive/ApplUI/Pages/CreativePages/CustomReportCreativeDetail.aspx?App=23&amp;ReportView=4&amp;Qid=1747207&amp;Row=3836&amp;Col=1","No Title Assigned - #15282296512")</f>
        <v/>
      </c>
      <c r="B769" t="inlineStr">
        <is>
          <t>15282296512</t>
        </is>
      </c>
      <c r="E769" t="inlineStr">
        <is>
          <t>Adidas</t>
        </is>
      </c>
      <c r="F769" t="inlineStr">
        <is>
          <t>Adidas : Online</t>
        </is>
      </c>
      <c r="G769" t="n">
        <v>48.3693</v>
      </c>
    </row>
    <row r="770">
      <c r="A770">
        <f>HYPERLINK("https://app.vivvix.com/360/KMI/IntelliDrive/ApplUI/Pages/CreativePages/CustomReportCreativeDetail.aspx?App=23&amp;ReportView=4&amp;Qid=1747207&amp;Row=3841&amp;Col=1","No Title Assigned - #15282301419")</f>
        <v/>
      </c>
      <c r="B770" t="inlineStr">
        <is>
          <t>15282301419</t>
        </is>
      </c>
      <c r="E770" t="inlineStr">
        <is>
          <t>Adidas</t>
        </is>
      </c>
      <c r="F770" t="inlineStr">
        <is>
          <t>Adidas : Online</t>
        </is>
      </c>
      <c r="G770" t="n">
        <v>255.956</v>
      </c>
    </row>
    <row r="771">
      <c r="A771">
        <f>HYPERLINK("https://app.vivvix.com/360/KMI/IntelliDrive/ApplUI/Pages/CreativePages/CustomReportCreativeDetail.aspx?App=23&amp;ReportView=4&amp;Qid=1747207&amp;Row=3842&amp;Col=1","No Title Assigned - #15282303227")</f>
        <v/>
      </c>
      <c r="B771" t="inlineStr">
        <is>
          <t>15282303227</t>
        </is>
      </c>
      <c r="E771" t="inlineStr">
        <is>
          <t>Adidas</t>
        </is>
      </c>
      <c r="F771" t="inlineStr">
        <is>
          <t>Adidas : Online</t>
        </is>
      </c>
      <c r="G771" t="n">
        <v>255.956</v>
      </c>
    </row>
    <row r="772">
      <c r="A772">
        <f>HYPERLINK("https://app.vivvix.com/360/KMI/IntelliDrive/ApplUI/Pages/CreativePages/CustomReportCreativeDetail.aspx?App=23&amp;ReportView=4&amp;Qid=1747207&amp;Row=3844&amp;Col=1","No Title Assigned - #15282311576")</f>
        <v/>
      </c>
      <c r="B772" t="inlineStr">
        <is>
          <t>15282311576</t>
        </is>
      </c>
      <c r="E772" t="inlineStr">
        <is>
          <t>Adidas</t>
        </is>
      </c>
      <c r="F772" t="inlineStr">
        <is>
          <t>Adidas : Online</t>
        </is>
      </c>
      <c r="G772" t="n">
        <v>504.5946</v>
      </c>
    </row>
    <row r="773">
      <c r="A773">
        <f>HYPERLINK("https://app.vivvix.com/360/KMI/IntelliDrive/ApplUI/Pages/CreativePages/CustomReportCreativeDetail.aspx?App=23&amp;ReportView=4&amp;Qid=1747207&amp;Row=3847&amp;Col=1","No Title Assigned - #15282322025")</f>
        <v/>
      </c>
      <c r="B773" t="inlineStr">
        <is>
          <t>15282322025</t>
        </is>
      </c>
      <c r="E773" t="inlineStr">
        <is>
          <t>Adidas</t>
        </is>
      </c>
      <c r="F773" t="inlineStr">
        <is>
          <t>Adidas : Online</t>
        </is>
      </c>
      <c r="G773" t="n">
        <v>778.8396</v>
      </c>
    </row>
    <row r="774">
      <c r="A774">
        <f>HYPERLINK("https://app.vivvix.com/360/KMI/IntelliDrive/ApplUI/Pages/CreativePages/CustomReportCreativeDetail.aspx?App=23&amp;ReportView=4&amp;Qid=1747207&amp;Row=3848&amp;Col=1","No Title Assigned - #15282325597")</f>
        <v/>
      </c>
      <c r="B774" t="inlineStr">
        <is>
          <t>15282325597</t>
        </is>
      </c>
      <c r="E774" t="inlineStr">
        <is>
          <t>Adidas</t>
        </is>
      </c>
      <c r="F774" t="inlineStr">
        <is>
          <t>Adidas : Online</t>
        </is>
      </c>
      <c r="G774" t="n">
        <v>47.8511</v>
      </c>
    </row>
    <row r="775">
      <c r="A775">
        <f>HYPERLINK("https://app.vivvix.com/360/KMI/IntelliDrive/ApplUI/Pages/CreativePages/CustomReportCreativeDetail.aspx?App=23&amp;ReportView=4&amp;Qid=1747207&amp;Row=3850&amp;Col=1","No Title Assigned - #15282327995")</f>
        <v/>
      </c>
      <c r="B775" t="inlineStr">
        <is>
          <t>15282327995</t>
        </is>
      </c>
      <c r="E775" t="inlineStr">
        <is>
          <t>Adidas</t>
        </is>
      </c>
      <c r="F775" t="inlineStr">
        <is>
          <t>Adidas : Online</t>
        </is>
      </c>
      <c r="G775" t="n">
        <v>890.9147</v>
      </c>
    </row>
    <row r="776">
      <c r="A776">
        <f>HYPERLINK("https://app.vivvix.com/360/KMI/IntelliDrive/ApplUI/Pages/CreativePages/CustomReportCreativeDetail.aspx?App=23&amp;ReportView=4&amp;Qid=1747207&amp;Row=3856&amp;Col=1","No Title Assigned - #15282331885")</f>
        <v/>
      </c>
      <c r="B776" t="inlineStr">
        <is>
          <t>15282331885</t>
        </is>
      </c>
      <c r="E776" t="inlineStr">
        <is>
          <t>Adidas</t>
        </is>
      </c>
      <c r="F776" t="inlineStr">
        <is>
          <t>Adidas : Online</t>
        </is>
      </c>
      <c r="G776" t="n">
        <v>440.8405</v>
      </c>
    </row>
    <row r="777">
      <c r="A777">
        <f>HYPERLINK("https://app.vivvix.com/360/KMI/IntelliDrive/ApplUI/Pages/CreativePages/CustomReportCreativeDetail.aspx?App=23&amp;ReportView=4&amp;Qid=1747207&amp;Row=3859&amp;Col=1","No Title Assigned - #15282334932")</f>
        <v/>
      </c>
      <c r="B777" t="inlineStr">
        <is>
          <t>15282334932</t>
        </is>
      </c>
      <c r="E777" t="inlineStr">
        <is>
          <t>Adidas</t>
        </is>
      </c>
      <c r="F777" t="inlineStr">
        <is>
          <t>Adidas : Online</t>
        </is>
      </c>
      <c r="G777" t="n">
        <v>1193.7009</v>
      </c>
    </row>
    <row r="778">
      <c r="A778">
        <f>HYPERLINK("https://app.vivvix.com/360/KMI/IntelliDrive/ApplUI/Pages/CreativePages/CustomReportCreativeDetail.aspx?App=23&amp;ReportView=4&amp;Qid=1747207&amp;Row=3860&amp;Col=1","No Title Assigned - #15282335222")</f>
        <v/>
      </c>
      <c r="B778" t="inlineStr">
        <is>
          <t>15282335222</t>
        </is>
      </c>
      <c r="E778" t="inlineStr">
        <is>
          <t>Adidas</t>
        </is>
      </c>
      <c r="F778" t="inlineStr">
        <is>
          <t>Adidas : Online</t>
        </is>
      </c>
      <c r="G778" t="n">
        <v>798.5004</v>
      </c>
    </row>
    <row r="779">
      <c r="A779">
        <f>HYPERLINK("https://app.vivvix.com/360/KMI/IntelliDrive/ApplUI/Pages/CreativePages/CustomReportCreativeDetail.aspx?App=23&amp;ReportView=4&amp;Qid=1747207&amp;Row=3861&amp;Col=1","No Title Assigned - #15282339837")</f>
        <v/>
      </c>
      <c r="B779" t="inlineStr">
        <is>
          <t>15282339837</t>
        </is>
      </c>
      <c r="E779" t="inlineStr">
        <is>
          <t>Adidas</t>
        </is>
      </c>
      <c r="F779" t="inlineStr">
        <is>
          <t>Adidas : Online</t>
        </is>
      </c>
      <c r="G779" t="n">
        <v>510.567</v>
      </c>
    </row>
    <row r="780">
      <c r="A780">
        <f>HYPERLINK("https://app.vivvix.com/360/KMI/IntelliDrive/ApplUI/Pages/CreativePages/CustomReportCreativeDetail.aspx?App=23&amp;ReportView=4&amp;Qid=1747207&amp;Row=3870&amp;Col=1","No Title Assigned - #15282378677")</f>
        <v/>
      </c>
      <c r="B780" t="inlineStr">
        <is>
          <t>15282378677</t>
        </is>
      </c>
      <c r="E780" t="inlineStr">
        <is>
          <t>Adidas</t>
        </is>
      </c>
      <c r="F780" t="inlineStr">
        <is>
          <t>Adidas : Online</t>
        </is>
      </c>
      <c r="G780" t="n">
        <v>8754.2048</v>
      </c>
    </row>
    <row r="781">
      <c r="A781">
        <f>HYPERLINK("https://app.vivvix.com/360/KMI/IntelliDrive/ApplUI/Pages/CreativePages/CustomReportCreativeDetail.aspx?App=23&amp;ReportView=4&amp;Qid=1747207&amp;Row=3875&amp;Col=1","No Title Assigned - #15282384290")</f>
        <v/>
      </c>
      <c r="B781" t="inlineStr">
        <is>
          <t>15282384290</t>
        </is>
      </c>
      <c r="E781" t="inlineStr">
        <is>
          <t>Adidas</t>
        </is>
      </c>
      <c r="F781" t="inlineStr">
        <is>
          <t>Adidas : Online</t>
        </is>
      </c>
      <c r="G781" t="n">
        <v>1717.2218</v>
      </c>
    </row>
    <row r="782">
      <c r="A782">
        <f>HYPERLINK("https://app.vivvix.com/360/KMI/IntelliDrive/ApplUI/Pages/CreativePages/CustomReportCreativeDetail.aspx?App=23&amp;ReportView=4&amp;Qid=1747207&amp;Row=3876&amp;Col=1","No Title Assigned - #15282386548")</f>
        <v/>
      </c>
      <c r="B782" t="inlineStr">
        <is>
          <t>15282386548</t>
        </is>
      </c>
      <c r="E782" t="inlineStr">
        <is>
          <t>Adidas</t>
        </is>
      </c>
      <c r="F782" t="inlineStr">
        <is>
          <t>Adidas : Online</t>
        </is>
      </c>
      <c r="G782" t="n">
        <v>686.4018</v>
      </c>
    </row>
    <row r="783">
      <c r="A783">
        <f>HYPERLINK("https://app.vivvix.com/360/KMI/IntelliDrive/ApplUI/Pages/CreativePages/CustomReportCreativeDetail.aspx?App=23&amp;ReportView=4&amp;Qid=1747207&amp;Row=3877&amp;Col=1","No Title Assigned - #15282386580")</f>
        <v/>
      </c>
      <c r="B783" t="inlineStr">
        <is>
          <t>15282386580</t>
        </is>
      </c>
      <c r="E783" t="inlineStr">
        <is>
          <t>Adidas</t>
        </is>
      </c>
      <c r="F783" t="inlineStr">
        <is>
          <t>Adidas : Online</t>
        </is>
      </c>
      <c r="G783" t="n">
        <v>159.0933</v>
      </c>
    </row>
    <row r="784">
      <c r="A784">
        <f>HYPERLINK("https://app.vivvix.com/360/KMI/IntelliDrive/ApplUI/Pages/CreativePages/CustomReportCreativeDetail.aspx?App=23&amp;ReportView=4&amp;Qid=1747207&amp;Row=3878&amp;Col=1","No Title Assigned - #15282390126")</f>
        <v/>
      </c>
      <c r="B784" t="inlineStr">
        <is>
          <t>15282390126</t>
        </is>
      </c>
      <c r="E784" t="inlineStr">
        <is>
          <t>Adidas</t>
        </is>
      </c>
      <c r="F784" t="inlineStr">
        <is>
          <t>Adidas : Online</t>
        </is>
      </c>
      <c r="G784" t="n">
        <v>789.7181</v>
      </c>
    </row>
    <row r="785">
      <c r="A785">
        <f>HYPERLINK("https://app.vivvix.com/360/KMI/IntelliDrive/ApplUI/Pages/CreativePages/CustomReportCreativeDetail.aspx?App=23&amp;ReportView=4&amp;Qid=1747207&amp;Row=3880&amp;Col=1","No Title Assigned - #15282395666")</f>
        <v/>
      </c>
      <c r="B785" t="inlineStr">
        <is>
          <t>15282395666</t>
        </is>
      </c>
      <c r="E785" t="inlineStr">
        <is>
          <t>Adidas</t>
        </is>
      </c>
      <c r="F785" t="inlineStr">
        <is>
          <t>Adidas : Online</t>
        </is>
      </c>
      <c r="G785" t="n">
        <v>9040.7461</v>
      </c>
    </row>
    <row r="786">
      <c r="A786">
        <f>HYPERLINK("https://app.vivvix.com/360/KMI/IntelliDrive/ApplUI/Pages/CreativePages/CustomReportCreativeDetail.aspx?App=23&amp;ReportView=4&amp;Qid=1747207&amp;Row=3881&amp;Col=1","No Title Assigned - #15282403666")</f>
        <v/>
      </c>
      <c r="B786" t="inlineStr">
        <is>
          <t>15282403666</t>
        </is>
      </c>
      <c r="E786" t="inlineStr">
        <is>
          <t>Adidas</t>
        </is>
      </c>
      <c r="F786" t="inlineStr">
        <is>
          <t>Adidas : Online</t>
        </is>
      </c>
      <c r="G786" t="n">
        <v>156.499</v>
      </c>
    </row>
    <row r="787">
      <c r="A787">
        <f>HYPERLINK("https://app.vivvix.com/360/KMI/IntelliDrive/ApplUI/Pages/CreativePages/CustomReportCreativeDetail.aspx?App=23&amp;ReportView=4&amp;Qid=1747207&amp;Row=3883&amp;Col=1","No Title Assigned - #15282403881")</f>
        <v/>
      </c>
      <c r="B787" t="inlineStr">
        <is>
          <t>15282403881</t>
        </is>
      </c>
      <c r="E787" t="inlineStr">
        <is>
          <t>Adidas</t>
        </is>
      </c>
      <c r="F787" t="inlineStr">
        <is>
          <t>Adidas : Online</t>
        </is>
      </c>
      <c r="G787" t="n">
        <v>602.5107</v>
      </c>
    </row>
    <row r="788">
      <c r="A788">
        <f>HYPERLINK("https://app.vivvix.com/360/KMI/IntelliDrive/ApplUI/Pages/CreativePages/CustomReportCreativeDetail.aspx?App=23&amp;ReportView=4&amp;Qid=1747207&amp;Row=3886&amp;Col=1","No Title Assigned - #15282409069")</f>
        <v/>
      </c>
      <c r="B788" t="inlineStr">
        <is>
          <t>15282409069</t>
        </is>
      </c>
      <c r="E788" t="inlineStr">
        <is>
          <t>Adidas</t>
        </is>
      </c>
      <c r="F788" t="inlineStr">
        <is>
          <t>Adidas : Online</t>
        </is>
      </c>
      <c r="G788" t="n">
        <v>156.499</v>
      </c>
    </row>
    <row r="789">
      <c r="A789">
        <f>HYPERLINK("https://app.vivvix.com/360/KMI/IntelliDrive/ApplUI/Pages/CreativePages/CustomReportCreativeDetail.aspx?App=23&amp;ReportView=4&amp;Qid=1747207&amp;Row=3887&amp;Col=1","No Title Assigned - #15282420846")</f>
        <v/>
      </c>
      <c r="B789" t="inlineStr">
        <is>
          <t>15282420846</t>
        </is>
      </c>
      <c r="E789" t="inlineStr">
        <is>
          <t>Adidas</t>
        </is>
      </c>
      <c r="F789" t="inlineStr">
        <is>
          <t>Adidas : Online</t>
        </is>
      </c>
      <c r="G789" t="n">
        <v>47.8511</v>
      </c>
    </row>
    <row r="790">
      <c r="A790">
        <f>HYPERLINK("https://app.vivvix.com/360/KMI/IntelliDrive/ApplUI/Pages/CreativePages/CustomReportCreativeDetail.aspx?App=23&amp;ReportView=4&amp;Qid=1747207&amp;Row=3890&amp;Col=1","No Title Assigned - #15282430709")</f>
        <v/>
      </c>
      <c r="B790" t="inlineStr">
        <is>
          <t>15282430709</t>
        </is>
      </c>
      <c r="E790" t="inlineStr">
        <is>
          <t>Adidas</t>
        </is>
      </c>
      <c r="F790" t="inlineStr">
        <is>
          <t>Adidas : Online</t>
        </is>
      </c>
      <c r="G790" t="n">
        <v>156.499</v>
      </c>
    </row>
    <row r="791">
      <c r="A791">
        <f>HYPERLINK("https://app.vivvix.com/360/KMI/IntelliDrive/ApplUI/Pages/CreativePages/CustomReportCreativeDetail.aspx?App=23&amp;ReportView=4&amp;Qid=1747207&amp;Row=3891&amp;Col=1","No Title Assigned - #15282430996")</f>
        <v/>
      </c>
      <c r="B791" t="inlineStr">
        <is>
          <t>15282430996</t>
        </is>
      </c>
      <c r="E791" t="inlineStr">
        <is>
          <t>Adidas</t>
        </is>
      </c>
      <c r="F791" t="inlineStr">
        <is>
          <t>Adidas : Online</t>
        </is>
      </c>
      <c r="G791" t="n">
        <v>765.8223</v>
      </c>
    </row>
    <row r="792">
      <c r="A792">
        <f>HYPERLINK("https://app.vivvix.com/360/KMI/IntelliDrive/ApplUI/Pages/CreativePages/CustomReportCreativeDetail.aspx?App=23&amp;ReportView=4&amp;Qid=1747207&amp;Row=3897&amp;Col=1","No Title Assigned - #15282460769")</f>
        <v/>
      </c>
      <c r="B792" t="inlineStr">
        <is>
          <t>15282460769</t>
        </is>
      </c>
      <c r="E792" t="inlineStr">
        <is>
          <t>Adidas</t>
        </is>
      </c>
      <c r="F792" t="inlineStr">
        <is>
          <t>Adidas : Online</t>
        </is>
      </c>
      <c r="G792" t="n">
        <v>790.6177</v>
      </c>
    </row>
    <row r="793">
      <c r="A793">
        <f>HYPERLINK("https://app.vivvix.com/360/KMI/IntelliDrive/ApplUI/Pages/CreativePages/CustomReportCreativeDetail.aspx?App=23&amp;ReportView=4&amp;Qid=1747207&amp;Row=3899&amp;Col=1","No Title Assigned - #15282471874")</f>
        <v/>
      </c>
      <c r="B793" t="inlineStr">
        <is>
          <t>15282471874</t>
        </is>
      </c>
      <c r="E793" t="inlineStr">
        <is>
          <t>Adidas</t>
        </is>
      </c>
      <c r="F793" t="inlineStr">
        <is>
          <t>Adidas : Online</t>
        </is>
      </c>
      <c r="G793" t="n">
        <v>186.1548</v>
      </c>
    </row>
    <row r="794">
      <c r="A794">
        <f>HYPERLINK("https://app.vivvix.com/360/KMI/IntelliDrive/ApplUI/Pages/CreativePages/CustomReportCreativeDetail.aspx?App=23&amp;ReportView=4&amp;Qid=1747207&amp;Row=3901&amp;Col=1","No Title Assigned - #15282471976")</f>
        <v/>
      </c>
      <c r="B794" t="inlineStr">
        <is>
          <t>15282471976</t>
        </is>
      </c>
      <c r="E794" t="inlineStr">
        <is>
          <t>Adidas</t>
        </is>
      </c>
      <c r="F794" t="inlineStr">
        <is>
          <t>Adidas : Online</t>
        </is>
      </c>
      <c r="G794" t="n">
        <v>186.1548</v>
      </c>
    </row>
    <row r="795">
      <c r="A795">
        <f>HYPERLINK("https://app.vivvix.com/360/KMI/IntelliDrive/ApplUI/Pages/CreativePages/CustomReportCreativeDetail.aspx?App=23&amp;ReportView=4&amp;Qid=1747207&amp;Row=3902&amp;Col=1","No Title Assigned - #15282471994")</f>
        <v/>
      </c>
      <c r="B795" t="inlineStr">
        <is>
          <t>15282471994</t>
        </is>
      </c>
      <c r="E795" t="inlineStr">
        <is>
          <t>Adidas</t>
        </is>
      </c>
      <c r="F795" t="inlineStr">
        <is>
          <t>Adidas : Online</t>
        </is>
      </c>
      <c r="G795" t="n">
        <v>178.8967</v>
      </c>
    </row>
    <row r="796">
      <c r="A796">
        <f>HYPERLINK("https://app.vivvix.com/360/KMI/IntelliDrive/ApplUI/Pages/CreativePages/CustomReportCreativeDetail.aspx?App=23&amp;ReportView=4&amp;Qid=1747207&amp;Row=3908&amp;Col=1","No Title Assigned - #15282486382")</f>
        <v/>
      </c>
      <c r="B796" t="inlineStr">
        <is>
          <t>15282486382</t>
        </is>
      </c>
      <c r="E796" t="inlineStr">
        <is>
          <t>Adidas</t>
        </is>
      </c>
      <c r="F796" t="inlineStr">
        <is>
          <t>Adidas : Online</t>
        </is>
      </c>
      <c r="G796" t="n">
        <v>656.4217</v>
      </c>
    </row>
    <row r="797">
      <c r="A797">
        <f>HYPERLINK("https://app.vivvix.com/360/KMI/IntelliDrive/ApplUI/Pages/CreativePages/CustomReportCreativeDetail.aspx?App=23&amp;ReportView=4&amp;Qid=1747207&amp;Row=3914&amp;Col=1","No Title Assigned - #15282500664")</f>
        <v/>
      </c>
      <c r="B797" t="inlineStr">
        <is>
          <t>15282500664</t>
        </is>
      </c>
      <c r="E797" t="inlineStr">
        <is>
          <t>Adidas</t>
        </is>
      </c>
      <c r="F797" t="inlineStr">
        <is>
          <t>Adidas : Online</t>
        </is>
      </c>
      <c r="G797" t="n">
        <v>1652.3782</v>
      </c>
    </row>
    <row r="798">
      <c r="A798">
        <f>HYPERLINK("https://app.vivvix.com/360/KMI/IntelliDrive/ApplUI/Pages/CreativePages/CustomReportCreativeDetail.aspx?App=23&amp;ReportView=4&amp;Qid=1747207&amp;Row=3915&amp;Col=1","No Title Assigned - #15282501599")</f>
        <v/>
      </c>
      <c r="B798" t="inlineStr">
        <is>
          <t>15282501599</t>
        </is>
      </c>
      <c r="E798" t="inlineStr">
        <is>
          <t>Adidas</t>
        </is>
      </c>
      <c r="F798" t="inlineStr">
        <is>
          <t>Adidas : Online</t>
        </is>
      </c>
      <c r="G798" t="n">
        <v>3046.3199</v>
      </c>
    </row>
    <row r="799">
      <c r="A799">
        <f>HYPERLINK("https://app.vivvix.com/360/KMI/IntelliDrive/ApplUI/Pages/CreativePages/CustomReportCreativeDetail.aspx?App=23&amp;ReportView=4&amp;Qid=1747207&amp;Row=3920&amp;Col=1","No Title Assigned - #15282533862")</f>
        <v/>
      </c>
      <c r="B799" t="inlineStr">
        <is>
          <t>15282533862</t>
        </is>
      </c>
      <c r="E799" t="inlineStr">
        <is>
          <t>Adidas</t>
        </is>
      </c>
      <c r="F799" t="inlineStr">
        <is>
          <t>Adidas : Online</t>
        </is>
      </c>
      <c r="G799" t="n">
        <v>159.0933</v>
      </c>
    </row>
    <row r="800">
      <c r="A800">
        <f>HYPERLINK("https://app.vivvix.com/360/KMI/IntelliDrive/ApplUI/Pages/CreativePages/CustomReportCreativeDetail.aspx?App=23&amp;ReportView=4&amp;Qid=1747207&amp;Row=3921&amp;Col=1","No Title Assigned - #15282535699")</f>
        <v/>
      </c>
      <c r="B800" t="inlineStr">
        <is>
          <t>15282535699</t>
        </is>
      </c>
      <c r="E800" t="inlineStr">
        <is>
          <t>Adidas</t>
        </is>
      </c>
      <c r="F800" t="inlineStr">
        <is>
          <t>Adidas : Online</t>
        </is>
      </c>
      <c r="G800" t="n">
        <v>778.8396</v>
      </c>
    </row>
    <row r="801">
      <c r="A801">
        <f>HYPERLINK("https://app.vivvix.com/360/KMI/IntelliDrive/ApplUI/Pages/CreativePages/CustomReportCreativeDetail.aspx?App=23&amp;ReportView=4&amp;Qid=1747207&amp;Row=3923&amp;Col=1","No Title Assigned - #15282538492")</f>
        <v/>
      </c>
      <c r="B801" t="inlineStr">
        <is>
          <t>15282538492</t>
        </is>
      </c>
      <c r="E801" t="inlineStr">
        <is>
          <t>Adidas</t>
        </is>
      </c>
      <c r="F801" t="inlineStr">
        <is>
          <t>Adidas : Online</t>
        </is>
      </c>
      <c r="G801" t="n">
        <v>2277.6238</v>
      </c>
    </row>
    <row r="802">
      <c r="A802">
        <f>HYPERLINK("https://app.vivvix.com/360/KMI/IntelliDrive/ApplUI/Pages/CreativePages/CustomReportCreativeDetail.aspx?App=23&amp;ReportView=4&amp;Qid=1747207&amp;Row=3926&amp;Col=1","No Title Assigned - #15282549133")</f>
        <v/>
      </c>
      <c r="B802" t="inlineStr">
        <is>
          <t>15282549133</t>
        </is>
      </c>
      <c r="E802" t="inlineStr">
        <is>
          <t>Adidas</t>
        </is>
      </c>
      <c r="F802" t="inlineStr">
        <is>
          <t>Adidas : Online</t>
        </is>
      </c>
      <c r="G802" t="n">
        <v>50.5999</v>
      </c>
    </row>
    <row r="803">
      <c r="A803">
        <f>HYPERLINK("https://app.vivvix.com/360/KMI/IntelliDrive/ApplUI/Pages/CreativePages/CustomReportCreativeDetail.aspx?App=23&amp;ReportView=4&amp;Qid=1747207&amp;Row=3931&amp;Col=1","No Title Assigned - #15282561502")</f>
        <v/>
      </c>
      <c r="B803" t="inlineStr">
        <is>
          <t>15282561502</t>
        </is>
      </c>
      <c r="E803" t="inlineStr">
        <is>
          <t>Adidas</t>
        </is>
      </c>
      <c r="F803" t="inlineStr">
        <is>
          <t>Adidas : Online</t>
        </is>
      </c>
      <c r="G803" t="n">
        <v>358.8779</v>
      </c>
    </row>
    <row r="804">
      <c r="A804">
        <f>HYPERLINK("https://app.vivvix.com/360/KMI/IntelliDrive/ApplUI/Pages/CreativePages/CustomReportCreativeDetail.aspx?App=23&amp;ReportView=4&amp;Qid=1747207&amp;Row=3937&amp;Col=1","No Title Assigned - #15282597869")</f>
        <v/>
      </c>
      <c r="B804" t="inlineStr">
        <is>
          <t>15282597869</t>
        </is>
      </c>
      <c r="E804" t="inlineStr">
        <is>
          <t>Adidas</t>
        </is>
      </c>
      <c r="F804" t="inlineStr">
        <is>
          <t>Adidas : Online</t>
        </is>
      </c>
      <c r="G804" t="n">
        <v>151.5201</v>
      </c>
    </row>
    <row r="805">
      <c r="A805">
        <f>HYPERLINK("https://app.vivvix.com/360/KMI/IntelliDrive/ApplUI/Pages/CreativePages/CustomReportCreativeDetail.aspx?App=23&amp;ReportView=4&amp;Qid=1747207&amp;Row=3940&amp;Col=1","No Title Assigned - #15282613812")</f>
        <v/>
      </c>
      <c r="B805" t="inlineStr">
        <is>
          <t>15282613812</t>
        </is>
      </c>
      <c r="E805" t="inlineStr">
        <is>
          <t>Adidas</t>
        </is>
      </c>
      <c r="F805" t="inlineStr">
        <is>
          <t>Adidas : Online</t>
        </is>
      </c>
      <c r="G805" t="n">
        <v>2277.6238</v>
      </c>
    </row>
    <row r="806">
      <c r="A806">
        <f>HYPERLINK("https://app.vivvix.com/360/KMI/IntelliDrive/ApplUI/Pages/CreativePages/CustomReportCreativeDetail.aspx?App=23&amp;ReportView=4&amp;Qid=1747207&amp;Row=3942&amp;Col=1","No Title Assigned - #15282618082")</f>
        <v/>
      </c>
      <c r="B806" t="inlineStr">
        <is>
          <t>15282618082</t>
        </is>
      </c>
      <c r="E806" t="inlineStr">
        <is>
          <t>Adidas</t>
        </is>
      </c>
      <c r="F806" t="inlineStr">
        <is>
          <t>Adidas : Online</t>
        </is>
      </c>
      <c r="G806" t="n">
        <v>151.5201</v>
      </c>
    </row>
    <row r="807">
      <c r="A807">
        <f>HYPERLINK("https://app.vivvix.com/360/KMI/IntelliDrive/ApplUI/Pages/CreativePages/CustomReportCreativeDetail.aspx?App=23&amp;ReportView=4&amp;Qid=1747207&amp;Row=3949&amp;Col=1","No Title Assigned - #15282672704")</f>
        <v/>
      </c>
      <c r="B807" t="inlineStr">
        <is>
          <t>15282672704</t>
        </is>
      </c>
      <c r="E807" t="inlineStr">
        <is>
          <t>Adidas</t>
        </is>
      </c>
      <c r="F807" t="inlineStr">
        <is>
          <t>Adidas : Online</t>
        </is>
      </c>
      <c r="G807" t="n">
        <v>529.8013</v>
      </c>
    </row>
    <row r="808">
      <c r="A808">
        <f>HYPERLINK("https://app.vivvix.com/360/KMI/IntelliDrive/ApplUI/Pages/CreativePages/CustomReportCreativeDetail.aspx?App=23&amp;ReportView=4&amp;Qid=1747207&amp;Row=3952&amp;Col=1","No Title Assigned - #15282684710")</f>
        <v/>
      </c>
      <c r="B808" t="inlineStr">
        <is>
          <t>15282684710</t>
        </is>
      </c>
      <c r="E808" t="inlineStr">
        <is>
          <t>Adidas</t>
        </is>
      </c>
      <c r="F808" t="inlineStr">
        <is>
          <t>Adidas : Online</t>
        </is>
      </c>
      <c r="G808" t="n">
        <v>96.2821</v>
      </c>
    </row>
    <row r="809">
      <c r="A809">
        <f>HYPERLINK("https://app.vivvix.com/360/KMI/IntelliDrive/ApplUI/Pages/CreativePages/CustomReportCreativeDetail.aspx?App=23&amp;ReportView=4&amp;Qid=1747207&amp;Row=3953&amp;Col=1","No Title Assigned - #15282686790")</f>
        <v/>
      </c>
      <c r="B809" t="inlineStr">
        <is>
          <t>15282686790</t>
        </is>
      </c>
      <c r="E809" t="inlineStr">
        <is>
          <t>Adidas</t>
        </is>
      </c>
      <c r="F809" t="inlineStr">
        <is>
          <t>Adidas : Online</t>
        </is>
      </c>
      <c r="G809" t="n">
        <v>96.2821</v>
      </c>
    </row>
    <row r="810">
      <c r="A810">
        <f>HYPERLINK("https://app.vivvix.com/360/KMI/IntelliDrive/ApplUI/Pages/CreativePages/CustomReportCreativeDetail.aspx?App=23&amp;ReportView=4&amp;Qid=1747207&amp;Row=3955&amp;Col=1","No Title Assigned - #15282688051")</f>
        <v/>
      </c>
      <c r="B810" t="inlineStr">
        <is>
          <t>15282688051</t>
        </is>
      </c>
      <c r="E810" t="inlineStr">
        <is>
          <t>Adidas</t>
        </is>
      </c>
      <c r="F810" t="inlineStr">
        <is>
          <t>Adidas : Online</t>
        </is>
      </c>
      <c r="G810" t="n">
        <v>358.8779</v>
      </c>
    </row>
    <row r="811">
      <c r="A811">
        <f>HYPERLINK("https://app.vivvix.com/360/KMI/IntelliDrive/ApplUI/Pages/CreativePages/CustomReportCreativeDetail.aspx?App=23&amp;ReportView=4&amp;Qid=1747207&amp;Row=3956&amp;Col=1","No Title Assigned - #15282688157")</f>
        <v/>
      </c>
      <c r="B811" t="inlineStr">
        <is>
          <t>15282688157</t>
        </is>
      </c>
      <c r="E811" t="inlineStr">
        <is>
          <t>Adidas</t>
        </is>
      </c>
      <c r="F811" t="inlineStr">
        <is>
          <t>Adidas : Online</t>
        </is>
      </c>
      <c r="G811" t="n">
        <v>358.8779</v>
      </c>
    </row>
    <row r="812">
      <c r="A812">
        <f>HYPERLINK("https://app.vivvix.com/360/KMI/IntelliDrive/ApplUI/Pages/CreativePages/CustomReportCreativeDetail.aspx?App=23&amp;ReportView=4&amp;Qid=1747207&amp;Row=3961&amp;Col=1","No Title Assigned - #15282730302")</f>
        <v/>
      </c>
      <c r="B812" t="inlineStr">
        <is>
          <t>15282730302</t>
        </is>
      </c>
      <c r="E812" t="inlineStr">
        <is>
          <t>Adidas</t>
        </is>
      </c>
      <c r="F812" t="inlineStr">
        <is>
          <t>Adidas : Online</t>
        </is>
      </c>
      <c r="G812" t="n">
        <v>200.8369</v>
      </c>
    </row>
    <row r="813">
      <c r="A813">
        <f>HYPERLINK("https://app.vivvix.com/360/KMI/IntelliDrive/ApplUI/Pages/CreativePages/CustomReportCreativeDetail.aspx?App=23&amp;ReportView=4&amp;Qid=1747207&amp;Row=3963&amp;Col=1","No Title Assigned - #15282733803")</f>
        <v/>
      </c>
      <c r="B813" t="inlineStr">
        <is>
          <t>15282733803</t>
        </is>
      </c>
      <c r="E813" t="inlineStr">
        <is>
          <t>Adidas</t>
        </is>
      </c>
      <c r="F813" t="inlineStr">
        <is>
          <t>Adidas : Online</t>
        </is>
      </c>
      <c r="G813" t="n">
        <v>552.0364</v>
      </c>
    </row>
    <row r="814">
      <c r="A814">
        <f>HYPERLINK("https://app.vivvix.com/360/KMI/IntelliDrive/ApplUI/Pages/CreativePages/CustomReportCreativeDetail.aspx?App=23&amp;ReportView=4&amp;Qid=1747207&amp;Row=3966&amp;Col=1","No Title Assigned - #15282734582")</f>
        <v/>
      </c>
      <c r="B814" t="inlineStr">
        <is>
          <t>15282734582</t>
        </is>
      </c>
      <c r="E814" t="inlineStr">
        <is>
          <t>Adidas</t>
        </is>
      </c>
      <c r="F814" t="inlineStr">
        <is>
          <t>Adidas : Online</t>
        </is>
      </c>
      <c r="G814" t="n">
        <v>151.5201</v>
      </c>
    </row>
    <row r="815">
      <c r="A815">
        <f>HYPERLINK("https://app.vivvix.com/360/KMI/IntelliDrive/ApplUI/Pages/CreativePages/CustomReportCreativeDetail.aspx?App=23&amp;ReportView=4&amp;Qid=1747207&amp;Row=3967&amp;Col=1","No Title Assigned - #15282735021")</f>
        <v/>
      </c>
      <c r="B815" t="inlineStr">
        <is>
          <t>15282735021</t>
        </is>
      </c>
      <c r="E815" t="inlineStr">
        <is>
          <t>Adidas</t>
        </is>
      </c>
      <c r="F815" t="inlineStr">
        <is>
          <t>Adidas : Online</t>
        </is>
      </c>
      <c r="G815" t="n">
        <v>358.8779</v>
      </c>
    </row>
    <row r="816">
      <c r="A816">
        <f>HYPERLINK("https://app.vivvix.com/360/KMI/IntelliDrive/ApplUI/Pages/CreativePages/CustomReportCreativeDetail.aspx?App=23&amp;ReportView=4&amp;Qid=1747207&amp;Row=3968&amp;Col=1","No Title Assigned - #15282743297")</f>
        <v/>
      </c>
      <c r="B816" t="inlineStr">
        <is>
          <t>15282743297</t>
        </is>
      </c>
      <c r="E816" t="inlineStr">
        <is>
          <t>Adidas</t>
        </is>
      </c>
      <c r="F816" t="inlineStr">
        <is>
          <t>Adidas : Online</t>
        </is>
      </c>
      <c r="G816" t="n">
        <v>432.0828</v>
      </c>
    </row>
    <row r="817">
      <c r="A817">
        <f>HYPERLINK("https://app.vivvix.com/360/KMI/IntelliDrive/ApplUI/Pages/CreativePages/CustomReportCreativeDetail.aspx?App=23&amp;ReportView=4&amp;Qid=1747207&amp;Row=3986&amp;Col=1","No Title Assigned - #15282813092")</f>
        <v/>
      </c>
      <c r="B817" t="inlineStr">
        <is>
          <t>15282813092</t>
        </is>
      </c>
      <c r="E817" t="inlineStr">
        <is>
          <t>Adidas</t>
        </is>
      </c>
      <c r="F817" t="inlineStr">
        <is>
          <t>Adidas : Online</t>
        </is>
      </c>
      <c r="G817" t="n">
        <v>82.6485</v>
      </c>
    </row>
    <row r="818">
      <c r="A818">
        <f>HYPERLINK("https://app.vivvix.com/360/KMI/IntelliDrive/ApplUI/Pages/CreativePages/CustomReportCreativeDetail.aspx?App=23&amp;ReportView=4&amp;Qid=1747207&amp;Row=3992&amp;Col=1","No Title Assigned - #15282852697")</f>
        <v/>
      </c>
      <c r="B818" t="inlineStr">
        <is>
          <t>15282852697</t>
        </is>
      </c>
      <c r="E818" t="inlineStr">
        <is>
          <t>Adidas</t>
        </is>
      </c>
      <c r="F818" t="inlineStr">
        <is>
          <t>Adidas : Online</t>
        </is>
      </c>
      <c r="G818" t="n">
        <v>358.8779</v>
      </c>
    </row>
    <row r="819">
      <c r="A819">
        <f>HYPERLINK("https://app.vivvix.com/360/KMI/IntelliDrive/ApplUI/Pages/CreativePages/CustomReportCreativeDetail.aspx?App=23&amp;ReportView=4&amp;Qid=1747207&amp;Row=3995&amp;Col=1","No Title Assigned - #15282856978")</f>
        <v/>
      </c>
      <c r="B819" t="inlineStr">
        <is>
          <t>15282856978</t>
        </is>
      </c>
      <c r="E819" t="inlineStr">
        <is>
          <t>Adidas</t>
        </is>
      </c>
      <c r="F819" t="inlineStr">
        <is>
          <t>Adidas : Online</t>
        </is>
      </c>
      <c r="G819" t="n">
        <v>717.7558</v>
      </c>
    </row>
    <row r="820">
      <c r="A820">
        <f>HYPERLINK("https://app.vivvix.com/360/KMI/IntelliDrive/ApplUI/Pages/CreativePages/CustomReportCreativeDetail.aspx?App=23&amp;ReportView=4&amp;Qid=1747207&amp;Row=4013&amp;Col=1","No Title Assigned - #15282896527")</f>
        <v/>
      </c>
      <c r="B820" t="inlineStr">
        <is>
          <t>15282896527</t>
        </is>
      </c>
      <c r="E820" t="inlineStr">
        <is>
          <t>Adidas</t>
        </is>
      </c>
      <c r="F820" t="inlineStr">
        <is>
          <t>Adidas : Online</t>
        </is>
      </c>
      <c r="G820" t="n">
        <v>48.3693</v>
      </c>
    </row>
    <row r="821">
      <c r="A821">
        <f>HYPERLINK("https://app.vivvix.com/360/KMI/IntelliDrive/ApplUI/Pages/CreativePages/CustomReportCreativeDetail.aspx?App=23&amp;ReportView=4&amp;Qid=1747207&amp;Row=4032&amp;Col=1","No Title Assigned - #15282966257")</f>
        <v/>
      </c>
      <c r="B821" t="inlineStr">
        <is>
          <t>15282966257</t>
        </is>
      </c>
      <c r="E821" t="inlineStr">
        <is>
          <t>Adidas</t>
        </is>
      </c>
      <c r="F821" t="inlineStr">
        <is>
          <t>Adidas : Online</t>
        </is>
      </c>
      <c r="G821" t="n">
        <v>230.487</v>
      </c>
    </row>
    <row r="822">
      <c r="A822">
        <f>HYPERLINK("https://app.vivvix.com/360/KMI/IntelliDrive/ApplUI/Pages/CreativePages/CustomReportCreativeDetail.aspx?App=23&amp;ReportView=4&amp;Qid=1747207&amp;Row=4034&amp;Col=1","No Title Assigned - #15282968321")</f>
        <v/>
      </c>
      <c r="B822" t="inlineStr">
        <is>
          <t>15282968321</t>
        </is>
      </c>
      <c r="E822" t="inlineStr">
        <is>
          <t>Adidas</t>
        </is>
      </c>
      <c r="F822" t="inlineStr">
        <is>
          <t>Adidas : Online</t>
        </is>
      </c>
      <c r="G822" t="n">
        <v>281.7899</v>
      </c>
    </row>
    <row r="823">
      <c r="A823">
        <f>HYPERLINK("https://app.vivvix.com/360/KMI/IntelliDrive/ApplUI/Pages/CreativePages/CustomReportCreativeDetail.aspx?App=23&amp;ReportView=4&amp;Qid=1747207&amp;Row=4058&amp;Col=1","No Title Assigned - #15283042231")</f>
        <v/>
      </c>
      <c r="B823" t="inlineStr">
        <is>
          <t>15283042231</t>
        </is>
      </c>
      <c r="E823" t="inlineStr">
        <is>
          <t>Adidas</t>
        </is>
      </c>
      <c r="F823" t="inlineStr">
        <is>
          <t>Adidas : Online</t>
        </is>
      </c>
      <c r="G823" t="n">
        <v>1652.3782</v>
      </c>
    </row>
    <row r="824">
      <c r="A824">
        <f>HYPERLINK("https://app.vivvix.com/360/KMI/IntelliDrive/ApplUI/Pages/CreativePages/CustomReportCreativeDetail.aspx?App=23&amp;ReportView=4&amp;Qid=1747207&amp;Row=4060&amp;Col=1","No Title Assigned - #15283043583")</f>
        <v/>
      </c>
      <c r="B824" t="inlineStr">
        <is>
          <t>15283043583</t>
        </is>
      </c>
      <c r="E824" t="inlineStr">
        <is>
          <t>Adidas</t>
        </is>
      </c>
      <c r="F824" t="inlineStr">
        <is>
          <t>Adidas : Online</t>
        </is>
      </c>
      <c r="G824" t="n">
        <v>151.5201</v>
      </c>
    </row>
    <row r="825">
      <c r="A825">
        <f>HYPERLINK("https://app.vivvix.com/360/KMI/IntelliDrive/ApplUI/Pages/CreativePages/CustomReportCreativeDetail.aspx?App=23&amp;ReportView=4&amp;Qid=1747207&amp;Row=4071&amp;Col=1","No Title Assigned - #15283068940")</f>
        <v/>
      </c>
      <c r="B825" t="inlineStr">
        <is>
          <t>15283068940</t>
        </is>
      </c>
      <c r="E825" t="inlineStr">
        <is>
          <t>Adidas</t>
        </is>
      </c>
      <c r="F825" t="inlineStr">
        <is>
          <t>Adidas : Online</t>
        </is>
      </c>
      <c r="G825" t="n">
        <v>358.8779</v>
      </c>
    </row>
    <row r="826">
      <c r="A826">
        <f>HYPERLINK("https://app.vivvix.com/360/KMI/IntelliDrive/ApplUI/Pages/CreativePages/CustomReportCreativeDetail.aspx?App=23&amp;ReportView=4&amp;Qid=1747207&amp;Row=4076&amp;Col=1","No Title Assigned - #15283096042")</f>
        <v/>
      </c>
      <c r="B826" t="inlineStr">
        <is>
          <t>15283096042</t>
        </is>
      </c>
      <c r="E826" t="inlineStr">
        <is>
          <t>Adidas</t>
        </is>
      </c>
      <c r="F826" t="inlineStr">
        <is>
          <t>Adidas : Online</t>
        </is>
      </c>
      <c r="G826" t="n">
        <v>234.9634</v>
      </c>
    </row>
    <row r="827">
      <c r="A827">
        <f>HYPERLINK("https://app.vivvix.com/360/KMI/IntelliDrive/ApplUI/Pages/CreativePages/CustomReportCreativeDetail.aspx?App=23&amp;ReportView=4&amp;Qid=1747207&amp;Row=4079&amp;Col=1","No Title Assigned - #15283096154")</f>
        <v/>
      </c>
      <c r="B827" t="inlineStr">
        <is>
          <t>15283096154</t>
        </is>
      </c>
      <c r="E827" t="inlineStr">
        <is>
          <t>Adidas</t>
        </is>
      </c>
      <c r="F827" t="inlineStr">
        <is>
          <t>Adidas : Online</t>
        </is>
      </c>
      <c r="G827" t="n">
        <v>234.9634</v>
      </c>
    </row>
    <row r="828">
      <c r="A828">
        <f>HYPERLINK("https://app.vivvix.com/360/KMI/IntelliDrive/ApplUI/Pages/CreativePages/CustomReportCreativeDetail.aspx?App=23&amp;ReportView=4&amp;Qid=1747207&amp;Row=4080&amp;Col=1","No Title Assigned - #15283096155")</f>
        <v/>
      </c>
      <c r="B828" t="inlineStr">
        <is>
          <t>15283096155</t>
        </is>
      </c>
      <c r="E828" t="inlineStr">
        <is>
          <t>Adidas</t>
        </is>
      </c>
      <c r="F828" t="inlineStr">
        <is>
          <t>Adidas : Online</t>
        </is>
      </c>
      <c r="G828" t="n">
        <v>352.4451</v>
      </c>
    </row>
    <row r="829">
      <c r="A829">
        <f>HYPERLINK("https://app.vivvix.com/360/KMI/IntelliDrive/ApplUI/Pages/CreativePages/CustomReportCreativeDetail.aspx?App=23&amp;ReportView=4&amp;Qid=1747207&amp;Row=4083&amp;Col=1","No Title Assigned - #15283100226")</f>
        <v/>
      </c>
      <c r="B829" t="inlineStr">
        <is>
          <t>15283100226</t>
        </is>
      </c>
      <c r="E829" t="inlineStr">
        <is>
          <t>Adidas</t>
        </is>
      </c>
      <c r="F829" t="inlineStr">
        <is>
          <t>Adidas : Online</t>
        </is>
      </c>
      <c r="G829" t="n">
        <v>96.2821</v>
      </c>
    </row>
    <row r="830">
      <c r="A830">
        <f>HYPERLINK("https://app.vivvix.com/360/KMI/IntelliDrive/ApplUI/Pages/CreativePages/CustomReportCreativeDetail.aspx?App=23&amp;ReportView=4&amp;Qid=1747207&amp;Row=4085&amp;Col=1","No Title Assigned - #15283103312")</f>
        <v/>
      </c>
      <c r="B830" t="inlineStr">
        <is>
          <t>15283103312</t>
        </is>
      </c>
      <c r="E830" t="inlineStr">
        <is>
          <t>Adidas</t>
        </is>
      </c>
      <c r="F830" t="inlineStr">
        <is>
          <t>Adidas : Online</t>
        </is>
      </c>
      <c r="G830" t="n">
        <v>234.9634</v>
      </c>
    </row>
    <row r="831">
      <c r="A831">
        <f>HYPERLINK("https://app.vivvix.com/360/KMI/IntelliDrive/ApplUI/Pages/CreativePages/CustomReportCreativeDetail.aspx?App=23&amp;ReportView=4&amp;Qid=1747207&amp;Row=4086&amp;Col=1","No Title Assigned - #15283103350")</f>
        <v/>
      </c>
      <c r="B831" t="inlineStr">
        <is>
          <t>15283103350</t>
        </is>
      </c>
      <c r="E831" t="inlineStr">
        <is>
          <t>Adidas</t>
        </is>
      </c>
      <c r="F831" t="inlineStr">
        <is>
          <t>Adidas : Online</t>
        </is>
      </c>
      <c r="G831" t="n">
        <v>352.4451</v>
      </c>
    </row>
    <row r="832">
      <c r="A832">
        <f>HYPERLINK("https://app.vivvix.com/360/KMI/IntelliDrive/ApplUI/Pages/CreativePages/CustomReportCreativeDetail.aspx?App=23&amp;ReportView=4&amp;Qid=1747207&amp;Row=4103&amp;Col=1","No Title Assigned - #15283166006")</f>
        <v/>
      </c>
      <c r="B832" t="inlineStr">
        <is>
          <t>15283166006</t>
        </is>
      </c>
      <c r="E832" t="inlineStr">
        <is>
          <t>Adidas</t>
        </is>
      </c>
      <c r="F832" t="inlineStr">
        <is>
          <t>Adidas : Online</t>
        </is>
      </c>
      <c r="G832" t="n">
        <v>3079.4893</v>
      </c>
    </row>
    <row r="833">
      <c r="A833">
        <f>HYPERLINK("https://app.vivvix.com/360/KMI/IntelliDrive/ApplUI/Pages/CreativePages/CustomReportCreativeDetail.aspx?App=23&amp;ReportView=4&amp;Qid=1747207&amp;Row=4115&amp;Col=1","No Title Assigned - #15283224721")</f>
        <v/>
      </c>
      <c r="B833" t="inlineStr">
        <is>
          <t>15283224721</t>
        </is>
      </c>
      <c r="E833" t="inlineStr">
        <is>
          <t>Adidas</t>
        </is>
      </c>
      <c r="F833" t="inlineStr">
        <is>
          <t>Adidas : Online</t>
        </is>
      </c>
      <c r="G833" t="n">
        <v>380.8092</v>
      </c>
    </row>
    <row r="834">
      <c r="A834">
        <f>HYPERLINK("https://app.vivvix.com/360/KMI/IntelliDrive/ApplUI/Pages/CreativePages/CustomReportCreativeDetail.aspx?App=23&amp;ReportView=4&amp;Qid=1747207&amp;Row=4116&amp;Col=1","No Title Assigned - #15283230832")</f>
        <v/>
      </c>
      <c r="B834" t="inlineStr">
        <is>
          <t>15283230832</t>
        </is>
      </c>
      <c r="E834" t="inlineStr">
        <is>
          <t>Adidas</t>
        </is>
      </c>
      <c r="F834" t="inlineStr">
        <is>
          <t>Adidas : Online</t>
        </is>
      </c>
      <c r="G834" t="n">
        <v>1142.4276</v>
      </c>
    </row>
    <row r="835">
      <c r="A835">
        <f>HYPERLINK("https://app.vivvix.com/360/KMI/IntelliDrive/ApplUI/Pages/CreativePages/CustomReportCreativeDetail.aspx?App=23&amp;ReportView=4&amp;Qid=1747207&amp;Row=4123&amp;Col=1","No Title Assigned - #15283236753")</f>
        <v/>
      </c>
      <c r="B835" t="inlineStr">
        <is>
          <t>15283236753</t>
        </is>
      </c>
      <c r="E835" t="inlineStr">
        <is>
          <t>Adidas</t>
        </is>
      </c>
      <c r="F835" t="inlineStr">
        <is>
          <t>Adidas : Online</t>
        </is>
      </c>
      <c r="G835" t="n">
        <v>1913.679</v>
      </c>
    </row>
    <row r="836">
      <c r="A836">
        <f>HYPERLINK("https://app.vivvix.com/360/KMI/IntelliDrive/ApplUI/Pages/CreativePages/CustomReportCreativeDetail.aspx?App=23&amp;ReportView=4&amp;Qid=1747207&amp;Row=4124&amp;Col=1","No Title Assigned - #15283236834")</f>
        <v/>
      </c>
      <c r="B836" t="inlineStr">
        <is>
          <t>15283236834</t>
        </is>
      </c>
      <c r="E836" t="inlineStr">
        <is>
          <t>Adidas</t>
        </is>
      </c>
      <c r="F836" t="inlineStr">
        <is>
          <t>Adidas : Online</t>
        </is>
      </c>
      <c r="G836" t="n">
        <v>1913.679</v>
      </c>
    </row>
    <row r="837">
      <c r="A837">
        <f>HYPERLINK("https://app.vivvix.com/360/KMI/IntelliDrive/ApplUI/Pages/CreativePages/CustomReportCreativeDetail.aspx?App=23&amp;ReportView=4&amp;Qid=1747207&amp;Row=4125&amp;Col=1","No Title Assigned - #15283239581")</f>
        <v/>
      </c>
      <c r="B837" t="inlineStr">
        <is>
          <t>15283239581</t>
        </is>
      </c>
      <c r="E837" t="inlineStr">
        <is>
          <t>Adidas</t>
        </is>
      </c>
      <c r="F837" t="inlineStr">
        <is>
          <t>Adidas : Online</t>
        </is>
      </c>
      <c r="G837" t="n">
        <v>17017.8145</v>
      </c>
    </row>
    <row r="838">
      <c r="A838">
        <f>HYPERLINK("https://app.vivvix.com/360/KMI/IntelliDrive/ApplUI/Pages/CreativePages/CustomReportCreativeDetail.aspx?App=23&amp;ReportView=4&amp;Qid=1747207&amp;Row=4128&amp;Col=1","No Title Assigned - #15283278326")</f>
        <v/>
      </c>
      <c r="B838" t="inlineStr">
        <is>
          <t>15283278326</t>
        </is>
      </c>
      <c r="E838" t="inlineStr">
        <is>
          <t>Adidas</t>
        </is>
      </c>
      <c r="F838" t="inlineStr">
        <is>
          <t>Adidas : Online</t>
        </is>
      </c>
      <c r="G838" t="n">
        <v>137.6775</v>
      </c>
    </row>
    <row r="839">
      <c r="A839">
        <f>HYPERLINK("https://app.vivvix.com/360/KMI/IntelliDrive/ApplUI/Pages/CreativePages/CustomReportCreativeDetail.aspx?App=23&amp;ReportView=4&amp;Qid=1747207&amp;Row=4130&amp;Col=1","No Title Assigned - #15283288214")</f>
        <v/>
      </c>
      <c r="B839" t="inlineStr">
        <is>
          <t>15283288214</t>
        </is>
      </c>
      <c r="E839" t="inlineStr">
        <is>
          <t>Adidas</t>
        </is>
      </c>
      <c r="F839" t="inlineStr">
        <is>
          <t>Adidas : Online</t>
        </is>
      </c>
      <c r="G839" t="n">
        <v>380.8092</v>
      </c>
    </row>
    <row r="840">
      <c r="A840">
        <f>HYPERLINK("https://app.vivvix.com/360/KMI/IntelliDrive/ApplUI/Pages/CreativePages/CustomReportCreativeDetail.aspx?App=23&amp;ReportView=4&amp;Qid=1747207&amp;Row=4148&amp;Col=1","No Title Assigned - #15283322381")</f>
        <v/>
      </c>
      <c r="B840" t="inlineStr">
        <is>
          <t>15283322381</t>
        </is>
      </c>
      <c r="E840" t="inlineStr">
        <is>
          <t>Adidas</t>
        </is>
      </c>
      <c r="F840" t="inlineStr">
        <is>
          <t>Adidas : Online</t>
        </is>
      </c>
      <c r="G840" t="n">
        <v>1359.8964</v>
      </c>
    </row>
    <row r="841">
      <c r="A841">
        <f>HYPERLINK("https://app.vivvix.com/360/KMI/IntelliDrive/ApplUI/Pages/CreativePages/CustomReportCreativeDetail.aspx?App=23&amp;ReportView=4&amp;Qid=1747207&amp;Row=4156&amp;Col=1","No Title Assigned - #15283334853")</f>
        <v/>
      </c>
      <c r="B841" t="inlineStr">
        <is>
          <t>15283334853</t>
        </is>
      </c>
      <c r="E841" t="inlineStr">
        <is>
          <t>Adidas</t>
        </is>
      </c>
      <c r="F841" t="inlineStr">
        <is>
          <t>Adidas : Online</t>
        </is>
      </c>
      <c r="G841" t="n">
        <v>77.00239999999999</v>
      </c>
    </row>
    <row r="842">
      <c r="A842">
        <f>HYPERLINK("https://app.vivvix.com/360/KMI/IntelliDrive/ApplUI/Pages/CreativePages/CustomReportCreativeDetail.aspx?App=23&amp;ReportView=4&amp;Qid=1747207&amp;Row=4157&amp;Col=1","No Title Assigned - #15283334869")</f>
        <v/>
      </c>
      <c r="B842" t="inlineStr">
        <is>
          <t>15283334869</t>
        </is>
      </c>
      <c r="E842" t="inlineStr">
        <is>
          <t>Adidas</t>
        </is>
      </c>
      <c r="F842" t="inlineStr">
        <is>
          <t>Adidas : Online</t>
        </is>
      </c>
      <c r="G842" t="n">
        <v>77.00239999999999</v>
      </c>
    </row>
    <row r="843">
      <c r="A843">
        <f>HYPERLINK("https://app.vivvix.com/360/KMI/IntelliDrive/ApplUI/Pages/CreativePages/CustomReportCreativeDetail.aspx?App=23&amp;ReportView=4&amp;Qid=1747207&amp;Row=4163&amp;Col=1","No Title Assigned - #15283341372")</f>
        <v/>
      </c>
      <c r="B843" t="inlineStr">
        <is>
          <t>15283341372</t>
        </is>
      </c>
      <c r="E843" t="inlineStr">
        <is>
          <t>Adidas</t>
        </is>
      </c>
      <c r="F843" t="inlineStr">
        <is>
          <t>Adidas : Online</t>
        </is>
      </c>
      <c r="G843" t="n">
        <v>154.0048</v>
      </c>
    </row>
    <row r="844">
      <c r="A844">
        <f>HYPERLINK("https://app.vivvix.com/360/KMI/IntelliDrive/ApplUI/Pages/CreativePages/CustomReportCreativeDetail.aspx?App=23&amp;ReportView=4&amp;Qid=1747207&amp;Row=4164&amp;Col=1","No Title Assigned - #15283341665")</f>
        <v/>
      </c>
      <c r="B844" t="inlineStr">
        <is>
          <t>15283341665</t>
        </is>
      </c>
      <c r="E844" t="inlineStr">
        <is>
          <t>Adidas</t>
        </is>
      </c>
      <c r="F844" t="inlineStr">
        <is>
          <t>Adidas : Online</t>
        </is>
      </c>
      <c r="G844" t="n">
        <v>777.749</v>
      </c>
    </row>
    <row r="845">
      <c r="A845">
        <f>HYPERLINK("https://app.vivvix.com/360/KMI/IntelliDrive/ApplUI/Pages/CreativePages/CustomReportCreativeDetail.aspx?App=23&amp;ReportView=4&amp;Qid=1747207&amp;Row=4165&amp;Col=1","No Title Assigned - #15283342414")</f>
        <v/>
      </c>
      <c r="B845" t="inlineStr">
        <is>
          <t>15283342414</t>
        </is>
      </c>
      <c r="E845" t="inlineStr">
        <is>
          <t>Adidas</t>
        </is>
      </c>
      <c r="F845" t="inlineStr">
        <is>
          <t>Adidas : Online</t>
        </is>
      </c>
      <c r="G845" t="n">
        <v>231.0072</v>
      </c>
    </row>
    <row r="846">
      <c r="A846">
        <f>HYPERLINK("https://app.vivvix.com/360/KMI/IntelliDrive/ApplUI/Pages/CreativePages/CustomReportCreativeDetail.aspx?App=23&amp;ReportView=4&amp;Qid=1747207&amp;Row=4166&amp;Col=1","No Title Assigned - #15283342415")</f>
        <v/>
      </c>
      <c r="B846" t="inlineStr">
        <is>
          <t>15283342415</t>
        </is>
      </c>
      <c r="E846" t="inlineStr">
        <is>
          <t>Adidas</t>
        </is>
      </c>
      <c r="F846" t="inlineStr">
        <is>
          <t>Adidas : Online</t>
        </is>
      </c>
      <c r="G846" t="n">
        <v>77.00239999999999</v>
      </c>
    </row>
    <row r="847">
      <c r="A847">
        <f>HYPERLINK("https://app.vivvix.com/360/KMI/IntelliDrive/ApplUI/Pages/CreativePages/CustomReportCreativeDetail.aspx?App=23&amp;ReportView=4&amp;Qid=1747207&amp;Row=4167&amp;Col=1","No Title Assigned - #15283343376")</f>
        <v/>
      </c>
      <c r="B847" t="inlineStr">
        <is>
          <t>15283343376</t>
        </is>
      </c>
      <c r="E847" t="inlineStr">
        <is>
          <t>Adidas</t>
        </is>
      </c>
      <c r="F847" t="inlineStr">
        <is>
          <t>Adidas : Online</t>
        </is>
      </c>
      <c r="G847" t="n">
        <v>77.00239999999999</v>
      </c>
    </row>
    <row r="848">
      <c r="A848">
        <f>HYPERLINK("https://app.vivvix.com/360/KMI/IntelliDrive/ApplUI/Pages/CreativePages/CustomReportCreativeDetail.aspx?App=23&amp;ReportView=4&amp;Qid=1747207&amp;Row=4170&amp;Col=1","No Title Assigned - #15283343393")</f>
        <v/>
      </c>
      <c r="B848" t="inlineStr">
        <is>
          <t>15283343393</t>
        </is>
      </c>
      <c r="E848" t="inlineStr">
        <is>
          <t>Adidas</t>
        </is>
      </c>
      <c r="F848" t="inlineStr">
        <is>
          <t>Adidas : Online</t>
        </is>
      </c>
      <c r="G848" t="n">
        <v>77.00239999999999</v>
      </c>
    </row>
    <row r="849">
      <c r="A849">
        <f>HYPERLINK("https://app.vivvix.com/360/KMI/IntelliDrive/ApplUI/Pages/CreativePages/CustomReportCreativeDetail.aspx?App=23&amp;ReportView=4&amp;Qid=1747207&amp;Row=4173&amp;Col=1","No Title Assigned - #15283351569")</f>
        <v/>
      </c>
      <c r="B849" t="inlineStr">
        <is>
          <t>15283351569</t>
        </is>
      </c>
      <c r="E849" t="inlineStr">
        <is>
          <t>Adidas</t>
        </is>
      </c>
      <c r="F849" t="inlineStr">
        <is>
          <t>Adidas : Online</t>
        </is>
      </c>
      <c r="G849" t="n">
        <v>154.0048</v>
      </c>
    </row>
    <row r="850">
      <c r="A850">
        <f>HYPERLINK("https://app.vivvix.com/360/KMI/IntelliDrive/ApplUI/Pages/CreativePages/CustomReportCreativeDetail.aspx?App=23&amp;ReportView=4&amp;Qid=1747207&amp;Row=4174&amp;Col=1","No Title Assigned - #15283355934")</f>
        <v/>
      </c>
      <c r="B850" t="inlineStr">
        <is>
          <t>15283355934</t>
        </is>
      </c>
      <c r="E850" t="inlineStr">
        <is>
          <t>Adidas</t>
        </is>
      </c>
      <c r="F850" t="inlineStr">
        <is>
          <t>Adidas : Online</t>
        </is>
      </c>
      <c r="G850" t="n">
        <v>77.00239999999999</v>
      </c>
    </row>
    <row r="851">
      <c r="A851">
        <f>HYPERLINK("https://app.vivvix.com/360/KMI/IntelliDrive/ApplUI/Pages/CreativePages/CustomReportCreativeDetail.aspx?App=23&amp;ReportView=4&amp;Qid=1747207&amp;Row=4175&amp;Col=1","No Title Assigned - #15283355940")</f>
        <v/>
      </c>
      <c r="B851" t="inlineStr">
        <is>
          <t>15283355940</t>
        </is>
      </c>
      <c r="E851" t="inlineStr">
        <is>
          <t>Adidas</t>
        </is>
      </c>
      <c r="F851" t="inlineStr">
        <is>
          <t>Adidas : Online</t>
        </is>
      </c>
      <c r="G851" t="n">
        <v>77.00239999999999</v>
      </c>
    </row>
    <row r="852">
      <c r="A852">
        <f>HYPERLINK("https://app.vivvix.com/360/KMI/IntelliDrive/ApplUI/Pages/CreativePages/CustomReportCreativeDetail.aspx?App=23&amp;ReportView=4&amp;Qid=1747207&amp;Row=4200&amp;Col=1","No Title Assigned - #15283411918")</f>
        <v/>
      </c>
      <c r="B852" t="inlineStr">
        <is>
          <t>15283411918</t>
        </is>
      </c>
      <c r="E852" t="inlineStr">
        <is>
          <t>Adidas</t>
        </is>
      </c>
      <c r="F852" t="inlineStr">
        <is>
          <t>Adidas : Online</t>
        </is>
      </c>
      <c r="G852" t="n">
        <v>118129.108</v>
      </c>
    </row>
    <row r="853">
      <c r="A853">
        <f>HYPERLINK("https://app.vivvix.com/360/KMI/IntelliDrive/ApplUI/Pages/CreativePages/CustomReportCreativeDetail.aspx?App=23&amp;ReportView=4&amp;Qid=1747207&amp;Row=4209&amp;Col=1","No Title Assigned - #15283454557")</f>
        <v/>
      </c>
      <c r="B853" t="inlineStr">
        <is>
          <t>15283454557</t>
        </is>
      </c>
      <c r="E853" t="inlineStr">
        <is>
          <t>Adidas</t>
        </is>
      </c>
      <c r="F853" t="inlineStr">
        <is>
          <t>Adidas : Online</t>
        </is>
      </c>
      <c r="G853" t="n">
        <v>282.6556</v>
      </c>
    </row>
    <row r="854">
      <c r="A854">
        <f>HYPERLINK("https://app.vivvix.com/360/KMI/IntelliDrive/ApplUI/Pages/CreativePages/CustomReportCreativeDetail.aspx?App=23&amp;ReportView=4&amp;Qid=1747207&amp;Row=4214&amp;Col=1","No Title Assigned - #15283475493")</f>
        <v/>
      </c>
      <c r="B854" t="inlineStr">
        <is>
          <t>15283475493</t>
        </is>
      </c>
      <c r="E854" t="inlineStr">
        <is>
          <t>Adidas</t>
        </is>
      </c>
      <c r="F854" t="inlineStr">
        <is>
          <t>Adidas : Online</t>
        </is>
      </c>
      <c r="G854" t="n">
        <v>76.4868</v>
      </c>
    </row>
    <row r="855">
      <c r="A855">
        <f>HYPERLINK("https://app.vivvix.com/360/KMI/IntelliDrive/ApplUI/Pages/CreativePages/CustomReportCreativeDetail.aspx?App=23&amp;ReportView=4&amp;Qid=1747207&amp;Row=4238&amp;Col=1","No Title Assigned - #15283721361")</f>
        <v/>
      </c>
      <c r="B855" t="inlineStr">
        <is>
          <t>15283721361</t>
        </is>
      </c>
      <c r="E855" t="inlineStr">
        <is>
          <t>Adidas</t>
        </is>
      </c>
      <c r="F855" t="inlineStr">
        <is>
          <t>Adidas : Online</t>
        </is>
      </c>
      <c r="G855" t="n">
        <v>691.4107</v>
      </c>
    </row>
    <row r="856">
      <c r="A856">
        <f>HYPERLINK("https://app.vivvix.com/360/KMI/IntelliDrive/ApplUI/Pages/CreativePages/CustomReportCreativeDetail.aspx?App=23&amp;ReportView=4&amp;Qid=1747207&amp;Row=4242&amp;Col=1","No Title Assigned - #15283723505")</f>
        <v/>
      </c>
      <c r="B856" t="inlineStr">
        <is>
          <t>15283723505</t>
        </is>
      </c>
      <c r="E856" t="inlineStr">
        <is>
          <t>Adidas</t>
        </is>
      </c>
      <c r="F856" t="inlineStr">
        <is>
          <t>Adidas : Online</t>
        </is>
      </c>
      <c r="G856" t="n">
        <v>758.239</v>
      </c>
    </row>
    <row r="857">
      <c r="A857">
        <f>HYPERLINK("https://app.vivvix.com/360/KMI/IntelliDrive/ApplUI/Pages/CreativePages/CustomReportCreativeDetail.aspx?App=23&amp;ReportView=4&amp;Qid=1747207&amp;Row=4246&amp;Col=1","No Title Assigned - #15283731155")</f>
        <v/>
      </c>
      <c r="B857" t="inlineStr">
        <is>
          <t>15283731155</t>
        </is>
      </c>
      <c r="E857" t="inlineStr">
        <is>
          <t>Adidas</t>
        </is>
      </c>
      <c r="F857" t="inlineStr">
        <is>
          <t>Adidas : Online</t>
        </is>
      </c>
      <c r="G857" t="n">
        <v>380.8092</v>
      </c>
    </row>
    <row r="858">
      <c r="A858">
        <f>HYPERLINK("https://app.vivvix.com/360/KMI/IntelliDrive/ApplUI/Pages/CreativePages/CustomReportCreativeDetail.aspx?App=23&amp;ReportView=4&amp;Qid=1747207&amp;Row=4275&amp;Col=1","No Title Assigned - #15283858331")</f>
        <v/>
      </c>
      <c r="B858" t="inlineStr">
        <is>
          <t>15283858331</t>
        </is>
      </c>
      <c r="E858" t="inlineStr">
        <is>
          <t>Adidas</t>
        </is>
      </c>
      <c r="F858" t="inlineStr">
        <is>
          <t>Adidas : Online</t>
        </is>
      </c>
      <c r="G858" t="n">
        <v>1752.1096</v>
      </c>
    </row>
    <row r="859">
      <c r="A859">
        <f>HYPERLINK("https://app.vivvix.com/360/KMI/IntelliDrive/ApplUI/Pages/CreativePages/CustomReportCreativeDetail.aspx?App=23&amp;ReportView=4&amp;Qid=1747207&amp;Row=4276&amp;Col=1","No Title Assigned - #15283883534")</f>
        <v/>
      </c>
      <c r="B859" t="inlineStr">
        <is>
          <t>15283883534</t>
        </is>
      </c>
      <c r="E859" t="inlineStr">
        <is>
          <t>Adidas</t>
        </is>
      </c>
      <c r="F859" t="inlineStr">
        <is>
          <t>Adidas : Online</t>
        </is>
      </c>
      <c r="G859" t="n">
        <v>530.773</v>
      </c>
    </row>
    <row r="860">
      <c r="A860">
        <f>HYPERLINK("https://app.vivvix.com/360/KMI/IntelliDrive/ApplUI/Pages/CreativePages/CustomReportCreativeDetail.aspx?App=23&amp;ReportView=4&amp;Qid=1747207&amp;Row=4282&amp;Col=1","No Title Assigned - #15283903910")</f>
        <v/>
      </c>
      <c r="B860" t="inlineStr">
        <is>
          <t>15283903910</t>
        </is>
      </c>
      <c r="E860" t="inlineStr">
        <is>
          <t>Adidas</t>
        </is>
      </c>
      <c r="F860" t="inlineStr">
        <is>
          <t>Adidas : Online</t>
        </is>
      </c>
      <c r="G860" t="n">
        <v>878.0158</v>
      </c>
    </row>
    <row r="861">
      <c r="A861">
        <f>HYPERLINK("https://app.vivvix.com/360/KMI/IntelliDrive/ApplUI/Pages/CreativePages/CustomReportCreativeDetail.aspx?App=23&amp;ReportView=4&amp;Qid=1747207&amp;Row=4291&amp;Col=1","No Title Assigned - #15283982021")</f>
        <v/>
      </c>
      <c r="B861" t="inlineStr">
        <is>
          <t>15283982021</t>
        </is>
      </c>
      <c r="E861" t="inlineStr">
        <is>
          <t>Adidas</t>
        </is>
      </c>
      <c r="F861" t="inlineStr">
        <is>
          <t>Adidas : Online</t>
        </is>
      </c>
      <c r="G861" t="n">
        <v>388.8745</v>
      </c>
    </row>
    <row r="862">
      <c r="A862">
        <f>HYPERLINK("https://app.vivvix.com/360/KMI/IntelliDrive/ApplUI/Pages/CreativePages/CustomReportCreativeDetail.aspx?App=23&amp;ReportView=4&amp;Qid=1747207&amp;Row=4293&amp;Col=1","No Title Assigned - #15284006716")</f>
        <v/>
      </c>
      <c r="B862" t="inlineStr">
        <is>
          <t>15284006716</t>
        </is>
      </c>
      <c r="E862" t="inlineStr">
        <is>
          <t>Adidas</t>
        </is>
      </c>
      <c r="F862" t="inlineStr">
        <is>
          <t>Adidas : Online</t>
        </is>
      </c>
      <c r="G862" t="n">
        <v>259.5183</v>
      </c>
    </row>
    <row r="863">
      <c r="A863">
        <f>HYPERLINK("https://app.vivvix.com/360/KMI/IntelliDrive/ApplUI/Pages/CreativePages/CustomReportCreativeDetail.aspx?App=23&amp;ReportView=4&amp;Qid=1747207&amp;Row=4295&amp;Col=1","No Title Assigned - #15284009498")</f>
        <v/>
      </c>
      <c r="B863" t="inlineStr">
        <is>
          <t>15284009498</t>
        </is>
      </c>
      <c r="E863" t="inlineStr">
        <is>
          <t>Adidas</t>
        </is>
      </c>
      <c r="F863" t="inlineStr">
        <is>
          <t>Adidas : Online</t>
        </is>
      </c>
      <c r="G863" t="n">
        <v>2973.9348</v>
      </c>
    </row>
    <row r="864">
      <c r="A864">
        <f>HYPERLINK("https://app.vivvix.com/360/KMI/IntelliDrive/ApplUI/Pages/CreativePages/CustomReportCreativeDetail.aspx?App=23&amp;ReportView=4&amp;Qid=1747207&amp;Row=4304&amp;Col=1","No Title Assigned - #15284043705")</f>
        <v/>
      </c>
      <c r="B864" t="inlineStr">
        <is>
          <t>15284043705</t>
        </is>
      </c>
      <c r="E864" t="inlineStr">
        <is>
          <t>Adidas</t>
        </is>
      </c>
      <c r="F864" t="inlineStr">
        <is>
          <t>Adidas : Online</t>
        </is>
      </c>
      <c r="G864" t="n">
        <v>3433.8308</v>
      </c>
    </row>
    <row r="865">
      <c r="A865">
        <f>HYPERLINK("https://app.vivvix.com/360/KMI/IntelliDrive/ApplUI/Pages/CreativePages/CustomReportCreativeDetail.aspx?App=23&amp;ReportView=4&amp;Qid=1747207&amp;Row=4323&amp;Col=1","No Title Assigned - #15284110340")</f>
        <v/>
      </c>
      <c r="B865" t="inlineStr">
        <is>
          <t>15284110340</t>
        </is>
      </c>
      <c r="E865" t="inlineStr">
        <is>
          <t>Adidas</t>
        </is>
      </c>
      <c r="F865" t="inlineStr">
        <is>
          <t>Adidas : Online</t>
        </is>
      </c>
      <c r="G865" t="n">
        <v>8539.768599999999</v>
      </c>
    </row>
    <row r="866">
      <c r="A866">
        <f>HYPERLINK("https://app.vivvix.com/360/KMI/IntelliDrive/ApplUI/Pages/CreativePages/CustomReportCreativeDetail.aspx?App=23&amp;ReportView=4&amp;Qid=1747207&amp;Row=4334&amp;Col=1","No Title Assigned - #15284119546")</f>
        <v/>
      </c>
      <c r="B866" t="inlineStr">
        <is>
          <t>15284119546</t>
        </is>
      </c>
      <c r="E866" t="inlineStr">
        <is>
          <t>Adidas</t>
        </is>
      </c>
      <c r="F866" t="inlineStr">
        <is>
          <t>Adidas : Online</t>
        </is>
      </c>
      <c r="G866" t="n">
        <v>2144.9061</v>
      </c>
    </row>
    <row r="867">
      <c r="A867">
        <f>HYPERLINK("https://app.vivvix.com/360/KMI/IntelliDrive/ApplUI/Pages/CreativePages/CustomReportCreativeDetail.aspx?App=23&amp;ReportView=4&amp;Qid=1747207&amp;Row=4426&amp;Col=1","No Title Assigned - #15284454092")</f>
        <v/>
      </c>
      <c r="B867" t="inlineStr">
        <is>
          <t>15284454092</t>
        </is>
      </c>
      <c r="E867" t="inlineStr">
        <is>
          <t>Adidas</t>
        </is>
      </c>
      <c r="F867" t="inlineStr">
        <is>
          <t>Adidas : Online</t>
        </is>
      </c>
      <c r="G867" t="n">
        <v>110.0635</v>
      </c>
    </row>
    <row r="868">
      <c r="A868">
        <f>HYPERLINK("https://app.vivvix.com/360/KMI/IntelliDrive/ApplUI/Pages/CreativePages/CustomReportCreativeDetail.aspx?App=23&amp;ReportView=4&amp;Qid=1747207&amp;Row=4428&amp;Col=1","No Title Assigned - #15284454314")</f>
        <v/>
      </c>
      <c r="B868" t="inlineStr">
        <is>
          <t>15284454314</t>
        </is>
      </c>
      <c r="E868" t="inlineStr">
        <is>
          <t>Adidas</t>
        </is>
      </c>
      <c r="F868" t="inlineStr">
        <is>
          <t>Adidas : Online</t>
        </is>
      </c>
      <c r="G868" t="n">
        <v>330.1905</v>
      </c>
    </row>
    <row r="869">
      <c r="A869">
        <f>HYPERLINK("https://app.vivvix.com/360/KMI/IntelliDrive/ApplUI/Pages/CreativePages/CustomReportCreativeDetail.aspx?App=23&amp;ReportView=4&amp;Qid=1747207&amp;Row=4435&amp;Col=1","No Title Assigned - #15284463792")</f>
        <v/>
      </c>
      <c r="B869" t="inlineStr">
        <is>
          <t>15284463792</t>
        </is>
      </c>
      <c r="E869" t="inlineStr">
        <is>
          <t>Adidas</t>
        </is>
      </c>
      <c r="F869" t="inlineStr">
        <is>
          <t>Adidas : Online</t>
        </is>
      </c>
      <c r="G869" t="n">
        <v>455.4376</v>
      </c>
    </row>
    <row r="870">
      <c r="A870">
        <f>HYPERLINK("https://app.vivvix.com/360/KMI/IntelliDrive/ApplUI/Pages/CreativePages/CustomReportCreativeDetail.aspx?App=23&amp;ReportView=4&amp;Qid=1747207&amp;Row=4441&amp;Col=1","No Title Assigned - #15284496037")</f>
        <v/>
      </c>
      <c r="B870" t="inlineStr">
        <is>
          <t>15284496037</t>
        </is>
      </c>
      <c r="E870" t="inlineStr">
        <is>
          <t>Adidas</t>
        </is>
      </c>
      <c r="F870" t="inlineStr">
        <is>
          <t>Adidas : Online</t>
        </is>
      </c>
      <c r="G870" t="n">
        <v>108.2784</v>
      </c>
    </row>
    <row r="871">
      <c r="A871">
        <f>HYPERLINK("https://app.vivvix.com/360/KMI/IntelliDrive/ApplUI/Pages/CreativePages/CustomReportCreativeDetail.aspx?App=23&amp;ReportView=4&amp;Qid=1747207&amp;Row=4598&amp;Col=1","No Title Assigned - #15284969607")</f>
        <v/>
      </c>
      <c r="B871" t="inlineStr">
        <is>
          <t>15284969607</t>
        </is>
      </c>
      <c r="E871" t="inlineStr">
        <is>
          <t>Adidas</t>
        </is>
      </c>
      <c r="F871" t="inlineStr">
        <is>
          <t>Adidas : Online</t>
        </is>
      </c>
      <c r="G871" t="n">
        <v>14089.0175</v>
      </c>
    </row>
    <row r="872">
      <c r="A872">
        <f>HYPERLINK("https://app.vivvix.com/360/KMI/IntelliDrive/ApplUI/Pages/CreativePages/CustomReportCreativeDetail.aspx?App=23&amp;ReportView=4&amp;Qid=1747207&amp;Row=4703&amp;Col=1","No Title Assigned - #15285125622")</f>
        <v/>
      </c>
      <c r="B872" t="inlineStr">
        <is>
          <t>15285125622</t>
        </is>
      </c>
      <c r="E872" t="inlineStr">
        <is>
          <t>Adidas</t>
        </is>
      </c>
      <c r="F872" t="inlineStr">
        <is>
          <t>Adidas : Online</t>
        </is>
      </c>
      <c r="G872" t="n">
        <v>647.4655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2026-01-02T03:46:29Z</dcterms:created>
  <dcterms:modified xsi:type="dcterms:W3CDTF">2026-01-02T03:46:29Z</dcterms:modified>
</cp:coreProperties>
</file>